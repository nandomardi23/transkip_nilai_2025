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Ners\Reguler\"/>
    </mc:Choice>
  </mc:AlternateContent>
  <xr:revisionPtr revIDLastSave="0" documentId="13_ncr:1_{C19D8538-4DDF-4A7C-AB55-2BE5C85C42BD}" xr6:coauthVersionLast="47" xr6:coauthVersionMax="47" xr10:uidLastSave="{00000000-0000-0000-0000-000000000000}"/>
  <bookViews>
    <workbookView xWindow="-120" yWindow="-120" windowWidth="29040" windowHeight="15720" xr2:uid="{334A25BB-288C-4A5C-B9BF-5A8A0F233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43" i="1" l="1"/>
  <c r="BI43" i="1"/>
  <c r="BJ43" i="1" s="1"/>
  <c r="BL43" i="1" s="1"/>
  <c r="BD43" i="1"/>
  <c r="BE43" i="1" s="1"/>
  <c r="BG43" i="1" s="1"/>
  <c r="AY43" i="1"/>
  <c r="AZ43" i="1" s="1"/>
  <c r="BB43" i="1" s="1"/>
  <c r="AT43" i="1"/>
  <c r="AU43" i="1" s="1"/>
  <c r="AW43" i="1" s="1"/>
  <c r="AO43" i="1"/>
  <c r="AP43" i="1" s="1"/>
  <c r="AR43" i="1" s="1"/>
  <c r="AJ43" i="1"/>
  <c r="AK43" i="1" s="1"/>
  <c r="AM43" i="1" s="1"/>
  <c r="AE43" i="1"/>
  <c r="AF43" i="1" s="1"/>
  <c r="AH43" i="1" s="1"/>
  <c r="Z43" i="1"/>
  <c r="AA43" i="1" s="1"/>
  <c r="AC43" i="1" s="1"/>
  <c r="W43" i="1"/>
  <c r="BN43" i="1" s="1"/>
  <c r="U43" i="1"/>
  <c r="V43" i="1" s="1"/>
  <c r="P43" i="1"/>
  <c r="Q43" i="1" s="1"/>
  <c r="S43" i="1" s="1"/>
  <c r="K43" i="1"/>
  <c r="L43" i="1" s="1"/>
  <c r="N43" i="1" s="1"/>
  <c r="BQ42" i="1"/>
  <c r="BI42" i="1"/>
  <c r="BJ42" i="1" s="1"/>
  <c r="BL42" i="1" s="1"/>
  <c r="BD42" i="1"/>
  <c r="BE42" i="1" s="1"/>
  <c r="BG42" i="1" s="1"/>
  <c r="AY42" i="1"/>
  <c r="AZ42" i="1" s="1"/>
  <c r="BB42" i="1" s="1"/>
  <c r="AT42" i="1"/>
  <c r="AU42" i="1" s="1"/>
  <c r="AW42" i="1" s="1"/>
  <c r="AO42" i="1"/>
  <c r="AP42" i="1" s="1"/>
  <c r="AR42" i="1" s="1"/>
  <c r="AJ42" i="1"/>
  <c r="AK42" i="1" s="1"/>
  <c r="AM42" i="1" s="1"/>
  <c r="AE42" i="1"/>
  <c r="AF42" i="1" s="1"/>
  <c r="AH42" i="1" s="1"/>
  <c r="Z42" i="1"/>
  <c r="AA42" i="1" s="1"/>
  <c r="AC42" i="1" s="1"/>
  <c r="W42" i="1"/>
  <c r="BN42" i="1" s="1"/>
  <c r="U42" i="1"/>
  <c r="V42" i="1" s="1"/>
  <c r="P42" i="1"/>
  <c r="Q42" i="1" s="1"/>
  <c r="S42" i="1" s="1"/>
  <c r="K42" i="1"/>
  <c r="L42" i="1" s="1"/>
  <c r="N42" i="1" s="1"/>
  <c r="BQ41" i="1"/>
  <c r="BI41" i="1"/>
  <c r="BJ41" i="1" s="1"/>
  <c r="BL41" i="1" s="1"/>
  <c r="BD41" i="1"/>
  <c r="BE41" i="1" s="1"/>
  <c r="BG41" i="1" s="1"/>
  <c r="AY41" i="1"/>
  <c r="AZ41" i="1" s="1"/>
  <c r="BB41" i="1" s="1"/>
  <c r="AT41" i="1"/>
  <c r="AU41" i="1" s="1"/>
  <c r="AW41" i="1" s="1"/>
  <c r="AO41" i="1"/>
  <c r="AP41" i="1" s="1"/>
  <c r="AR41" i="1" s="1"/>
  <c r="AJ41" i="1"/>
  <c r="AK41" i="1" s="1"/>
  <c r="AM41" i="1" s="1"/>
  <c r="AE41" i="1"/>
  <c r="AF41" i="1" s="1"/>
  <c r="AH41" i="1" s="1"/>
  <c r="Z41" i="1"/>
  <c r="AA41" i="1" s="1"/>
  <c r="AC41" i="1" s="1"/>
  <c r="W41" i="1"/>
  <c r="BN41" i="1" s="1"/>
  <c r="U41" i="1"/>
  <c r="V41" i="1" s="1"/>
  <c r="P41" i="1"/>
  <c r="Q41" i="1" s="1"/>
  <c r="S41" i="1" s="1"/>
  <c r="K41" i="1"/>
  <c r="L41" i="1" s="1"/>
  <c r="N41" i="1" s="1"/>
  <c r="BQ40" i="1"/>
  <c r="BI40" i="1"/>
  <c r="BJ40" i="1" s="1"/>
  <c r="BL40" i="1" s="1"/>
  <c r="BD40" i="1"/>
  <c r="BE40" i="1" s="1"/>
  <c r="BG40" i="1" s="1"/>
  <c r="AY40" i="1"/>
  <c r="AZ40" i="1" s="1"/>
  <c r="BB40" i="1" s="1"/>
  <c r="AT40" i="1"/>
  <c r="AU40" i="1" s="1"/>
  <c r="AW40" i="1" s="1"/>
  <c r="AO40" i="1"/>
  <c r="AP40" i="1" s="1"/>
  <c r="AR40" i="1" s="1"/>
  <c r="AJ40" i="1"/>
  <c r="AK40" i="1" s="1"/>
  <c r="AM40" i="1" s="1"/>
  <c r="AE40" i="1"/>
  <c r="AF40" i="1" s="1"/>
  <c r="AH40" i="1" s="1"/>
  <c r="Z40" i="1"/>
  <c r="AA40" i="1" s="1"/>
  <c r="AC40" i="1" s="1"/>
  <c r="W40" i="1"/>
  <c r="BN40" i="1" s="1"/>
  <c r="U40" i="1"/>
  <c r="V40" i="1" s="1"/>
  <c r="X40" i="1" s="1"/>
  <c r="P40" i="1"/>
  <c r="Q40" i="1" s="1"/>
  <c r="S40" i="1" s="1"/>
  <c r="K40" i="1"/>
  <c r="L40" i="1" s="1"/>
  <c r="N40" i="1" s="1"/>
  <c r="BQ39" i="1"/>
  <c r="BI39" i="1"/>
  <c r="BJ39" i="1" s="1"/>
  <c r="BL39" i="1" s="1"/>
  <c r="BD39" i="1"/>
  <c r="BE39" i="1" s="1"/>
  <c r="BG39" i="1" s="1"/>
  <c r="AY39" i="1"/>
  <c r="AZ39" i="1" s="1"/>
  <c r="BB39" i="1" s="1"/>
  <c r="AT39" i="1"/>
  <c r="AU39" i="1" s="1"/>
  <c r="AW39" i="1" s="1"/>
  <c r="AO39" i="1"/>
  <c r="AP39" i="1" s="1"/>
  <c r="AR39" i="1" s="1"/>
  <c r="AJ39" i="1"/>
  <c r="AK39" i="1" s="1"/>
  <c r="AM39" i="1" s="1"/>
  <c r="AE39" i="1"/>
  <c r="AF39" i="1" s="1"/>
  <c r="AH39" i="1" s="1"/>
  <c r="Z39" i="1"/>
  <c r="AA39" i="1" s="1"/>
  <c r="AC39" i="1" s="1"/>
  <c r="W39" i="1"/>
  <c r="BN39" i="1" s="1"/>
  <c r="U39" i="1"/>
  <c r="V39" i="1" s="1"/>
  <c r="X39" i="1" s="1"/>
  <c r="P39" i="1"/>
  <c r="Q39" i="1" s="1"/>
  <c r="S39" i="1" s="1"/>
  <c r="K39" i="1"/>
  <c r="L39" i="1" s="1"/>
  <c r="N39" i="1" s="1"/>
  <c r="BQ38" i="1"/>
  <c r="BI38" i="1"/>
  <c r="BJ38" i="1" s="1"/>
  <c r="BL38" i="1" s="1"/>
  <c r="BD38" i="1"/>
  <c r="BE38" i="1" s="1"/>
  <c r="BG38" i="1" s="1"/>
  <c r="AY38" i="1"/>
  <c r="AZ38" i="1" s="1"/>
  <c r="BB38" i="1" s="1"/>
  <c r="AT38" i="1"/>
  <c r="AU38" i="1" s="1"/>
  <c r="AW38" i="1" s="1"/>
  <c r="AO38" i="1"/>
  <c r="AP38" i="1" s="1"/>
  <c r="AR38" i="1" s="1"/>
  <c r="AJ38" i="1"/>
  <c r="AK38" i="1" s="1"/>
  <c r="AM38" i="1" s="1"/>
  <c r="AE38" i="1"/>
  <c r="AF38" i="1" s="1"/>
  <c r="AH38" i="1" s="1"/>
  <c r="Z38" i="1"/>
  <c r="AA38" i="1" s="1"/>
  <c r="AC38" i="1" s="1"/>
  <c r="W38" i="1"/>
  <c r="BN38" i="1" s="1"/>
  <c r="U38" i="1"/>
  <c r="V38" i="1" s="1"/>
  <c r="P38" i="1"/>
  <c r="Q38" i="1" s="1"/>
  <c r="S38" i="1" s="1"/>
  <c r="K38" i="1"/>
  <c r="L38" i="1" s="1"/>
  <c r="N38" i="1" s="1"/>
  <c r="BQ37" i="1"/>
  <c r="BI37" i="1"/>
  <c r="BJ37" i="1" s="1"/>
  <c r="BL37" i="1" s="1"/>
  <c r="BD37" i="1"/>
  <c r="BE37" i="1" s="1"/>
  <c r="BG37" i="1" s="1"/>
  <c r="AY37" i="1"/>
  <c r="AZ37" i="1" s="1"/>
  <c r="BB37" i="1" s="1"/>
  <c r="AT37" i="1"/>
  <c r="AU37" i="1" s="1"/>
  <c r="AW37" i="1" s="1"/>
  <c r="AO37" i="1"/>
  <c r="AP37" i="1" s="1"/>
  <c r="AR37" i="1" s="1"/>
  <c r="AJ37" i="1"/>
  <c r="AK37" i="1" s="1"/>
  <c r="AM37" i="1" s="1"/>
  <c r="AE37" i="1"/>
  <c r="AF37" i="1" s="1"/>
  <c r="AH37" i="1" s="1"/>
  <c r="Z37" i="1"/>
  <c r="AA37" i="1" s="1"/>
  <c r="AC37" i="1" s="1"/>
  <c r="W37" i="1"/>
  <c r="BN37" i="1" s="1"/>
  <c r="U37" i="1"/>
  <c r="V37" i="1" s="1"/>
  <c r="P37" i="1"/>
  <c r="Q37" i="1" s="1"/>
  <c r="S37" i="1" s="1"/>
  <c r="K37" i="1"/>
  <c r="L37" i="1" s="1"/>
  <c r="N37" i="1" s="1"/>
  <c r="BQ36" i="1"/>
  <c r="BI36" i="1"/>
  <c r="BJ36" i="1" s="1"/>
  <c r="BL36" i="1" s="1"/>
  <c r="BD36" i="1"/>
  <c r="BE36" i="1" s="1"/>
  <c r="BG36" i="1" s="1"/>
  <c r="AY36" i="1"/>
  <c r="AZ36" i="1" s="1"/>
  <c r="BB36" i="1" s="1"/>
  <c r="AT36" i="1"/>
  <c r="AU36" i="1" s="1"/>
  <c r="AW36" i="1" s="1"/>
  <c r="AO36" i="1"/>
  <c r="AP36" i="1" s="1"/>
  <c r="AR36" i="1" s="1"/>
  <c r="AJ36" i="1"/>
  <c r="AK36" i="1" s="1"/>
  <c r="AM36" i="1" s="1"/>
  <c r="AE36" i="1"/>
  <c r="AF36" i="1" s="1"/>
  <c r="AH36" i="1" s="1"/>
  <c r="Z36" i="1"/>
  <c r="AA36" i="1" s="1"/>
  <c r="AC36" i="1" s="1"/>
  <c r="W36" i="1"/>
  <c r="BN36" i="1" s="1"/>
  <c r="U36" i="1"/>
  <c r="V36" i="1" s="1"/>
  <c r="P36" i="1"/>
  <c r="Q36" i="1" s="1"/>
  <c r="S36" i="1" s="1"/>
  <c r="K36" i="1"/>
  <c r="L36" i="1" s="1"/>
  <c r="N36" i="1" s="1"/>
  <c r="BQ35" i="1"/>
  <c r="BI35" i="1"/>
  <c r="BJ35" i="1" s="1"/>
  <c r="BL35" i="1" s="1"/>
  <c r="BD35" i="1"/>
  <c r="BE35" i="1" s="1"/>
  <c r="BG35" i="1" s="1"/>
  <c r="AY35" i="1"/>
  <c r="AZ35" i="1" s="1"/>
  <c r="BB35" i="1" s="1"/>
  <c r="AT35" i="1"/>
  <c r="AU35" i="1" s="1"/>
  <c r="AW35" i="1" s="1"/>
  <c r="AO35" i="1"/>
  <c r="AP35" i="1" s="1"/>
  <c r="AR35" i="1" s="1"/>
  <c r="AJ35" i="1"/>
  <c r="AK35" i="1" s="1"/>
  <c r="AM35" i="1" s="1"/>
  <c r="AE35" i="1"/>
  <c r="AF35" i="1" s="1"/>
  <c r="AH35" i="1" s="1"/>
  <c r="Z35" i="1"/>
  <c r="AA35" i="1" s="1"/>
  <c r="AC35" i="1" s="1"/>
  <c r="W35" i="1"/>
  <c r="BN35" i="1" s="1"/>
  <c r="U35" i="1"/>
  <c r="V35" i="1" s="1"/>
  <c r="P35" i="1"/>
  <c r="Q35" i="1" s="1"/>
  <c r="S35" i="1" s="1"/>
  <c r="K35" i="1"/>
  <c r="L35" i="1" s="1"/>
  <c r="N35" i="1" s="1"/>
  <c r="BQ34" i="1"/>
  <c r="BI34" i="1"/>
  <c r="BJ34" i="1" s="1"/>
  <c r="BL34" i="1" s="1"/>
  <c r="BD34" i="1"/>
  <c r="BE34" i="1" s="1"/>
  <c r="BG34" i="1" s="1"/>
  <c r="AY34" i="1"/>
  <c r="AZ34" i="1" s="1"/>
  <c r="BB34" i="1" s="1"/>
  <c r="AT34" i="1"/>
  <c r="AU34" i="1" s="1"/>
  <c r="AW34" i="1" s="1"/>
  <c r="AO34" i="1"/>
  <c r="AP34" i="1" s="1"/>
  <c r="AR34" i="1" s="1"/>
  <c r="AJ34" i="1"/>
  <c r="AK34" i="1" s="1"/>
  <c r="AM34" i="1" s="1"/>
  <c r="AE34" i="1"/>
  <c r="AF34" i="1" s="1"/>
  <c r="AH34" i="1" s="1"/>
  <c r="Z34" i="1"/>
  <c r="AA34" i="1" s="1"/>
  <c r="AC34" i="1" s="1"/>
  <c r="W34" i="1"/>
  <c r="BN34" i="1" s="1"/>
  <c r="U34" i="1"/>
  <c r="V34" i="1" s="1"/>
  <c r="P34" i="1"/>
  <c r="Q34" i="1" s="1"/>
  <c r="S34" i="1" s="1"/>
  <c r="K34" i="1"/>
  <c r="L34" i="1" s="1"/>
  <c r="N34" i="1" s="1"/>
  <c r="BQ33" i="1"/>
  <c r="BI33" i="1"/>
  <c r="BJ33" i="1" s="1"/>
  <c r="BL33" i="1" s="1"/>
  <c r="BD33" i="1"/>
  <c r="BE33" i="1" s="1"/>
  <c r="BG33" i="1" s="1"/>
  <c r="AY33" i="1"/>
  <c r="AZ33" i="1" s="1"/>
  <c r="BB33" i="1" s="1"/>
  <c r="AT33" i="1"/>
  <c r="AU33" i="1" s="1"/>
  <c r="AW33" i="1" s="1"/>
  <c r="AO33" i="1"/>
  <c r="AP33" i="1" s="1"/>
  <c r="AR33" i="1" s="1"/>
  <c r="AJ33" i="1"/>
  <c r="AK33" i="1" s="1"/>
  <c r="AM33" i="1" s="1"/>
  <c r="AE33" i="1"/>
  <c r="AF33" i="1" s="1"/>
  <c r="AH33" i="1" s="1"/>
  <c r="Z33" i="1"/>
  <c r="AA33" i="1" s="1"/>
  <c r="AC33" i="1" s="1"/>
  <c r="W33" i="1"/>
  <c r="BN33" i="1" s="1"/>
  <c r="U33" i="1"/>
  <c r="V33" i="1" s="1"/>
  <c r="P33" i="1"/>
  <c r="Q33" i="1" s="1"/>
  <c r="S33" i="1" s="1"/>
  <c r="K33" i="1"/>
  <c r="L33" i="1" s="1"/>
  <c r="N33" i="1" s="1"/>
  <c r="BQ32" i="1"/>
  <c r="BI32" i="1"/>
  <c r="BJ32" i="1" s="1"/>
  <c r="BL32" i="1" s="1"/>
  <c r="BD32" i="1"/>
  <c r="BE32" i="1" s="1"/>
  <c r="BG32" i="1" s="1"/>
  <c r="AY32" i="1"/>
  <c r="AZ32" i="1" s="1"/>
  <c r="BB32" i="1" s="1"/>
  <c r="AT32" i="1"/>
  <c r="AU32" i="1" s="1"/>
  <c r="AW32" i="1" s="1"/>
  <c r="AO32" i="1"/>
  <c r="AP32" i="1" s="1"/>
  <c r="AR32" i="1" s="1"/>
  <c r="AJ32" i="1"/>
  <c r="AK32" i="1" s="1"/>
  <c r="AM32" i="1" s="1"/>
  <c r="AE32" i="1"/>
  <c r="AF32" i="1" s="1"/>
  <c r="AH32" i="1" s="1"/>
  <c r="Z32" i="1"/>
  <c r="AA32" i="1" s="1"/>
  <c r="AC32" i="1" s="1"/>
  <c r="W32" i="1"/>
  <c r="BN32" i="1" s="1"/>
  <c r="U32" i="1"/>
  <c r="V32" i="1" s="1"/>
  <c r="P32" i="1"/>
  <c r="Q32" i="1" s="1"/>
  <c r="S32" i="1" s="1"/>
  <c r="K32" i="1"/>
  <c r="L32" i="1" s="1"/>
  <c r="N32" i="1" s="1"/>
  <c r="BQ31" i="1"/>
  <c r="BI31" i="1"/>
  <c r="BJ31" i="1" s="1"/>
  <c r="BL31" i="1" s="1"/>
  <c r="BD31" i="1"/>
  <c r="BE31" i="1" s="1"/>
  <c r="BG31" i="1" s="1"/>
  <c r="AY31" i="1"/>
  <c r="AZ31" i="1" s="1"/>
  <c r="BB31" i="1" s="1"/>
  <c r="AT31" i="1"/>
  <c r="AU31" i="1" s="1"/>
  <c r="AW31" i="1" s="1"/>
  <c r="AO31" i="1"/>
  <c r="AP31" i="1" s="1"/>
  <c r="AR31" i="1" s="1"/>
  <c r="AJ31" i="1"/>
  <c r="AK31" i="1" s="1"/>
  <c r="AM31" i="1" s="1"/>
  <c r="AE31" i="1"/>
  <c r="AF31" i="1" s="1"/>
  <c r="AH31" i="1" s="1"/>
  <c r="Z31" i="1"/>
  <c r="AA31" i="1" s="1"/>
  <c r="AC31" i="1" s="1"/>
  <c r="W31" i="1"/>
  <c r="BN31" i="1" s="1"/>
  <c r="U31" i="1"/>
  <c r="V31" i="1" s="1"/>
  <c r="P31" i="1"/>
  <c r="Q31" i="1" s="1"/>
  <c r="S31" i="1" s="1"/>
  <c r="K31" i="1"/>
  <c r="L31" i="1" s="1"/>
  <c r="N31" i="1" s="1"/>
  <c r="BQ30" i="1"/>
  <c r="BI30" i="1"/>
  <c r="BJ30" i="1" s="1"/>
  <c r="BL30" i="1" s="1"/>
  <c r="BD30" i="1"/>
  <c r="BE30" i="1" s="1"/>
  <c r="BG30" i="1" s="1"/>
  <c r="AY30" i="1"/>
  <c r="AZ30" i="1" s="1"/>
  <c r="BB30" i="1" s="1"/>
  <c r="AT30" i="1"/>
  <c r="AU30" i="1" s="1"/>
  <c r="AW30" i="1" s="1"/>
  <c r="AO30" i="1"/>
  <c r="AP30" i="1" s="1"/>
  <c r="AR30" i="1" s="1"/>
  <c r="AJ30" i="1"/>
  <c r="AK30" i="1" s="1"/>
  <c r="AM30" i="1" s="1"/>
  <c r="AE30" i="1"/>
  <c r="AF30" i="1" s="1"/>
  <c r="AH30" i="1" s="1"/>
  <c r="Z30" i="1"/>
  <c r="AA30" i="1" s="1"/>
  <c r="AC30" i="1" s="1"/>
  <c r="W30" i="1"/>
  <c r="BN30" i="1" s="1"/>
  <c r="U30" i="1"/>
  <c r="V30" i="1" s="1"/>
  <c r="P30" i="1"/>
  <c r="Q30" i="1" s="1"/>
  <c r="S30" i="1" s="1"/>
  <c r="K30" i="1"/>
  <c r="L30" i="1" s="1"/>
  <c r="N30" i="1" s="1"/>
  <c r="BQ29" i="1"/>
  <c r="BI29" i="1"/>
  <c r="BJ29" i="1" s="1"/>
  <c r="BL29" i="1" s="1"/>
  <c r="BD29" i="1"/>
  <c r="BE29" i="1" s="1"/>
  <c r="BG29" i="1" s="1"/>
  <c r="AY29" i="1"/>
  <c r="AZ29" i="1" s="1"/>
  <c r="BB29" i="1" s="1"/>
  <c r="AT29" i="1"/>
  <c r="AU29" i="1" s="1"/>
  <c r="AW29" i="1" s="1"/>
  <c r="AO29" i="1"/>
  <c r="AP29" i="1" s="1"/>
  <c r="AR29" i="1" s="1"/>
  <c r="AJ29" i="1"/>
  <c r="AK29" i="1" s="1"/>
  <c r="AM29" i="1" s="1"/>
  <c r="AE29" i="1"/>
  <c r="AF29" i="1" s="1"/>
  <c r="AH29" i="1" s="1"/>
  <c r="Z29" i="1"/>
  <c r="AA29" i="1" s="1"/>
  <c r="AC29" i="1" s="1"/>
  <c r="W29" i="1"/>
  <c r="BN29" i="1" s="1"/>
  <c r="U29" i="1"/>
  <c r="V29" i="1" s="1"/>
  <c r="P29" i="1"/>
  <c r="Q29" i="1" s="1"/>
  <c r="S29" i="1" s="1"/>
  <c r="K29" i="1"/>
  <c r="L29" i="1" s="1"/>
  <c r="N29" i="1" s="1"/>
  <c r="BQ28" i="1"/>
  <c r="BI28" i="1"/>
  <c r="BJ28" i="1" s="1"/>
  <c r="BL28" i="1" s="1"/>
  <c r="BD28" i="1"/>
  <c r="BE28" i="1" s="1"/>
  <c r="BG28" i="1" s="1"/>
  <c r="AY28" i="1"/>
  <c r="AZ28" i="1" s="1"/>
  <c r="BB28" i="1" s="1"/>
  <c r="AT28" i="1"/>
  <c r="AU28" i="1" s="1"/>
  <c r="AW28" i="1" s="1"/>
  <c r="AO28" i="1"/>
  <c r="AP28" i="1" s="1"/>
  <c r="AR28" i="1" s="1"/>
  <c r="AJ28" i="1"/>
  <c r="AK28" i="1" s="1"/>
  <c r="AM28" i="1" s="1"/>
  <c r="AE28" i="1"/>
  <c r="AF28" i="1" s="1"/>
  <c r="AH28" i="1" s="1"/>
  <c r="Z28" i="1"/>
  <c r="AA28" i="1" s="1"/>
  <c r="AC28" i="1" s="1"/>
  <c r="W28" i="1"/>
  <c r="BN28" i="1" s="1"/>
  <c r="U28" i="1"/>
  <c r="V28" i="1" s="1"/>
  <c r="P28" i="1"/>
  <c r="Q28" i="1" s="1"/>
  <c r="S28" i="1" s="1"/>
  <c r="K28" i="1"/>
  <c r="L28" i="1" s="1"/>
  <c r="N28" i="1" s="1"/>
  <c r="BQ27" i="1"/>
  <c r="BI27" i="1"/>
  <c r="BJ27" i="1" s="1"/>
  <c r="BL27" i="1" s="1"/>
  <c r="BD27" i="1"/>
  <c r="BE27" i="1" s="1"/>
  <c r="BG27" i="1" s="1"/>
  <c r="AY27" i="1"/>
  <c r="AZ27" i="1" s="1"/>
  <c r="BB27" i="1" s="1"/>
  <c r="AT27" i="1"/>
  <c r="AU27" i="1" s="1"/>
  <c r="AW27" i="1" s="1"/>
  <c r="AO27" i="1"/>
  <c r="AP27" i="1" s="1"/>
  <c r="AR27" i="1" s="1"/>
  <c r="AJ27" i="1"/>
  <c r="AK27" i="1" s="1"/>
  <c r="AM27" i="1" s="1"/>
  <c r="AE27" i="1"/>
  <c r="AF27" i="1" s="1"/>
  <c r="AH27" i="1" s="1"/>
  <c r="Z27" i="1"/>
  <c r="AA27" i="1" s="1"/>
  <c r="AC27" i="1" s="1"/>
  <c r="W27" i="1"/>
  <c r="BN27" i="1" s="1"/>
  <c r="U27" i="1"/>
  <c r="V27" i="1" s="1"/>
  <c r="P27" i="1"/>
  <c r="Q27" i="1" s="1"/>
  <c r="S27" i="1" s="1"/>
  <c r="K27" i="1"/>
  <c r="L27" i="1" s="1"/>
  <c r="N27" i="1" s="1"/>
  <c r="BQ26" i="1"/>
  <c r="BI26" i="1"/>
  <c r="BJ26" i="1" s="1"/>
  <c r="BL26" i="1" s="1"/>
  <c r="BD26" i="1"/>
  <c r="BE26" i="1" s="1"/>
  <c r="BG26" i="1" s="1"/>
  <c r="AY26" i="1"/>
  <c r="AZ26" i="1" s="1"/>
  <c r="BB26" i="1" s="1"/>
  <c r="AT26" i="1"/>
  <c r="AU26" i="1" s="1"/>
  <c r="AW26" i="1" s="1"/>
  <c r="AO26" i="1"/>
  <c r="AP26" i="1" s="1"/>
  <c r="AR26" i="1" s="1"/>
  <c r="AJ26" i="1"/>
  <c r="AK26" i="1" s="1"/>
  <c r="AM26" i="1" s="1"/>
  <c r="AE26" i="1"/>
  <c r="AF26" i="1" s="1"/>
  <c r="AH26" i="1" s="1"/>
  <c r="Z26" i="1"/>
  <c r="AA26" i="1" s="1"/>
  <c r="AC26" i="1" s="1"/>
  <c r="W26" i="1"/>
  <c r="BN26" i="1" s="1"/>
  <c r="U26" i="1"/>
  <c r="V26" i="1" s="1"/>
  <c r="P26" i="1"/>
  <c r="Q26" i="1" s="1"/>
  <c r="S26" i="1" s="1"/>
  <c r="K26" i="1"/>
  <c r="L26" i="1" s="1"/>
  <c r="N26" i="1" s="1"/>
  <c r="BQ25" i="1"/>
  <c r="BI25" i="1"/>
  <c r="BJ25" i="1" s="1"/>
  <c r="BL25" i="1" s="1"/>
  <c r="BD25" i="1"/>
  <c r="BE25" i="1" s="1"/>
  <c r="BG25" i="1" s="1"/>
  <c r="AY25" i="1"/>
  <c r="AZ25" i="1" s="1"/>
  <c r="BB25" i="1" s="1"/>
  <c r="AT25" i="1"/>
  <c r="AU25" i="1" s="1"/>
  <c r="AW25" i="1" s="1"/>
  <c r="AO25" i="1"/>
  <c r="AP25" i="1" s="1"/>
  <c r="AR25" i="1" s="1"/>
  <c r="AJ25" i="1"/>
  <c r="AK25" i="1" s="1"/>
  <c r="AM25" i="1" s="1"/>
  <c r="AE25" i="1"/>
  <c r="AF25" i="1" s="1"/>
  <c r="AH25" i="1" s="1"/>
  <c r="Z25" i="1"/>
  <c r="AA25" i="1" s="1"/>
  <c r="AC25" i="1" s="1"/>
  <c r="W25" i="1"/>
  <c r="BN25" i="1" s="1"/>
  <c r="U25" i="1"/>
  <c r="V25" i="1" s="1"/>
  <c r="P25" i="1"/>
  <c r="Q25" i="1" s="1"/>
  <c r="S25" i="1" s="1"/>
  <c r="K25" i="1"/>
  <c r="L25" i="1" s="1"/>
  <c r="N25" i="1" s="1"/>
  <c r="BQ24" i="1"/>
  <c r="BI24" i="1"/>
  <c r="BJ24" i="1" s="1"/>
  <c r="BL24" i="1" s="1"/>
  <c r="BD24" i="1"/>
  <c r="BE24" i="1" s="1"/>
  <c r="BG24" i="1" s="1"/>
  <c r="AY24" i="1"/>
  <c r="AZ24" i="1" s="1"/>
  <c r="BB24" i="1" s="1"/>
  <c r="AT24" i="1"/>
  <c r="AU24" i="1" s="1"/>
  <c r="AW24" i="1" s="1"/>
  <c r="AO24" i="1"/>
  <c r="AP24" i="1" s="1"/>
  <c r="AR24" i="1" s="1"/>
  <c r="AJ24" i="1"/>
  <c r="AK24" i="1" s="1"/>
  <c r="AM24" i="1" s="1"/>
  <c r="AE24" i="1"/>
  <c r="AF24" i="1" s="1"/>
  <c r="AH24" i="1" s="1"/>
  <c r="Z24" i="1"/>
  <c r="AA24" i="1" s="1"/>
  <c r="AC24" i="1" s="1"/>
  <c r="W24" i="1"/>
  <c r="BN24" i="1" s="1"/>
  <c r="U24" i="1"/>
  <c r="V24" i="1" s="1"/>
  <c r="P24" i="1"/>
  <c r="Q24" i="1" s="1"/>
  <c r="S24" i="1" s="1"/>
  <c r="K24" i="1"/>
  <c r="L24" i="1" s="1"/>
  <c r="N24" i="1" s="1"/>
  <c r="BQ23" i="1"/>
  <c r="BI23" i="1"/>
  <c r="BJ23" i="1" s="1"/>
  <c r="BL23" i="1" s="1"/>
  <c r="BD23" i="1"/>
  <c r="BE23" i="1" s="1"/>
  <c r="BG23" i="1" s="1"/>
  <c r="AY23" i="1"/>
  <c r="AZ23" i="1" s="1"/>
  <c r="BB23" i="1" s="1"/>
  <c r="AT23" i="1"/>
  <c r="AU23" i="1" s="1"/>
  <c r="AW23" i="1" s="1"/>
  <c r="AO23" i="1"/>
  <c r="AP23" i="1" s="1"/>
  <c r="AR23" i="1" s="1"/>
  <c r="AJ23" i="1"/>
  <c r="AK23" i="1" s="1"/>
  <c r="AM23" i="1" s="1"/>
  <c r="AE23" i="1"/>
  <c r="AF23" i="1" s="1"/>
  <c r="AH23" i="1" s="1"/>
  <c r="Z23" i="1"/>
  <c r="AA23" i="1" s="1"/>
  <c r="AC23" i="1" s="1"/>
  <c r="W23" i="1"/>
  <c r="BN23" i="1" s="1"/>
  <c r="U23" i="1"/>
  <c r="V23" i="1" s="1"/>
  <c r="P23" i="1"/>
  <c r="Q23" i="1" s="1"/>
  <c r="S23" i="1" s="1"/>
  <c r="K23" i="1"/>
  <c r="L23" i="1" s="1"/>
  <c r="N23" i="1" s="1"/>
  <c r="BQ22" i="1"/>
  <c r="BI22" i="1"/>
  <c r="BJ22" i="1" s="1"/>
  <c r="BL22" i="1" s="1"/>
  <c r="BD22" i="1"/>
  <c r="BE22" i="1" s="1"/>
  <c r="BG22" i="1" s="1"/>
  <c r="AY22" i="1"/>
  <c r="AZ22" i="1" s="1"/>
  <c r="BB22" i="1" s="1"/>
  <c r="AT22" i="1"/>
  <c r="AU22" i="1" s="1"/>
  <c r="AW22" i="1" s="1"/>
  <c r="AO22" i="1"/>
  <c r="AP22" i="1" s="1"/>
  <c r="AR22" i="1" s="1"/>
  <c r="AJ22" i="1"/>
  <c r="AK22" i="1" s="1"/>
  <c r="AM22" i="1" s="1"/>
  <c r="AE22" i="1"/>
  <c r="AF22" i="1" s="1"/>
  <c r="AH22" i="1" s="1"/>
  <c r="Z22" i="1"/>
  <c r="AA22" i="1" s="1"/>
  <c r="AC22" i="1" s="1"/>
  <c r="W22" i="1"/>
  <c r="BN22" i="1" s="1"/>
  <c r="U22" i="1"/>
  <c r="V22" i="1" s="1"/>
  <c r="P22" i="1"/>
  <c r="Q22" i="1" s="1"/>
  <c r="S22" i="1" s="1"/>
  <c r="K22" i="1"/>
  <c r="L22" i="1" s="1"/>
  <c r="N22" i="1" s="1"/>
  <c r="BQ21" i="1"/>
  <c r="BI21" i="1"/>
  <c r="BJ21" i="1" s="1"/>
  <c r="BL21" i="1" s="1"/>
  <c r="BD21" i="1"/>
  <c r="BE21" i="1" s="1"/>
  <c r="BG21" i="1" s="1"/>
  <c r="AY21" i="1"/>
  <c r="AZ21" i="1" s="1"/>
  <c r="BB21" i="1" s="1"/>
  <c r="AT21" i="1"/>
  <c r="AU21" i="1" s="1"/>
  <c r="AW21" i="1" s="1"/>
  <c r="AO21" i="1"/>
  <c r="AP21" i="1" s="1"/>
  <c r="AR21" i="1" s="1"/>
  <c r="AJ21" i="1"/>
  <c r="AK21" i="1" s="1"/>
  <c r="AM21" i="1" s="1"/>
  <c r="AE21" i="1"/>
  <c r="AF21" i="1" s="1"/>
  <c r="AH21" i="1" s="1"/>
  <c r="Z21" i="1"/>
  <c r="AA21" i="1" s="1"/>
  <c r="AC21" i="1" s="1"/>
  <c r="W21" i="1"/>
  <c r="BN21" i="1" s="1"/>
  <c r="U21" i="1"/>
  <c r="V21" i="1" s="1"/>
  <c r="P21" i="1"/>
  <c r="Q21" i="1" s="1"/>
  <c r="S21" i="1" s="1"/>
  <c r="K21" i="1"/>
  <c r="L21" i="1" s="1"/>
  <c r="N21" i="1" s="1"/>
  <c r="BQ20" i="1"/>
  <c r="BI20" i="1"/>
  <c r="BJ20" i="1" s="1"/>
  <c r="BL20" i="1" s="1"/>
  <c r="BD20" i="1"/>
  <c r="BE20" i="1" s="1"/>
  <c r="BG20" i="1" s="1"/>
  <c r="AY20" i="1"/>
  <c r="AZ20" i="1" s="1"/>
  <c r="BB20" i="1" s="1"/>
  <c r="AT20" i="1"/>
  <c r="AU20" i="1" s="1"/>
  <c r="AW20" i="1" s="1"/>
  <c r="AO20" i="1"/>
  <c r="AP20" i="1" s="1"/>
  <c r="AR20" i="1" s="1"/>
  <c r="AJ20" i="1"/>
  <c r="AK20" i="1" s="1"/>
  <c r="AM20" i="1" s="1"/>
  <c r="AE20" i="1"/>
  <c r="AF20" i="1" s="1"/>
  <c r="AH20" i="1" s="1"/>
  <c r="Z20" i="1"/>
  <c r="AA20" i="1" s="1"/>
  <c r="AC20" i="1" s="1"/>
  <c r="W20" i="1"/>
  <c r="BN20" i="1" s="1"/>
  <c r="U20" i="1"/>
  <c r="V20" i="1" s="1"/>
  <c r="P20" i="1"/>
  <c r="Q20" i="1" s="1"/>
  <c r="S20" i="1" s="1"/>
  <c r="K20" i="1"/>
  <c r="L20" i="1" s="1"/>
  <c r="N20" i="1" s="1"/>
  <c r="BQ19" i="1"/>
  <c r="BI19" i="1"/>
  <c r="BJ19" i="1" s="1"/>
  <c r="BL19" i="1" s="1"/>
  <c r="BD19" i="1"/>
  <c r="BE19" i="1" s="1"/>
  <c r="BG19" i="1" s="1"/>
  <c r="AY19" i="1"/>
  <c r="AZ19" i="1" s="1"/>
  <c r="BB19" i="1" s="1"/>
  <c r="AT19" i="1"/>
  <c r="AU19" i="1" s="1"/>
  <c r="AW19" i="1" s="1"/>
  <c r="AO19" i="1"/>
  <c r="AP19" i="1" s="1"/>
  <c r="AR19" i="1" s="1"/>
  <c r="AJ19" i="1"/>
  <c r="AK19" i="1" s="1"/>
  <c r="AM19" i="1" s="1"/>
  <c r="AE19" i="1"/>
  <c r="AF19" i="1" s="1"/>
  <c r="AH19" i="1" s="1"/>
  <c r="Z19" i="1"/>
  <c r="AA19" i="1" s="1"/>
  <c r="AC19" i="1" s="1"/>
  <c r="W19" i="1"/>
  <c r="BN19" i="1" s="1"/>
  <c r="U19" i="1"/>
  <c r="V19" i="1" s="1"/>
  <c r="P19" i="1"/>
  <c r="Q19" i="1" s="1"/>
  <c r="S19" i="1" s="1"/>
  <c r="K19" i="1"/>
  <c r="L19" i="1" s="1"/>
  <c r="N19" i="1" s="1"/>
  <c r="BQ18" i="1"/>
  <c r="BI18" i="1"/>
  <c r="BJ18" i="1" s="1"/>
  <c r="BL18" i="1" s="1"/>
  <c r="BD18" i="1"/>
  <c r="BE18" i="1" s="1"/>
  <c r="BG18" i="1" s="1"/>
  <c r="AY18" i="1"/>
  <c r="AZ18" i="1" s="1"/>
  <c r="BB18" i="1" s="1"/>
  <c r="AT18" i="1"/>
  <c r="AU18" i="1" s="1"/>
  <c r="AW18" i="1" s="1"/>
  <c r="AO18" i="1"/>
  <c r="AP18" i="1" s="1"/>
  <c r="AR18" i="1" s="1"/>
  <c r="AJ18" i="1"/>
  <c r="AK18" i="1" s="1"/>
  <c r="AM18" i="1" s="1"/>
  <c r="AE18" i="1"/>
  <c r="AF18" i="1" s="1"/>
  <c r="AH18" i="1" s="1"/>
  <c r="Z18" i="1"/>
  <c r="AA18" i="1" s="1"/>
  <c r="AC18" i="1" s="1"/>
  <c r="W18" i="1"/>
  <c r="BN18" i="1" s="1"/>
  <c r="U18" i="1"/>
  <c r="V18" i="1" s="1"/>
  <c r="P18" i="1"/>
  <c r="Q18" i="1" s="1"/>
  <c r="S18" i="1" s="1"/>
  <c r="K18" i="1"/>
  <c r="L18" i="1" s="1"/>
  <c r="N18" i="1" s="1"/>
  <c r="BQ17" i="1"/>
  <c r="BI17" i="1"/>
  <c r="BJ17" i="1" s="1"/>
  <c r="BL17" i="1" s="1"/>
  <c r="BD17" i="1"/>
  <c r="BE17" i="1" s="1"/>
  <c r="BG17" i="1" s="1"/>
  <c r="AY17" i="1"/>
  <c r="AZ17" i="1" s="1"/>
  <c r="BB17" i="1" s="1"/>
  <c r="AT17" i="1"/>
  <c r="AU17" i="1" s="1"/>
  <c r="AW17" i="1" s="1"/>
  <c r="AO17" i="1"/>
  <c r="AP17" i="1" s="1"/>
  <c r="AR17" i="1" s="1"/>
  <c r="AJ17" i="1"/>
  <c r="AK17" i="1" s="1"/>
  <c r="AM17" i="1" s="1"/>
  <c r="AE17" i="1"/>
  <c r="AF17" i="1" s="1"/>
  <c r="AH17" i="1" s="1"/>
  <c r="Z17" i="1"/>
  <c r="AA17" i="1" s="1"/>
  <c r="AC17" i="1" s="1"/>
  <c r="W17" i="1"/>
  <c r="BN17" i="1" s="1"/>
  <c r="U17" i="1"/>
  <c r="V17" i="1" s="1"/>
  <c r="P17" i="1"/>
  <c r="Q17" i="1" s="1"/>
  <c r="S17" i="1" s="1"/>
  <c r="K17" i="1"/>
  <c r="L17" i="1" s="1"/>
  <c r="N17" i="1" s="1"/>
  <c r="BQ16" i="1"/>
  <c r="BI16" i="1"/>
  <c r="BJ16" i="1" s="1"/>
  <c r="BL16" i="1" s="1"/>
  <c r="BD16" i="1"/>
  <c r="BE16" i="1" s="1"/>
  <c r="BG16" i="1" s="1"/>
  <c r="AY16" i="1"/>
  <c r="AZ16" i="1" s="1"/>
  <c r="BB16" i="1" s="1"/>
  <c r="AT16" i="1"/>
  <c r="AU16" i="1" s="1"/>
  <c r="AW16" i="1" s="1"/>
  <c r="AO16" i="1"/>
  <c r="AP16" i="1" s="1"/>
  <c r="AR16" i="1" s="1"/>
  <c r="AJ16" i="1"/>
  <c r="AK16" i="1" s="1"/>
  <c r="AM16" i="1" s="1"/>
  <c r="AE16" i="1"/>
  <c r="AF16" i="1" s="1"/>
  <c r="AH16" i="1" s="1"/>
  <c r="Z16" i="1"/>
  <c r="AA16" i="1" s="1"/>
  <c r="AC16" i="1" s="1"/>
  <c r="W16" i="1"/>
  <c r="BN16" i="1" s="1"/>
  <c r="U16" i="1"/>
  <c r="V16" i="1" s="1"/>
  <c r="P16" i="1"/>
  <c r="Q16" i="1" s="1"/>
  <c r="S16" i="1" s="1"/>
  <c r="K16" i="1"/>
  <c r="L16" i="1" s="1"/>
  <c r="N16" i="1" s="1"/>
  <c r="BQ15" i="1"/>
  <c r="BI15" i="1"/>
  <c r="BJ15" i="1" s="1"/>
  <c r="BL15" i="1" s="1"/>
  <c r="BD15" i="1"/>
  <c r="BE15" i="1" s="1"/>
  <c r="BG15" i="1" s="1"/>
  <c r="AY15" i="1"/>
  <c r="AZ15" i="1" s="1"/>
  <c r="BB15" i="1" s="1"/>
  <c r="AT15" i="1"/>
  <c r="AU15" i="1" s="1"/>
  <c r="AW15" i="1" s="1"/>
  <c r="AO15" i="1"/>
  <c r="AP15" i="1" s="1"/>
  <c r="AR15" i="1" s="1"/>
  <c r="AJ15" i="1"/>
  <c r="AK15" i="1" s="1"/>
  <c r="AM15" i="1" s="1"/>
  <c r="AE15" i="1"/>
  <c r="AF15" i="1" s="1"/>
  <c r="AH15" i="1" s="1"/>
  <c r="Z15" i="1"/>
  <c r="AA15" i="1" s="1"/>
  <c r="AC15" i="1" s="1"/>
  <c r="W15" i="1"/>
  <c r="BN15" i="1" s="1"/>
  <c r="U15" i="1"/>
  <c r="V15" i="1" s="1"/>
  <c r="P15" i="1"/>
  <c r="Q15" i="1" s="1"/>
  <c r="S15" i="1" s="1"/>
  <c r="K15" i="1"/>
  <c r="L15" i="1" s="1"/>
  <c r="N15" i="1" s="1"/>
  <c r="BQ14" i="1"/>
  <c r="BI14" i="1"/>
  <c r="BJ14" i="1" s="1"/>
  <c r="BL14" i="1" s="1"/>
  <c r="BD14" i="1"/>
  <c r="BE14" i="1" s="1"/>
  <c r="BG14" i="1" s="1"/>
  <c r="AY14" i="1"/>
  <c r="AZ14" i="1" s="1"/>
  <c r="BB14" i="1" s="1"/>
  <c r="AT14" i="1"/>
  <c r="AU14" i="1" s="1"/>
  <c r="AW14" i="1" s="1"/>
  <c r="AO14" i="1"/>
  <c r="AP14" i="1" s="1"/>
  <c r="AR14" i="1" s="1"/>
  <c r="AJ14" i="1"/>
  <c r="AK14" i="1" s="1"/>
  <c r="AM14" i="1" s="1"/>
  <c r="AE14" i="1"/>
  <c r="AF14" i="1" s="1"/>
  <c r="AH14" i="1" s="1"/>
  <c r="Z14" i="1"/>
  <c r="AA14" i="1" s="1"/>
  <c r="AC14" i="1" s="1"/>
  <c r="W14" i="1"/>
  <c r="BN14" i="1" s="1"/>
  <c r="U14" i="1"/>
  <c r="V14" i="1" s="1"/>
  <c r="P14" i="1"/>
  <c r="Q14" i="1" s="1"/>
  <c r="S14" i="1" s="1"/>
  <c r="K14" i="1"/>
  <c r="L14" i="1" s="1"/>
  <c r="N14" i="1" s="1"/>
  <c r="BQ13" i="1"/>
  <c r="BI13" i="1"/>
  <c r="BJ13" i="1" s="1"/>
  <c r="BL13" i="1" s="1"/>
  <c r="BD13" i="1"/>
  <c r="BE13" i="1" s="1"/>
  <c r="BG13" i="1" s="1"/>
  <c r="AY13" i="1"/>
  <c r="AZ13" i="1" s="1"/>
  <c r="BB13" i="1" s="1"/>
  <c r="AT13" i="1"/>
  <c r="AU13" i="1" s="1"/>
  <c r="AW13" i="1" s="1"/>
  <c r="AO13" i="1"/>
  <c r="AP13" i="1" s="1"/>
  <c r="AR13" i="1" s="1"/>
  <c r="AJ13" i="1"/>
  <c r="AK13" i="1" s="1"/>
  <c r="AM13" i="1" s="1"/>
  <c r="AE13" i="1"/>
  <c r="AF13" i="1" s="1"/>
  <c r="AH13" i="1" s="1"/>
  <c r="Z13" i="1"/>
  <c r="AA13" i="1" s="1"/>
  <c r="AC13" i="1" s="1"/>
  <c r="W13" i="1"/>
  <c r="U13" i="1"/>
  <c r="V13" i="1" s="1"/>
  <c r="P13" i="1"/>
  <c r="Q13" i="1" s="1"/>
  <c r="S13" i="1" s="1"/>
  <c r="K13" i="1"/>
  <c r="L13" i="1" s="1"/>
  <c r="N13" i="1" s="1"/>
  <c r="BQ12" i="1"/>
  <c r="BI12" i="1"/>
  <c r="BJ12" i="1" s="1"/>
  <c r="BL12" i="1" s="1"/>
  <c r="BD12" i="1"/>
  <c r="BE12" i="1" s="1"/>
  <c r="BG12" i="1" s="1"/>
  <c r="AY12" i="1"/>
  <c r="AZ12" i="1" s="1"/>
  <c r="BB12" i="1" s="1"/>
  <c r="AT12" i="1"/>
  <c r="AU12" i="1" s="1"/>
  <c r="AW12" i="1" s="1"/>
  <c r="AO12" i="1"/>
  <c r="AP12" i="1" s="1"/>
  <c r="AR12" i="1" s="1"/>
  <c r="AJ12" i="1"/>
  <c r="AK12" i="1" s="1"/>
  <c r="AM12" i="1" s="1"/>
  <c r="AE12" i="1"/>
  <c r="AF12" i="1" s="1"/>
  <c r="AH12" i="1" s="1"/>
  <c r="Z12" i="1"/>
  <c r="AA12" i="1" s="1"/>
  <c r="AC12" i="1" s="1"/>
  <c r="W12" i="1"/>
  <c r="BN12" i="1" s="1"/>
  <c r="U12" i="1"/>
  <c r="V12" i="1" s="1"/>
  <c r="P12" i="1"/>
  <c r="Q12" i="1" s="1"/>
  <c r="S12" i="1" s="1"/>
  <c r="K12" i="1"/>
  <c r="L12" i="1" s="1"/>
  <c r="N12" i="1" s="1"/>
  <c r="BQ11" i="1"/>
  <c r="BI11" i="1"/>
  <c r="BJ11" i="1" s="1"/>
  <c r="BL11" i="1" s="1"/>
  <c r="BD11" i="1"/>
  <c r="BE11" i="1" s="1"/>
  <c r="BG11" i="1" s="1"/>
  <c r="AY11" i="1"/>
  <c r="AZ11" i="1" s="1"/>
  <c r="BB11" i="1" s="1"/>
  <c r="AT11" i="1"/>
  <c r="AU11" i="1" s="1"/>
  <c r="AW11" i="1" s="1"/>
  <c r="AO11" i="1"/>
  <c r="AP11" i="1" s="1"/>
  <c r="AR11" i="1" s="1"/>
  <c r="AJ11" i="1"/>
  <c r="AK11" i="1" s="1"/>
  <c r="AM11" i="1" s="1"/>
  <c r="AE11" i="1"/>
  <c r="AF11" i="1" s="1"/>
  <c r="AH11" i="1" s="1"/>
  <c r="Z11" i="1"/>
  <c r="AA11" i="1" s="1"/>
  <c r="AC11" i="1" s="1"/>
  <c r="W11" i="1"/>
  <c r="BN11" i="1" s="1"/>
  <c r="U11" i="1"/>
  <c r="V11" i="1" s="1"/>
  <c r="X11" i="1" s="1"/>
  <c r="P11" i="1"/>
  <c r="Q11" i="1" s="1"/>
  <c r="S11" i="1" s="1"/>
  <c r="K11" i="1"/>
  <c r="L11" i="1" s="1"/>
  <c r="N11" i="1" s="1"/>
  <c r="BQ10" i="1"/>
  <c r="BI10" i="1"/>
  <c r="BJ10" i="1" s="1"/>
  <c r="BL10" i="1" s="1"/>
  <c r="BD10" i="1"/>
  <c r="BE10" i="1" s="1"/>
  <c r="BG10" i="1" s="1"/>
  <c r="AY10" i="1"/>
  <c r="AZ10" i="1" s="1"/>
  <c r="BB10" i="1" s="1"/>
  <c r="AT10" i="1"/>
  <c r="AU10" i="1" s="1"/>
  <c r="AW10" i="1" s="1"/>
  <c r="AO10" i="1"/>
  <c r="AP10" i="1" s="1"/>
  <c r="AR10" i="1" s="1"/>
  <c r="AJ10" i="1"/>
  <c r="AK10" i="1" s="1"/>
  <c r="AM10" i="1" s="1"/>
  <c r="AE10" i="1"/>
  <c r="AF10" i="1" s="1"/>
  <c r="AH10" i="1" s="1"/>
  <c r="Z10" i="1"/>
  <c r="AA10" i="1" s="1"/>
  <c r="AC10" i="1" s="1"/>
  <c r="W10" i="1"/>
  <c r="BN10" i="1" s="1"/>
  <c r="U10" i="1"/>
  <c r="V10" i="1" s="1"/>
  <c r="P10" i="1"/>
  <c r="Q10" i="1" s="1"/>
  <c r="S10" i="1" s="1"/>
  <c r="K10" i="1"/>
  <c r="L10" i="1" s="1"/>
  <c r="N10" i="1" s="1"/>
  <c r="BQ9" i="1"/>
  <c r="BI9" i="1"/>
  <c r="BJ9" i="1" s="1"/>
  <c r="BL9" i="1" s="1"/>
  <c r="BD9" i="1"/>
  <c r="BE9" i="1" s="1"/>
  <c r="BG9" i="1" s="1"/>
  <c r="AY9" i="1"/>
  <c r="AZ9" i="1" s="1"/>
  <c r="BB9" i="1" s="1"/>
  <c r="AT9" i="1"/>
  <c r="AU9" i="1" s="1"/>
  <c r="AW9" i="1" s="1"/>
  <c r="AO9" i="1"/>
  <c r="AP9" i="1" s="1"/>
  <c r="AR9" i="1" s="1"/>
  <c r="AJ9" i="1"/>
  <c r="AK9" i="1" s="1"/>
  <c r="AM9" i="1" s="1"/>
  <c r="AE9" i="1"/>
  <c r="AF9" i="1" s="1"/>
  <c r="AH9" i="1" s="1"/>
  <c r="Z9" i="1"/>
  <c r="AA9" i="1" s="1"/>
  <c r="AC9" i="1" s="1"/>
  <c r="W9" i="1"/>
  <c r="BN9" i="1" s="1"/>
  <c r="U9" i="1"/>
  <c r="V9" i="1" s="1"/>
  <c r="P9" i="1"/>
  <c r="Q9" i="1" s="1"/>
  <c r="S9" i="1" s="1"/>
  <c r="K9" i="1"/>
  <c r="L9" i="1" s="1"/>
  <c r="N9" i="1" s="1"/>
  <c r="BQ8" i="1"/>
  <c r="BI8" i="1"/>
  <c r="BJ8" i="1" s="1"/>
  <c r="BL8" i="1" s="1"/>
  <c r="BD8" i="1"/>
  <c r="BE8" i="1" s="1"/>
  <c r="BG8" i="1" s="1"/>
  <c r="AY8" i="1"/>
  <c r="AZ8" i="1" s="1"/>
  <c r="BB8" i="1" s="1"/>
  <c r="AT8" i="1"/>
  <c r="AU8" i="1" s="1"/>
  <c r="AW8" i="1" s="1"/>
  <c r="AO8" i="1"/>
  <c r="AP8" i="1" s="1"/>
  <c r="AR8" i="1" s="1"/>
  <c r="AJ8" i="1"/>
  <c r="AK8" i="1" s="1"/>
  <c r="AM8" i="1" s="1"/>
  <c r="AE8" i="1"/>
  <c r="AF8" i="1" s="1"/>
  <c r="AH8" i="1" s="1"/>
  <c r="Z8" i="1"/>
  <c r="AA8" i="1" s="1"/>
  <c r="AC8" i="1" s="1"/>
  <c r="W8" i="1"/>
  <c r="BN8" i="1" s="1"/>
  <c r="U8" i="1"/>
  <c r="V8" i="1" s="1"/>
  <c r="P8" i="1"/>
  <c r="Q8" i="1" s="1"/>
  <c r="S8" i="1" s="1"/>
  <c r="K8" i="1"/>
  <c r="L8" i="1" s="1"/>
  <c r="N8" i="1" s="1"/>
  <c r="BQ7" i="1"/>
  <c r="BI7" i="1"/>
  <c r="BJ7" i="1" s="1"/>
  <c r="BL7" i="1" s="1"/>
  <c r="BD7" i="1"/>
  <c r="BE7" i="1" s="1"/>
  <c r="BG7" i="1" s="1"/>
  <c r="AY7" i="1"/>
  <c r="AZ7" i="1" s="1"/>
  <c r="BB7" i="1" s="1"/>
  <c r="AT7" i="1"/>
  <c r="AU7" i="1" s="1"/>
  <c r="AW7" i="1" s="1"/>
  <c r="AO7" i="1"/>
  <c r="AP7" i="1" s="1"/>
  <c r="AR7" i="1" s="1"/>
  <c r="AJ7" i="1"/>
  <c r="AK7" i="1" s="1"/>
  <c r="AM7" i="1" s="1"/>
  <c r="AE7" i="1"/>
  <c r="AF7" i="1" s="1"/>
  <c r="AH7" i="1" s="1"/>
  <c r="Z7" i="1"/>
  <c r="AA7" i="1" s="1"/>
  <c r="AC7" i="1" s="1"/>
  <c r="W7" i="1"/>
  <c r="BN7" i="1" s="1"/>
  <c r="U7" i="1"/>
  <c r="V7" i="1" s="1"/>
  <c r="X7" i="1" s="1"/>
  <c r="P7" i="1"/>
  <c r="Q7" i="1" s="1"/>
  <c r="S7" i="1" s="1"/>
  <c r="K7" i="1"/>
  <c r="L7" i="1" s="1"/>
  <c r="N7" i="1" s="1"/>
  <c r="BQ6" i="1"/>
  <c r="BI6" i="1"/>
  <c r="BJ6" i="1" s="1"/>
  <c r="BL6" i="1" s="1"/>
  <c r="BD6" i="1"/>
  <c r="BE6" i="1" s="1"/>
  <c r="BG6" i="1" s="1"/>
  <c r="AY6" i="1"/>
  <c r="AZ6" i="1" s="1"/>
  <c r="BB6" i="1" s="1"/>
  <c r="AT6" i="1"/>
  <c r="AU6" i="1" s="1"/>
  <c r="AW6" i="1" s="1"/>
  <c r="AO6" i="1"/>
  <c r="AP6" i="1" s="1"/>
  <c r="AR6" i="1" s="1"/>
  <c r="AJ6" i="1"/>
  <c r="AK6" i="1" s="1"/>
  <c r="AM6" i="1" s="1"/>
  <c r="AE6" i="1"/>
  <c r="AF6" i="1" s="1"/>
  <c r="AH6" i="1" s="1"/>
  <c r="Z6" i="1"/>
  <c r="AA6" i="1" s="1"/>
  <c r="AC6" i="1" s="1"/>
  <c r="W6" i="1"/>
  <c r="BN6" i="1" s="1"/>
  <c r="U6" i="1"/>
  <c r="V6" i="1" s="1"/>
  <c r="P6" i="1"/>
  <c r="Q6" i="1" s="1"/>
  <c r="S6" i="1" s="1"/>
  <c r="K6" i="1"/>
  <c r="L6" i="1" s="1"/>
  <c r="N6" i="1" s="1"/>
  <c r="BQ5" i="1"/>
  <c r="BI5" i="1"/>
  <c r="BJ5" i="1" s="1"/>
  <c r="BL5" i="1" s="1"/>
  <c r="BD5" i="1"/>
  <c r="BE5" i="1" s="1"/>
  <c r="BG5" i="1" s="1"/>
  <c r="AY5" i="1"/>
  <c r="AZ5" i="1" s="1"/>
  <c r="BB5" i="1" s="1"/>
  <c r="AT5" i="1"/>
  <c r="AU5" i="1" s="1"/>
  <c r="AW5" i="1" s="1"/>
  <c r="AO5" i="1"/>
  <c r="AP5" i="1" s="1"/>
  <c r="AR5" i="1" s="1"/>
  <c r="AJ5" i="1"/>
  <c r="AK5" i="1" s="1"/>
  <c r="AM5" i="1" s="1"/>
  <c r="AE5" i="1"/>
  <c r="AF5" i="1" s="1"/>
  <c r="AH5" i="1" s="1"/>
  <c r="Z5" i="1"/>
  <c r="AA5" i="1" s="1"/>
  <c r="AC5" i="1" s="1"/>
  <c r="W5" i="1"/>
  <c r="BN5" i="1" s="1"/>
  <c r="U5" i="1"/>
  <c r="V5" i="1" s="1"/>
  <c r="P5" i="1"/>
  <c r="Q5" i="1" s="1"/>
  <c r="S5" i="1" s="1"/>
  <c r="K5" i="1"/>
  <c r="L5" i="1" s="1"/>
  <c r="N5" i="1" s="1"/>
  <c r="BQ4" i="1"/>
  <c r="BI4" i="1"/>
  <c r="BJ4" i="1" s="1"/>
  <c r="BL4" i="1" s="1"/>
  <c r="BD4" i="1"/>
  <c r="BE4" i="1" s="1"/>
  <c r="BG4" i="1" s="1"/>
  <c r="AY4" i="1"/>
  <c r="AZ4" i="1" s="1"/>
  <c r="BB4" i="1" s="1"/>
  <c r="AT4" i="1"/>
  <c r="AU4" i="1" s="1"/>
  <c r="AW4" i="1" s="1"/>
  <c r="AO4" i="1"/>
  <c r="AP4" i="1" s="1"/>
  <c r="AR4" i="1" s="1"/>
  <c r="AJ4" i="1"/>
  <c r="AK4" i="1" s="1"/>
  <c r="AM4" i="1" s="1"/>
  <c r="AE4" i="1"/>
  <c r="AF4" i="1" s="1"/>
  <c r="AH4" i="1" s="1"/>
  <c r="Z4" i="1"/>
  <c r="AA4" i="1" s="1"/>
  <c r="AC4" i="1" s="1"/>
  <c r="W4" i="1"/>
  <c r="BN4" i="1" s="1"/>
  <c r="U4" i="1"/>
  <c r="V4" i="1" s="1"/>
  <c r="P4" i="1"/>
  <c r="Q4" i="1" s="1"/>
  <c r="S4" i="1" s="1"/>
  <c r="K4" i="1"/>
  <c r="L4" i="1" s="1"/>
  <c r="N4" i="1" s="1"/>
  <c r="BQ3" i="1"/>
  <c r="BI3" i="1"/>
  <c r="BJ3" i="1" s="1"/>
  <c r="BL3" i="1" s="1"/>
  <c r="BD3" i="1"/>
  <c r="BE3" i="1" s="1"/>
  <c r="BG3" i="1" s="1"/>
  <c r="AY3" i="1"/>
  <c r="AZ3" i="1" s="1"/>
  <c r="BB3" i="1" s="1"/>
  <c r="AT3" i="1"/>
  <c r="AU3" i="1" s="1"/>
  <c r="AW3" i="1" s="1"/>
  <c r="AO3" i="1"/>
  <c r="AP3" i="1" s="1"/>
  <c r="AR3" i="1" s="1"/>
  <c r="AJ3" i="1"/>
  <c r="AK3" i="1" s="1"/>
  <c r="AM3" i="1" s="1"/>
  <c r="AE3" i="1"/>
  <c r="AF3" i="1" s="1"/>
  <c r="AH3" i="1" s="1"/>
  <c r="Z3" i="1"/>
  <c r="AA3" i="1" s="1"/>
  <c r="AC3" i="1" s="1"/>
  <c r="W3" i="1"/>
  <c r="BN3" i="1" s="1"/>
  <c r="U3" i="1"/>
  <c r="V3" i="1" s="1"/>
  <c r="X3" i="1" s="1"/>
  <c r="P3" i="1"/>
  <c r="Q3" i="1" s="1"/>
  <c r="S3" i="1" s="1"/>
  <c r="K3" i="1"/>
  <c r="L3" i="1" s="1"/>
  <c r="N3" i="1" s="1"/>
  <c r="X22" i="1" l="1"/>
  <c r="BM22" i="1" s="1"/>
  <c r="BO22" i="1" s="1"/>
  <c r="BT4" i="1"/>
  <c r="BT25" i="1"/>
  <c r="X21" i="1"/>
  <c r="X9" i="1"/>
  <c r="X32" i="1"/>
  <c r="BM32" i="1" s="1"/>
  <c r="BO32" i="1" s="1"/>
  <c r="X20" i="1"/>
  <c r="BM20" i="1" s="1"/>
  <c r="X4" i="1"/>
  <c r="BT15" i="1"/>
  <c r="X43" i="1"/>
  <c r="BM43" i="1" s="1"/>
  <c r="X17" i="1"/>
  <c r="BM17" i="1" s="1"/>
  <c r="BO17" i="1" s="1"/>
  <c r="X35" i="1"/>
  <c r="X24" i="1"/>
  <c r="X34" i="1"/>
  <c r="BM34" i="1" s="1"/>
  <c r="X6" i="1"/>
  <c r="BM6" i="1" s="1"/>
  <c r="BM35" i="1"/>
  <c r="BS35" i="1" s="1"/>
  <c r="BT24" i="1"/>
  <c r="BT35" i="1"/>
  <c r="X27" i="1"/>
  <c r="BM27" i="1" s="1"/>
  <c r="BT5" i="1"/>
  <c r="X12" i="1"/>
  <c r="BM12" i="1" s="1"/>
  <c r="X19" i="1"/>
  <c r="BM19" i="1" s="1"/>
  <c r="X41" i="1"/>
  <c r="BM41" i="1" s="1"/>
  <c r="X15" i="1"/>
  <c r="BM15" i="1" s="1"/>
  <c r="BO15" i="1" s="1"/>
  <c r="X23" i="1"/>
  <c r="BM23" i="1" s="1"/>
  <c r="BT31" i="1"/>
  <c r="BT39" i="1"/>
  <c r="BP14" i="1"/>
  <c r="BR14" i="1" s="1"/>
  <c r="BT19" i="1"/>
  <c r="BT42" i="1"/>
  <c r="X26" i="1"/>
  <c r="BM26" i="1" s="1"/>
  <c r="X30" i="1"/>
  <c r="BM30" i="1" s="1"/>
  <c r="X38" i="1"/>
  <c r="BM38" i="1" s="1"/>
  <c r="BO38" i="1" s="1"/>
  <c r="BT18" i="1"/>
  <c r="X25" i="1"/>
  <c r="BM25" i="1" s="1"/>
  <c r="X29" i="1"/>
  <c r="BM29" i="1" s="1"/>
  <c r="X5" i="1"/>
  <c r="BM5" i="1" s="1"/>
  <c r="X28" i="1"/>
  <c r="BM28" i="1" s="1"/>
  <c r="BT34" i="1"/>
  <c r="X8" i="1"/>
  <c r="BM8" i="1" s="1"/>
  <c r="BT28" i="1"/>
  <c r="BP11" i="1"/>
  <c r="BR11" i="1" s="1"/>
  <c r="BT38" i="1"/>
  <c r="BP35" i="1"/>
  <c r="BR35" i="1" s="1"/>
  <c r="BT14" i="1"/>
  <c r="X16" i="1"/>
  <c r="BM16" i="1" s="1"/>
  <c r="BT17" i="1"/>
  <c r="BT16" i="1"/>
  <c r="BT26" i="1"/>
  <c r="BT32" i="1"/>
  <c r="BT27" i="1"/>
  <c r="BT11" i="1"/>
  <c r="BT8" i="1"/>
  <c r="BT12" i="1"/>
  <c r="BP13" i="1"/>
  <c r="BR13" i="1" s="1"/>
  <c r="BP30" i="1"/>
  <c r="BR30" i="1" s="1"/>
  <c r="BT21" i="1"/>
  <c r="X31" i="1"/>
  <c r="BM31" i="1" s="1"/>
  <c r="X36" i="1"/>
  <c r="BM36" i="1" s="1"/>
  <c r="X18" i="1"/>
  <c r="BM18" i="1" s="1"/>
  <c r="BT36" i="1"/>
  <c r="BT9" i="1"/>
  <c r="X37" i="1"/>
  <c r="BM37" i="1" s="1"/>
  <c r="BP32" i="1"/>
  <c r="BR32" i="1" s="1"/>
  <c r="BP31" i="1"/>
  <c r="BR31" i="1" s="1"/>
  <c r="BT10" i="1"/>
  <c r="BM11" i="1"/>
  <c r="BM24" i="1"/>
  <c r="BO24" i="1" s="1"/>
  <c r="BP25" i="1"/>
  <c r="BR25" i="1" s="1"/>
  <c r="BT43" i="1"/>
  <c r="BP7" i="1"/>
  <c r="BR7" i="1" s="1"/>
  <c r="BT40" i="1"/>
  <c r="BT30" i="1"/>
  <c r="BP43" i="1"/>
  <c r="BR43" i="1" s="1"/>
  <c r="BP19" i="1"/>
  <c r="BR19" i="1" s="1"/>
  <c r="BT29" i="1"/>
  <c r="BT37" i="1"/>
  <c r="BT22" i="1"/>
  <c r="BP42" i="1"/>
  <c r="BR42" i="1" s="1"/>
  <c r="BT23" i="1"/>
  <c r="BP12" i="1"/>
  <c r="BR12" i="1" s="1"/>
  <c r="BT3" i="1"/>
  <c r="X33" i="1"/>
  <c r="BM33" i="1" s="1"/>
  <c r="BT41" i="1"/>
  <c r="X42" i="1"/>
  <c r="BM42" i="1" s="1"/>
  <c r="BP29" i="1"/>
  <c r="BR29" i="1" s="1"/>
  <c r="BP6" i="1"/>
  <c r="BR6" i="1" s="1"/>
  <c r="BP10" i="1"/>
  <c r="BR10" i="1" s="1"/>
  <c r="BP22" i="1"/>
  <c r="BR22" i="1" s="1"/>
  <c r="X10" i="1"/>
  <c r="BM10" i="1" s="1"/>
  <c r="BP24" i="1"/>
  <c r="BR24" i="1" s="1"/>
  <c r="BP20" i="1"/>
  <c r="BR20" i="1" s="1"/>
  <c r="BP38" i="1"/>
  <c r="BR38" i="1" s="1"/>
  <c r="X14" i="1"/>
  <c r="BM14" i="1" s="1"/>
  <c r="BP39" i="1"/>
  <c r="BR39" i="1" s="1"/>
  <c r="BP8" i="1"/>
  <c r="BR8" i="1" s="1"/>
  <c r="BP16" i="1"/>
  <c r="BR16" i="1" s="1"/>
  <c r="BM3" i="1"/>
  <c r="BM40" i="1"/>
  <c r="BP17" i="1"/>
  <c r="BR17" i="1" s="1"/>
  <c r="BP33" i="1"/>
  <c r="BR33" i="1" s="1"/>
  <c r="BP5" i="1"/>
  <c r="BR5" i="1" s="1"/>
  <c r="BP9" i="1"/>
  <c r="BR9" i="1" s="1"/>
  <c r="BM39" i="1"/>
  <c r="BP40" i="1"/>
  <c r="BR40" i="1" s="1"/>
  <c r="BM9" i="1"/>
  <c r="BP28" i="1"/>
  <c r="BR28" i="1" s="1"/>
  <c r="BP18" i="1"/>
  <c r="BR18" i="1" s="1"/>
  <c r="BP26" i="1"/>
  <c r="BR26" i="1" s="1"/>
  <c r="BN13" i="1"/>
  <c r="BT13" i="1" s="1"/>
  <c r="X13" i="1"/>
  <c r="BM13" i="1" s="1"/>
  <c r="BP3" i="1"/>
  <c r="BR3" i="1" s="1"/>
  <c r="BP27" i="1"/>
  <c r="BR27" i="1" s="1"/>
  <c r="BP23" i="1"/>
  <c r="BR23" i="1" s="1"/>
  <c r="BP21" i="1"/>
  <c r="BR21" i="1" s="1"/>
  <c r="BT7" i="1"/>
  <c r="BP36" i="1"/>
  <c r="BR36" i="1" s="1"/>
  <c r="BP41" i="1"/>
  <c r="BR41" i="1" s="1"/>
  <c r="BP15" i="1"/>
  <c r="BR15" i="1" s="1"/>
  <c r="BM7" i="1"/>
  <c r="BM21" i="1"/>
  <c r="BT6" i="1"/>
  <c r="BP34" i="1"/>
  <c r="BR34" i="1" s="1"/>
  <c r="BT33" i="1"/>
  <c r="BM4" i="1"/>
  <c r="BP4" i="1"/>
  <c r="BR4" i="1" s="1"/>
  <c r="BP37" i="1"/>
  <c r="BR37" i="1" s="1"/>
  <c r="BT20" i="1"/>
  <c r="BO35" i="1" l="1"/>
  <c r="BU35" i="1"/>
  <c r="BS11" i="1"/>
  <c r="BU11" i="1" s="1"/>
  <c r="BS29" i="1"/>
  <c r="BU29" i="1" s="1"/>
  <c r="BO29" i="1"/>
  <c r="BS12" i="1"/>
  <c r="BU12" i="1" s="1"/>
  <c r="BS38" i="1"/>
  <c r="BU38" i="1" s="1"/>
  <c r="BS22" i="1"/>
  <c r="BS33" i="1"/>
  <c r="BU33" i="1" s="1"/>
  <c r="BO33" i="1"/>
  <c r="BO37" i="1"/>
  <c r="BS37" i="1"/>
  <c r="BU37" i="1" s="1"/>
  <c r="BO11" i="1"/>
  <c r="BS32" i="1"/>
  <c r="BU32" i="1" s="1"/>
  <c r="BO12" i="1"/>
  <c r="BU22" i="1"/>
  <c r="BS34" i="1"/>
  <c r="BU34" i="1" s="1"/>
  <c r="BO34" i="1"/>
  <c r="BS23" i="1"/>
  <c r="BU23" i="1" s="1"/>
  <c r="BO23" i="1"/>
  <c r="BO31" i="1"/>
  <c r="BS31" i="1"/>
  <c r="BU31" i="1" s="1"/>
  <c r="BO20" i="1"/>
  <c r="BS20" i="1"/>
  <c r="BU20" i="1" s="1"/>
  <c r="BO30" i="1"/>
  <c r="BS30" i="1"/>
  <c r="BU30" i="1" s="1"/>
  <c r="BS15" i="1"/>
  <c r="BU15" i="1" s="1"/>
  <c r="BO9" i="1"/>
  <c r="BS9" i="1"/>
  <c r="BU9" i="1" s="1"/>
  <c r="BS25" i="1"/>
  <c r="BU25" i="1" s="1"/>
  <c r="BO25" i="1"/>
  <c r="BS4" i="1"/>
  <c r="BU4" i="1" s="1"/>
  <c r="BO4" i="1"/>
  <c r="BO7" i="1"/>
  <c r="BS7" i="1"/>
  <c r="BU7" i="1" s="1"/>
  <c r="BS5" i="1"/>
  <c r="BU5" i="1" s="1"/>
  <c r="BO5" i="1"/>
  <c r="BS36" i="1"/>
  <c r="BU36" i="1" s="1"/>
  <c r="BO36" i="1"/>
  <c r="BO39" i="1"/>
  <c r="BS39" i="1"/>
  <c r="BU39" i="1" s="1"/>
  <c r="BS28" i="1"/>
  <c r="BU28" i="1" s="1"/>
  <c r="BO28" i="1"/>
  <c r="BS43" i="1"/>
  <c r="BU43" i="1" s="1"/>
  <c r="BO43" i="1"/>
  <c r="BS10" i="1"/>
  <c r="BU10" i="1" s="1"/>
  <c r="BO10" i="1"/>
  <c r="BO27" i="1"/>
  <c r="BS27" i="1"/>
  <c r="BU27" i="1" s="1"/>
  <c r="BO8" i="1"/>
  <c r="BS8" i="1"/>
  <c r="BU8" i="1" s="1"/>
  <c r="BS41" i="1"/>
  <c r="BU41" i="1" s="1"/>
  <c r="BO41" i="1"/>
  <c r="BO42" i="1"/>
  <c r="BS42" i="1"/>
  <c r="BU42" i="1" s="1"/>
  <c r="BO26" i="1"/>
  <c r="BS26" i="1"/>
  <c r="BU26" i="1" s="1"/>
  <c r="BS18" i="1"/>
  <c r="BU18" i="1" s="1"/>
  <c r="BO18" i="1"/>
  <c r="BS24" i="1"/>
  <c r="BU24" i="1" s="1"/>
  <c r="BO6" i="1"/>
  <c r="BS6" i="1"/>
  <c r="BU6" i="1" s="1"/>
  <c r="BS16" i="1"/>
  <c r="BU16" i="1" s="1"/>
  <c r="BO16" i="1"/>
  <c r="BS40" i="1"/>
  <c r="BU40" i="1" s="1"/>
  <c r="BO40" i="1"/>
  <c r="BO19" i="1"/>
  <c r="BS19" i="1"/>
  <c r="BU19" i="1" s="1"/>
  <c r="BO13" i="1"/>
  <c r="BS13" i="1"/>
  <c r="BU13" i="1" s="1"/>
  <c r="BO14" i="1"/>
  <c r="BS14" i="1"/>
  <c r="BU14" i="1" s="1"/>
  <c r="BS21" i="1"/>
  <c r="BU21" i="1" s="1"/>
  <c r="BO21" i="1"/>
  <c r="BO3" i="1"/>
  <c r="BS3" i="1"/>
  <c r="BU3" i="1" s="1"/>
  <c r="BS17" i="1"/>
  <c r="BU17" i="1" s="1"/>
  <c r="BW22" i="1" l="1"/>
  <c r="BV22" i="1"/>
  <c r="BW19" i="1"/>
  <c r="BV19" i="1"/>
  <c r="BW25" i="1"/>
  <c r="BV25" i="1"/>
  <c r="BV33" i="1"/>
  <c r="BW33" i="1"/>
  <c r="BV35" i="1"/>
  <c r="BW35" i="1"/>
  <c r="BW14" i="1"/>
  <c r="BV14" i="1"/>
  <c r="BW5" i="1"/>
  <c r="BV5" i="1"/>
  <c r="BW7" i="1"/>
  <c r="BV7" i="1"/>
  <c r="BW34" i="1"/>
  <c r="BV34" i="1"/>
  <c r="BW13" i="1"/>
  <c r="BV13" i="1"/>
  <c r="BW41" i="1"/>
  <c r="BV41" i="1"/>
  <c r="BW8" i="1"/>
  <c r="BV8" i="1"/>
  <c r="BW4" i="1"/>
  <c r="BV4" i="1"/>
  <c r="BW32" i="1"/>
  <c r="BV32" i="1"/>
  <c r="BW27" i="1"/>
  <c r="BV27" i="1"/>
  <c r="BV37" i="1"/>
  <c r="BW37" i="1"/>
  <c r="BW40" i="1"/>
  <c r="BV40" i="1"/>
  <c r="BW9" i="1"/>
  <c r="BV9" i="1"/>
  <c r="BW10" i="1"/>
  <c r="BV10" i="1"/>
  <c r="BW16" i="1"/>
  <c r="BV16" i="1"/>
  <c r="BW15" i="1"/>
  <c r="BV15" i="1"/>
  <c r="BW6" i="1"/>
  <c r="BV6" i="1"/>
  <c r="BW43" i="1"/>
  <c r="BV43" i="1"/>
  <c r="BW30" i="1"/>
  <c r="BV30" i="1"/>
  <c r="BW38" i="1"/>
  <c r="BV38" i="1"/>
  <c r="BW24" i="1"/>
  <c r="BV24" i="1"/>
  <c r="BW28" i="1"/>
  <c r="BV28" i="1"/>
  <c r="BV20" i="1"/>
  <c r="BW20" i="1"/>
  <c r="BW12" i="1"/>
  <c r="BV12" i="1"/>
  <c r="BV17" i="1"/>
  <c r="BW17" i="1"/>
  <c r="BV39" i="1"/>
  <c r="BW39" i="1"/>
  <c r="BW3" i="1"/>
  <c r="BV3" i="1"/>
  <c r="BW18" i="1"/>
  <c r="BV18" i="1"/>
  <c r="BV31" i="1"/>
  <c r="BW31" i="1"/>
  <c r="BW29" i="1"/>
  <c r="BV29" i="1"/>
  <c r="BW26" i="1"/>
  <c r="BV26" i="1"/>
  <c r="BW11" i="1"/>
  <c r="BV11" i="1"/>
  <c r="BV36" i="1"/>
  <c r="BW36" i="1"/>
  <c r="BV21" i="1"/>
  <c r="BW21" i="1"/>
  <c r="BV42" i="1"/>
  <c r="BW42" i="1"/>
  <c r="BW23" i="1"/>
  <c r="BV23" i="1"/>
</calcChain>
</file>

<file path=xl/sharedStrings.xml><?xml version="1.0" encoding="utf-8"?>
<sst xmlns="http://schemas.openxmlformats.org/spreadsheetml/2006/main" count="271" uniqueCount="171">
  <si>
    <t>NO</t>
  </si>
  <si>
    <t>NAMA MAHASISWA</t>
  </si>
  <si>
    <t>NIM</t>
  </si>
  <si>
    <t>PROGRAM</t>
  </si>
  <si>
    <t>PPKDP</t>
  </si>
  <si>
    <t>PPKMB</t>
  </si>
  <si>
    <t>PPKA</t>
  </si>
  <si>
    <t>PPKM</t>
  </si>
  <si>
    <t>PPKKJ</t>
  </si>
  <si>
    <t>PPKML</t>
  </si>
  <si>
    <t>JN</t>
  </si>
  <si>
    <t>JB</t>
  </si>
  <si>
    <t>IPS</t>
  </si>
  <si>
    <t>PPKG</t>
  </si>
  <si>
    <t>PPKGK</t>
  </si>
  <si>
    <t>PPMK</t>
  </si>
  <si>
    <t>PPKKK</t>
  </si>
  <si>
    <t>KARYA ILMIAH AKHIR (KIAN)</t>
  </si>
  <si>
    <t>TOTAL</t>
  </si>
  <si>
    <t>I.P.K</t>
  </si>
  <si>
    <t>NILAI</t>
  </si>
  <si>
    <t>LMB</t>
  </si>
  <si>
    <t>MUTU</t>
  </si>
  <si>
    <t>SKS</t>
  </si>
  <si>
    <t>JML</t>
  </si>
  <si>
    <t>BOBOT</t>
  </si>
  <si>
    <t>Alini Kelesy Wulandari, S.Kep</t>
  </si>
  <si>
    <t>Non Reguler</t>
  </si>
  <si>
    <t>Astrid Julantika, S.Kep</t>
  </si>
  <si>
    <t>Efika, S.Kep</t>
  </si>
  <si>
    <t>Eka Afriani, S.Kep</t>
  </si>
  <si>
    <t>Fadhilah Mufarrichah, S.Kep</t>
  </si>
  <si>
    <t>Lili Wahyuni, S.Kep</t>
  </si>
  <si>
    <t>Renta Febrywati Silalahi, S.Kep</t>
  </si>
  <si>
    <t>Rika Erviana, S.Kep</t>
  </si>
  <si>
    <t>Rizki Azmazatin, S.Kep</t>
  </si>
  <si>
    <t>Seli Susanti, S.Kep</t>
  </si>
  <si>
    <t>Siti Aulia Kurnia, S.Kep</t>
  </si>
  <si>
    <t>Maimunah, S.Kep</t>
  </si>
  <si>
    <t>Andek Sukhairi Indrawan, S.Kep</t>
  </si>
  <si>
    <t>Reguler</t>
  </si>
  <si>
    <t>Andi Rizka Juniawati, S.Kep</t>
  </si>
  <si>
    <t>Ayu Putri Ananda, S.Kep</t>
  </si>
  <si>
    <t>Clara Egidya Mariyadi, S.Kep</t>
  </si>
  <si>
    <t>Dewi Yuhanda, S.Kep</t>
  </si>
  <si>
    <t>Endang Ayu Lestari, S.Kep</t>
  </si>
  <si>
    <t>Ghina Kalbiah, S.Kep</t>
  </si>
  <si>
    <t>Ivy Hani Anggita, S.Kep</t>
  </si>
  <si>
    <t>Jeny Afriani, S.Kep</t>
  </si>
  <si>
    <t>Nureza Rahmadani, S.Kep</t>
  </si>
  <si>
    <t>Oktaviana, S.Kep</t>
  </si>
  <si>
    <t>Putri, S.Kep</t>
  </si>
  <si>
    <t>Putri Apricilia Nurlis, S.Kep</t>
  </si>
  <si>
    <t>Putri Yani, S.Kep</t>
  </si>
  <si>
    <t>Rima Alfiana, S.Kep</t>
  </si>
  <si>
    <t>Riyan Saputra, S.Kep</t>
  </si>
  <si>
    <t>Saherawati, S.Kep</t>
  </si>
  <si>
    <t>Sri Laras Puspita, S.Kep</t>
  </si>
  <si>
    <t>Suryan Nurmasyitah, S.Kep</t>
  </si>
  <si>
    <t>Trisna Wati, S.Kep</t>
  </si>
  <si>
    <t>Usni Adetia Khairina, S.Kep</t>
  </si>
  <si>
    <t>Yolanda Putri Jotama, S.Kep</t>
  </si>
  <si>
    <t>Yommi Putri Aprilia, S.Kep</t>
  </si>
  <si>
    <t>Yugi Amaliandini, S.Kep</t>
  </si>
  <si>
    <t>Yusnita Fiandari, S.Kep</t>
  </si>
  <si>
    <r>
      <t>Yang Ramadhita Destiany</t>
    </r>
    <r>
      <rPr>
        <sz val="12"/>
        <color rgb="FF000000"/>
        <rFont val="Arial"/>
        <family val="2"/>
      </rPr>
      <t>, S.Kep</t>
    </r>
  </si>
  <si>
    <r>
      <t>Ahmad Saifuddin Azhary</t>
    </r>
    <r>
      <rPr>
        <sz val="12"/>
        <color rgb="FF000000"/>
        <rFont val="Arial"/>
        <family val="2"/>
      </rPr>
      <t>, S.Kep</t>
    </r>
  </si>
  <si>
    <r>
      <t>Said Muhammad Akbar Ali Hanafi</t>
    </r>
    <r>
      <rPr>
        <sz val="12"/>
        <color rgb="FF000000"/>
        <rFont val="Arial"/>
        <family val="2"/>
      </rPr>
      <t>, S.Kep</t>
    </r>
  </si>
  <si>
    <r>
      <t>Maulina Husna</t>
    </r>
    <r>
      <rPr>
        <sz val="12"/>
        <color rgb="FF000000"/>
        <rFont val="Arial"/>
        <family val="2"/>
      </rPr>
      <t>, S.Kep</t>
    </r>
  </si>
  <si>
    <t>Tempat Lahir</t>
  </si>
  <si>
    <t>Tanggal Lahir</t>
  </si>
  <si>
    <t>No Transkip</t>
  </si>
  <si>
    <t>IPS1</t>
  </si>
  <si>
    <t>Tanggal Lulus</t>
  </si>
  <si>
    <t>Predikat</t>
  </si>
  <si>
    <t>Predikat Inggris</t>
  </si>
  <si>
    <t>Judul</t>
  </si>
  <si>
    <t>Tanjung Uban</t>
  </si>
  <si>
    <t>07 Desember 1993</t>
  </si>
  <si>
    <t>Khairiah Mandah</t>
  </si>
  <si>
    <t>16 Juni 1999</t>
  </si>
  <si>
    <t>Payalaman</t>
  </si>
  <si>
    <t>27 Desember 1981</t>
  </si>
  <si>
    <t>Purwa Negara</t>
  </si>
  <si>
    <t>10 Meni 1995</t>
  </si>
  <si>
    <t>Jambi</t>
  </si>
  <si>
    <t>27 Oktober 1997</t>
  </si>
  <si>
    <t>Pemangkat</t>
  </si>
  <si>
    <t>12 Desember 1990</t>
  </si>
  <si>
    <t>P. Siantar</t>
  </si>
  <si>
    <t>08 Februari 1985</t>
  </si>
  <si>
    <t>Toapaya</t>
  </si>
  <si>
    <t>04 mei 1990</t>
  </si>
  <si>
    <t>Pangkil</t>
  </si>
  <si>
    <t>12 Desember 1996</t>
  </si>
  <si>
    <t>Kemaman</t>
  </si>
  <si>
    <t>09 Maret 1995</t>
  </si>
  <si>
    <t>Tembilahan</t>
  </si>
  <si>
    <t>05 April 1982</t>
  </si>
  <si>
    <t>Malang Rapat</t>
  </si>
  <si>
    <t>20 Juni 2001</t>
  </si>
  <si>
    <t>Kijang</t>
  </si>
  <si>
    <t>21 Juli 2002</t>
  </si>
  <si>
    <t>Tarempa</t>
  </si>
  <si>
    <t>12 Maret 2002</t>
  </si>
  <si>
    <t>Tanjungpinang</t>
  </si>
  <si>
    <t>17 Juli 2002</t>
  </si>
  <si>
    <t>Parit Kenipan</t>
  </si>
  <si>
    <t>08 Maret 2002</t>
  </si>
  <si>
    <t>Pekanbaru</t>
  </si>
  <si>
    <t>20 Mei 2003</t>
  </si>
  <si>
    <t>18 Februari 2002</t>
  </si>
  <si>
    <t>Dabo Singkep</t>
  </si>
  <si>
    <t>01 Februari 2003</t>
  </si>
  <si>
    <t>10 Januari 1997</t>
  </si>
  <si>
    <t>Teluk Kecik Kundur</t>
  </si>
  <si>
    <t>20 april 2002</t>
  </si>
  <si>
    <t>30 April 2001</t>
  </si>
  <si>
    <t>P. Mentebung</t>
  </si>
  <si>
    <t>02 November 2000</t>
  </si>
  <si>
    <t>Sungai Buluh</t>
  </si>
  <si>
    <t>05 mei 2002</t>
  </si>
  <si>
    <t>Keton</t>
  </si>
  <si>
    <t>01 September 1995</t>
  </si>
  <si>
    <t>Air Bini</t>
  </si>
  <si>
    <t>08 Mei 2000</t>
  </si>
  <si>
    <t>Tanjung Balai Karimun</t>
  </si>
  <si>
    <t>02 April 2002</t>
  </si>
  <si>
    <t>Putik</t>
  </si>
  <si>
    <t>25 Agustus 2000</t>
  </si>
  <si>
    <t>Penuba</t>
  </si>
  <si>
    <t>21 April 2001</t>
  </si>
  <si>
    <t>Teluk Uma Karimun</t>
  </si>
  <si>
    <t>10 September 2002</t>
  </si>
  <si>
    <t>10 Juni 2002</t>
  </si>
  <si>
    <t>01 Desember 2001</t>
  </si>
  <si>
    <t>02 November 2001</t>
  </si>
  <si>
    <t>Tanjunng Balai Karimum</t>
  </si>
  <si>
    <t>23 Mei 2002</t>
  </si>
  <si>
    <t>Asuhan Keperawatan Nyeri Pada Tn. R Dengan Kanker Paru Dan Penerapan Terapi Murottal Al-Quran Di Ruang Alamanda Rsud Kabupaten Bintan Tahun 2025</t>
  </si>
  <si>
    <t>Asuhan Keperawatan Hipertermi Pada An.A Dengan Kejang Demam Dan Penerapan Tepid Water Sponge Di Ruang Subi Kecil Di Rumkital Dr. Midiyato Suratani Tanjungpinang Tahun 2024</t>
  </si>
  <si>
    <t>Asuhan Keperawatan Nyeri Akut Pada Ny. A Dengan Postpartum Spontan Dan Penerapan Massage Effleurage Di Ruangan Bougenville Rsud Raja Ahmad Tabib Tanjungpinang Tahun 2024</t>
  </si>
  <si>
    <t>Asuhan Keperawatan Nyeri Akut Pada Tn. E S Dengan Gout Arthritis Dan Penerapan Kompres Hangat Jahe Merah Di Rumah Bahagia Embung Fatimah Dinas Sosial Kota Tanjungpinang Tahun 2025</t>
  </si>
  <si>
    <t>Asuhan Keperawatan Nyeri Akut Pada Ny. S Dengan Post Sectio Caesarea Ketuban Pecah Dini (Kpd) Dan Penerapan Aromaterapi Bitter Orange Di Ruang Sebetul Rumkital Dr. Midiyato Suratani Tanjungpinang Tahun 2025</t>
  </si>
  <si>
    <t>Asuhan Keperawatan Gangguan Mobilitas Fisik Pada Ny. P Dengan Stroke Non Haemoragic Dan Penerapan Rom (Range Of Motion) Pasif Di Ruang Melati Rsud Raja Ahmad Thabib Provinsi Kepulauan Riau</t>
  </si>
  <si>
    <t>Asuhan Keperawatan Nyeri Akut Pada Ny. N Dengan Post Ops Kolesistektomi Dan Penerapan Teknik Genggam Jari Di Ruang Mangkai Rumkital Dr. Midiyato Suratani Tanjungpinang Tahun 2024</t>
  </si>
  <si>
    <t>Asuhan Keperawatan Nyeri Akut Pada Ny. J Dengan Post Operasi Sectio Caesarea Dan Penerapan Mobilisasi Dini Di Rsud Kabupaten Bintan Tahun 2024</t>
  </si>
  <si>
    <t>Asuhan Keperawatan Pola Nafas Tidak Efektif Pada Tn. L Dengan Penyakit Paru Obstruksi Kronis (PPOK) Dan Penerapan Teknik Pursed Lip Breathing Di Igd Rsud Kabupaten Bintan Tahun 2025</t>
  </si>
  <si>
    <t>Asuhan Keperawatan Hipertermia Pada An.F Dengan Dengue Hemorrhagic Fever Dan Penerapan Kompres Dengan Aloevera Di Ruang Gardenia RSUD Kabupaten Bintan Tahun 2024</t>
  </si>
  <si>
    <t>Asuhan Keperawatan Manajemen Kesehatan Tidak Efektif Pada Keluarga Tn. M Dengan Hipertensi Dan Penerapan Senam Hipertensi Di Wilayah Kerja Puskesmas Kampung Bugis Tahun 2025</t>
  </si>
  <si>
    <t>Asuhan Keperawatan Gangguan Mobilitas Fisik Pada Tn. A Dengan Post Op Orif Fraktur Femur Dan Penerapan Range Of Motion (Rom) Di Ruang Senoa Rumkital Dr. Midiyato Suratani Tanjungpinang</t>
  </si>
  <si>
    <t>Asuhan Keperawatan Nyeri Akut Pada Ny. S Dengan Post Op Fraktur Clavicula Dan Penerapan Cold Pack Di Ruang Senoa Rumkital Dr. Midiyato Suratani Tanjungpinang</t>
  </si>
  <si>
    <t>Asuhan Keperawatan Gangguan Mobilitas Fisik Pada Ny.L Dengan Post Operasi Laparatomy Tumor Hati Dan Penerapan Mobilisasi Dini Di Ruang Senoa Rsal Dr Midiyato Suratani Tanjungpinang</t>
  </si>
  <si>
    <t>Asuhan Keperawatan Keletihan Pada Ny.Z Dengan Chronic Kidney Disease Dan Penerapan Terapi Pijat Kaki Di Icu Rumkital Dr. Midiyato Suratani Tanjungpinang Tahun 2025</t>
  </si>
  <si>
    <t>Asuhan Keperawatan Risiko Perfusi Selebral Tidak Efektif Pada Ny.M Dengan Hipertensi Dan Penerapan Slow Back Massage Di Ruang Dahlia Raja Ahmad Thabib Tanjungpinang</t>
  </si>
  <si>
    <t>Asuhan Keperawatan Nyeri Akut Pada Ny.T Dengan Post Sectio Caesarea Ketuban Pecah Dini (Kpd) Dan Penerapan Relaksasi Genggam Jari Di Ruangan Sebetul Rumkital Dr. Midiyato Suratani Tanjungpinang</t>
  </si>
  <si>
    <t>Asuhan Keperawatan Nyeri Akut Pada Tn.H Dengan Post Operasi Hernia Inguinalis Dan Penerapan Aromaterapi Lemon Di Ruang Senoa Rumkital Dr. Midiyato Suratani Tanjungpinang</t>
  </si>
  <si>
    <t>Asuhan Keperawatan Gangguan Persepsi Sensori Halusinasi Pendengaran Pada Tn.M Dengan Skizofrenia Paranoid Dan Penerapan Terapi Thought Stopping Di Ruang Mandau 2 Rsj Tampan Pekanbaru Tahun 2025</t>
  </si>
  <si>
    <t>Asuhan Keperawatan Nyeri Akut Pada Ny.P Dengan Post Sectio Caesarea Cephalopelvic Disproportion (Cpd) Dan Penerapan Aromaterapi Lavender Di Ruang Sebetul Rumkital Dr. Midiyato Suratani Tanjungpinang</t>
  </si>
  <si>
    <t>Asuhan Keperawatan Nyeri Pada Tn.D Dengan Rhematoid Athritis Dan Penerapan Kompres Air Jahe Di Di Rumah Bahagia Bintan</t>
  </si>
  <si>
    <t>Asuhan Keperawatan Nyeri Akut Pada Tn.S Dengan Post Operasi Hernia Dan Penerapan Terapi Musik Di Ruang Senoa Dr. Rsal Midiyato Suratani Tanjungpinang</t>
  </si>
  <si>
    <t>Asuhan Keperawatan Nyeri Akut Pada Tn.S Dengan Gastritis Dan Penerapan Rebusan Air Kunyit Di Rumah Bahagia Bintan Tahun 2025</t>
  </si>
  <si>
    <t>Asuhan Keperawatan Pada Tn.K Dengan Gangguan Persepsi Sensori: Halusinasi Pendengaran Dengan Penerapan Terapi Okupasi Di Rsj Tampan Riau</t>
  </si>
  <si>
    <t>Asuhan Keperawatan Menyusui Tidak Efektif Pada Ny.L Dengan Post Sectio Caesare Ketuban Pecah Dini (Kpd) Dan Penerapan Massege Oksitosin Di Ruang Boungenvill Raja Ahmad Tabib Provinsi Kepulauan Riau</t>
  </si>
  <si>
    <t>Asuhan Keperawatan Gangguan Pertukaran Gas Pada Ny.L Dengan Acute Decompensated Heart Failure (Adhf) Dan Penerapan Posisi Semi Fowler 30 – 45 Di Icu Rsud Raja Ahmad Tabib Tanjungpinang Tahun 202</t>
  </si>
  <si>
    <t>Asuhan Keperawatan Hipervolemia Pada Ny.K Dengan Chronic Kidney Disease (Ckd) Dan Penerapan Ankle Pump Exercise Dan Elevasi Kaki Di Ruang Dahlia Rsud Raja Ahmad Thabib Tanjungpinang Tahun 2025</t>
  </si>
  <si>
    <t>Asuhan Keperawatan Bersihan Jalan Nafas Tidak Efektif Pada Tn. S Dengan Ppok Dan Penerapan Teknik Clapping Di Ruang Dahlia Rsud Raja Ahmad Thabib Kota Tanjung Pinang</t>
  </si>
  <si>
    <t>Asuhan Keperawatan Bersihan Jalan Nafas Tidak Efektif Pada An.H Bronkopneumonia Dan Penerapan Terapi Uap Minyak Kayu Putih Di Ruangan Anyelir Rumah Sakit Raja Ahmad Thabib Provinsi Kepulauan Riau</t>
  </si>
  <si>
    <t>Asuhan Keperawatan Bersihan Jalan Napas Tidak Efektif Pada Ny.N Dengan Ppok Eksaserbasi Dan Penerapan Active Cycle Of Breathing Technique Di Igd Rsud Raja Ahmad Thabib Provinsi Kepri Tahun 2025</t>
  </si>
  <si>
    <t>Asuhan Keperawatan Gangguan Persepsi Sensori Pada Tn.B Dengan Halusinasi Pendengaran Dan Penerapan Terapi Gambar Di Ruang Mandau 2 Rsj Tampan Pekanbaru</t>
  </si>
  <si>
    <t>Asuhan Keperawatan Ansietas Pada An.S Dengan Kejang Demam dan Penerapan Terapi Mewarnai Di Ruang Subi Kecil Rumkital DR,Midiyanto Suratani Tanjung Pinang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</si>
</sst>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CAF0"/>
        <bgColor indexed="64"/>
      </patternFill>
    </fill>
    <fill>
      <patternFill patternType="solid">
        <fgColor rgb="FFA9F5FD"/>
        <bgColor indexed="64"/>
      </patternFill>
    </fill>
    <fill>
      <patternFill patternType="solid">
        <fgColor rgb="FFDAECBA"/>
        <bgColor indexed="64"/>
      </patternFill>
    </fill>
    <fill>
      <patternFill patternType="solid">
        <fgColor rgb="FFD8DE5C"/>
        <bgColor indexed="64"/>
      </patternFill>
    </fill>
    <fill>
      <patternFill patternType="solid">
        <fgColor rgb="FFEECED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52">
    <xf numFmtId="0" fontId="0" fillId="0" borderId="0" xfId="0"/>
    <xf numFmtId="0" fontId="0" fillId="0" borderId="0" xfId="0"/>
    <xf numFmtId="1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4" fillId="5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7" fillId="13" borderId="1" xfId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" fontId="7" fillId="13" borderId="1" xfId="0" applyNumberFormat="1" applyFont="1" applyFill="1" applyBorder="1" applyAlignment="1">
      <alignment horizontal="center" vertical="center"/>
    </xf>
    <xf numFmtId="1" fontId="7" fillId="8" borderId="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right" vertical="center"/>
    </xf>
    <xf numFmtId="0" fontId="10" fillId="5" borderId="1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0" fontId="6" fillId="13" borderId="1" xfId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" fontId="6" fillId="13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2" fontId="10" fillId="7" borderId="1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/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/>
    <xf numFmtId="49" fontId="5" fillId="5" borderId="5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" fontId="4" fillId="15" borderId="1" xfId="0" applyNumberFormat="1" applyFont="1" applyFill="1" applyBorder="1" applyAlignment="1">
      <alignment horizontal="center" vertical="center"/>
    </xf>
    <xf numFmtId="1" fontId="7" fillId="15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2" fontId="7" fillId="17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15" borderId="1" xfId="2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9EBF4F2E-FD8F-41AB-8A01-F8608D30B954}"/>
    <cellStyle name="Normal 4" xfId="2" xr:uid="{7E8E055F-DEB8-4365-A963-7919D1CD2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E07E-2456-4103-B778-68197CC400F6}">
  <dimension ref="A1:BX59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" sqref="H3"/>
    </sheetView>
  </sheetViews>
  <sheetFormatPr defaultRowHeight="15" x14ac:dyDescent="0.25"/>
  <cols>
    <col min="1" max="1" width="9.140625" style="1"/>
    <col min="2" max="2" width="35.5703125" customWidth="1"/>
    <col min="3" max="3" width="28.28515625" customWidth="1"/>
    <col min="4" max="4" width="19.42578125" customWidth="1"/>
    <col min="5" max="5" width="20.42578125" style="1" customWidth="1"/>
    <col min="6" max="6" width="28.5703125" style="108" customWidth="1"/>
    <col min="7" max="7" width="19.42578125" style="1" hidden="1" customWidth="1"/>
    <col min="8" max="8" width="19.42578125" style="1" customWidth="1"/>
    <col min="9" max="9" width="32" style="1" customWidth="1"/>
    <col min="10" max="10" width="11.42578125" customWidth="1"/>
    <col min="11" max="11" width="11.7109375" customWidth="1"/>
    <col min="12" max="12" width="11.28515625" customWidth="1"/>
    <col min="67" max="67" width="9.140625" style="98"/>
    <col min="74" max="74" width="22.7109375" customWidth="1"/>
    <col min="75" max="75" width="18.85546875" customWidth="1"/>
    <col min="76" max="76" width="27.85546875" customWidth="1"/>
  </cols>
  <sheetData>
    <row r="1" spans="1:76" ht="15.75" x14ac:dyDescent="0.25">
      <c r="A1" s="87" t="s">
        <v>0</v>
      </c>
      <c r="B1" s="87" t="s">
        <v>1</v>
      </c>
      <c r="C1" s="87" t="s">
        <v>2</v>
      </c>
      <c r="D1" s="87" t="s">
        <v>3</v>
      </c>
      <c r="E1" s="87" t="s">
        <v>69</v>
      </c>
      <c r="F1" s="103" t="s">
        <v>70</v>
      </c>
      <c r="G1" s="87" t="s">
        <v>73</v>
      </c>
      <c r="H1" s="87" t="s">
        <v>73</v>
      </c>
      <c r="I1" s="87" t="s">
        <v>71</v>
      </c>
      <c r="J1" s="111" t="s">
        <v>4</v>
      </c>
      <c r="K1" s="112"/>
      <c r="L1" s="112"/>
      <c r="M1" s="112"/>
      <c r="N1" s="113"/>
      <c r="O1" s="114" t="s">
        <v>5</v>
      </c>
      <c r="P1" s="115"/>
      <c r="Q1" s="115"/>
      <c r="R1" s="115"/>
      <c r="S1" s="116"/>
      <c r="T1" s="117" t="s">
        <v>6</v>
      </c>
      <c r="U1" s="118"/>
      <c r="V1" s="118"/>
      <c r="W1" s="118"/>
      <c r="X1" s="119"/>
      <c r="Y1" s="120" t="s">
        <v>7</v>
      </c>
      <c r="Z1" s="121"/>
      <c r="AA1" s="121"/>
      <c r="AB1" s="121"/>
      <c r="AC1" s="122"/>
      <c r="AD1" s="123" t="s">
        <v>8</v>
      </c>
      <c r="AE1" s="124"/>
      <c r="AF1" s="124"/>
      <c r="AG1" s="124"/>
      <c r="AH1" s="125"/>
      <c r="AI1" s="126" t="s">
        <v>9</v>
      </c>
      <c r="AJ1" s="127"/>
      <c r="AK1" s="127"/>
      <c r="AL1" s="127"/>
      <c r="AM1" s="128"/>
      <c r="AN1" s="129" t="s">
        <v>13</v>
      </c>
      <c r="AO1" s="130"/>
      <c r="AP1" s="130"/>
      <c r="AQ1" s="130"/>
      <c r="AR1" s="131"/>
      <c r="AS1" s="132" t="s">
        <v>14</v>
      </c>
      <c r="AT1" s="133"/>
      <c r="AU1" s="133"/>
      <c r="AV1" s="133"/>
      <c r="AW1" s="134"/>
      <c r="AX1" s="89" t="s">
        <v>15</v>
      </c>
      <c r="AY1" s="90"/>
      <c r="AZ1" s="90"/>
      <c r="BA1" s="90"/>
      <c r="BB1" s="91"/>
      <c r="BC1" s="135" t="s">
        <v>16</v>
      </c>
      <c r="BD1" s="136"/>
      <c r="BE1" s="136"/>
      <c r="BF1" s="136"/>
      <c r="BG1" s="137"/>
      <c r="BH1" s="138" t="s">
        <v>17</v>
      </c>
      <c r="BI1" s="139"/>
      <c r="BJ1" s="139"/>
      <c r="BK1" s="139"/>
      <c r="BL1" s="140"/>
      <c r="BM1" s="87" t="s">
        <v>10</v>
      </c>
      <c r="BN1" s="87" t="s">
        <v>11</v>
      </c>
      <c r="BO1" s="93" t="s">
        <v>72</v>
      </c>
      <c r="BP1" s="87" t="s">
        <v>10</v>
      </c>
      <c r="BQ1" s="87" t="s">
        <v>11</v>
      </c>
      <c r="BR1" s="87" t="s">
        <v>12</v>
      </c>
      <c r="BS1" s="14" t="s">
        <v>18</v>
      </c>
      <c r="BT1" s="13" t="s">
        <v>18</v>
      </c>
      <c r="BU1" s="87" t="s">
        <v>19</v>
      </c>
      <c r="BV1" s="99" t="s">
        <v>74</v>
      </c>
      <c r="BW1" s="100" t="s">
        <v>75</v>
      </c>
      <c r="BX1" s="100" t="s">
        <v>76</v>
      </c>
    </row>
    <row r="2" spans="1:76" ht="15.75" x14ac:dyDescent="0.25">
      <c r="A2" s="88"/>
      <c r="B2" s="88"/>
      <c r="C2" s="88"/>
      <c r="D2" s="88"/>
      <c r="E2" s="88"/>
      <c r="F2" s="104"/>
      <c r="G2" s="88"/>
      <c r="H2" s="88"/>
      <c r="I2" s="88"/>
      <c r="J2" s="42" t="s">
        <v>20</v>
      </c>
      <c r="K2" s="43" t="s">
        <v>21</v>
      </c>
      <c r="L2" s="44" t="s">
        <v>22</v>
      </c>
      <c r="M2" s="43" t="s">
        <v>23</v>
      </c>
      <c r="N2" s="43" t="s">
        <v>24</v>
      </c>
      <c r="O2" s="45" t="s">
        <v>20</v>
      </c>
      <c r="P2" s="46" t="s">
        <v>21</v>
      </c>
      <c r="Q2" s="46" t="s">
        <v>22</v>
      </c>
      <c r="R2" s="46" t="s">
        <v>23</v>
      </c>
      <c r="S2" s="46" t="s">
        <v>24</v>
      </c>
      <c r="T2" s="47" t="s">
        <v>20</v>
      </c>
      <c r="U2" s="48" t="s">
        <v>21</v>
      </c>
      <c r="V2" s="48" t="s">
        <v>22</v>
      </c>
      <c r="W2" s="48" t="s">
        <v>23</v>
      </c>
      <c r="X2" s="48" t="s">
        <v>24</v>
      </c>
      <c r="Y2" s="49" t="s">
        <v>20</v>
      </c>
      <c r="Z2" s="49" t="s">
        <v>21</v>
      </c>
      <c r="AA2" s="49" t="s">
        <v>22</v>
      </c>
      <c r="AB2" s="49" t="s">
        <v>23</v>
      </c>
      <c r="AC2" s="49" t="s">
        <v>24</v>
      </c>
      <c r="AD2" s="50" t="s">
        <v>20</v>
      </c>
      <c r="AE2" s="51" t="s">
        <v>21</v>
      </c>
      <c r="AF2" s="51" t="s">
        <v>22</v>
      </c>
      <c r="AG2" s="51" t="s">
        <v>23</v>
      </c>
      <c r="AH2" s="51" t="s">
        <v>24</v>
      </c>
      <c r="AI2" s="52" t="s">
        <v>20</v>
      </c>
      <c r="AJ2" s="52" t="s">
        <v>21</v>
      </c>
      <c r="AK2" s="52" t="s">
        <v>22</v>
      </c>
      <c r="AL2" s="52" t="s">
        <v>23</v>
      </c>
      <c r="AM2" s="52" t="s">
        <v>24</v>
      </c>
      <c r="AN2" s="13" t="s">
        <v>20</v>
      </c>
      <c r="AO2" s="13" t="s">
        <v>21</v>
      </c>
      <c r="AP2" s="13" t="s">
        <v>22</v>
      </c>
      <c r="AQ2" s="13" t="s">
        <v>23</v>
      </c>
      <c r="AR2" s="13" t="s">
        <v>24</v>
      </c>
      <c r="AS2" s="13" t="s">
        <v>20</v>
      </c>
      <c r="AT2" s="13" t="s">
        <v>21</v>
      </c>
      <c r="AU2" s="13" t="s">
        <v>22</v>
      </c>
      <c r="AV2" s="13" t="s">
        <v>23</v>
      </c>
      <c r="AW2" s="13" t="s">
        <v>24</v>
      </c>
      <c r="AX2" s="13" t="s">
        <v>20</v>
      </c>
      <c r="AY2" s="13" t="s">
        <v>21</v>
      </c>
      <c r="AZ2" s="13" t="s">
        <v>22</v>
      </c>
      <c r="BA2" s="13" t="s">
        <v>23</v>
      </c>
      <c r="BB2" s="13" t="s">
        <v>24</v>
      </c>
      <c r="BC2" s="13" t="s">
        <v>20</v>
      </c>
      <c r="BD2" s="13" t="s">
        <v>21</v>
      </c>
      <c r="BE2" s="13" t="s">
        <v>22</v>
      </c>
      <c r="BF2" s="13" t="s">
        <v>23</v>
      </c>
      <c r="BG2" s="13" t="s">
        <v>24</v>
      </c>
      <c r="BH2" s="13" t="s">
        <v>20</v>
      </c>
      <c r="BI2" s="13" t="s">
        <v>21</v>
      </c>
      <c r="BJ2" s="13" t="s">
        <v>22</v>
      </c>
      <c r="BK2" s="13" t="s">
        <v>23</v>
      </c>
      <c r="BL2" s="13" t="s">
        <v>24</v>
      </c>
      <c r="BM2" s="88"/>
      <c r="BN2" s="88"/>
      <c r="BO2" s="94"/>
      <c r="BP2" s="88"/>
      <c r="BQ2" s="88"/>
      <c r="BR2" s="88"/>
      <c r="BS2" s="14" t="s">
        <v>20</v>
      </c>
      <c r="BT2" s="13" t="s">
        <v>25</v>
      </c>
      <c r="BU2" s="88"/>
      <c r="BV2" s="99"/>
      <c r="BW2" s="100"/>
      <c r="BX2" s="100"/>
    </row>
    <row r="3" spans="1:76" x14ac:dyDescent="0.25">
      <c r="A3" s="7">
        <v>1</v>
      </c>
      <c r="B3" s="7" t="s">
        <v>26</v>
      </c>
      <c r="C3" s="7">
        <v>132414001</v>
      </c>
      <c r="D3" s="7" t="s">
        <v>27</v>
      </c>
      <c r="E3" s="7" t="s">
        <v>77</v>
      </c>
      <c r="F3" s="105" t="s">
        <v>78</v>
      </c>
      <c r="G3" s="7"/>
      <c r="H3" s="7"/>
      <c r="I3" s="7"/>
      <c r="J3" s="18">
        <v>80</v>
      </c>
      <c r="K3" s="19" t="str">
        <f t="shared" ref="K3:K43" si="0">IF(J3&gt;=80,"A",IF(J3&gt;=75,"B+",IF(J3&gt;=70,"B",IF(J3&gt;=65,"C+",IF(J3&gt;=60,"C",IF(J3&gt;=55,"D",IF(J3&lt;55,"E")))))))</f>
        <v>A</v>
      </c>
      <c r="L3" s="20">
        <f t="shared" ref="L3:L43" si="1">IF(K3="A",4,IF(K3="B+",3.5,IF(K3="B",3,IF(K3="C+",2.5,IF(K3="C",2,IF(K3="D",1,0))))))</f>
        <v>4</v>
      </c>
      <c r="M3" s="21">
        <v>2</v>
      </c>
      <c r="N3" s="22">
        <f t="shared" ref="N3:N43" si="2">L3*M3</f>
        <v>8</v>
      </c>
      <c r="O3" s="23">
        <v>78</v>
      </c>
      <c r="P3" s="24" t="str">
        <f t="shared" ref="P3:P43" si="3">IF(O3&gt;=80,"A",IF(O3&gt;=75,"B+",IF(O3&gt;=70,"B",IF(O3&gt;=65,"C+",IF(O3&gt;=60,"C",IF(O3&gt;=55,"D",IF(O3&lt;55,"E")))))))</f>
        <v>B+</v>
      </c>
      <c r="Q3" s="25">
        <f t="shared" ref="Q3:Q43" si="4">IF(P3="A",4,IF(P3="B+",3.5,IF(P3="B",3,IF(P3="C+",2.5,IF(P3="C",2,IF(P3="D",1,0))))))</f>
        <v>3.5</v>
      </c>
      <c r="R3" s="26">
        <v>6</v>
      </c>
      <c r="S3" s="27">
        <f>Q3*R3</f>
        <v>21</v>
      </c>
      <c r="T3" s="35">
        <v>75</v>
      </c>
      <c r="U3" s="36" t="str">
        <f t="shared" ref="U3:U43" si="5">IF(T3&gt;=80,"A",IF(T3&gt;=75,"B+",IF(T3&gt;=70,"B",IF(T3&gt;=65,"C+",IF(T3&gt;=60,"C",IF(T3&gt;=55,"D",IF(T3&lt;55,"E")))))))</f>
        <v>B+</v>
      </c>
      <c r="V3" s="37">
        <f>IF(U3="A",4,IF(U3="B+",3.5,IF(U3="B",3,IF(U3="C+",2.5,IF(U3="C",2,IF(U3="D",1,0))))))</f>
        <v>3.5</v>
      </c>
      <c r="W3" s="38">
        <f>3</f>
        <v>3</v>
      </c>
      <c r="X3" s="39">
        <f>V3*W3</f>
        <v>10.5</v>
      </c>
      <c r="Y3" s="32">
        <v>78</v>
      </c>
      <c r="Z3" s="34" t="str">
        <f t="shared" ref="Z3:Z43" si="6">IF(Y3&gt;=80,"A",IF(Y3&gt;=75,"B+",IF(Y3&gt;=70,"B",IF(Y3&gt;=65,"C+",IF(Y3&gt;=60,"C",IF(Y3&gt;=55,"D",IF(Y3&lt;55,"E")))))))</f>
        <v>B+</v>
      </c>
      <c r="AA3" s="33">
        <f t="shared" ref="AA3:AA43" si="7">IF(Z3="A",4,IF(Z3="B+",3.5,IF(Z3="B",3,IF(Z3="C+",2.5,IF(Z3="C",2,IF(Z3="D",1,0))))))</f>
        <v>3.5</v>
      </c>
      <c r="AB3" s="34">
        <v>4</v>
      </c>
      <c r="AC3" s="40">
        <f t="shared" ref="AC3:AC43" si="8">AA3*AB3</f>
        <v>14</v>
      </c>
      <c r="AD3" s="53">
        <v>76</v>
      </c>
      <c r="AE3" s="41" t="str">
        <f t="shared" ref="AE3:AE43" si="9">IF(AD3&gt;=80,"A",IF(AD3&gt;=75,"B+",IF(AD3&gt;=70,"B",IF(AD3&gt;=65,"C+",IF(AD3&gt;=60,"C",IF(AD3&gt;=55,"D",IF(AD3&lt;55,"E")))))))</f>
        <v>B+</v>
      </c>
      <c r="AF3" s="28">
        <f t="shared" ref="AF3:AF43" si="10">IF(AE3="A",4,IF(AE3="B+",3.5,IF(AE3="B",3,IF(AE3="C+",2.5,IF(AE3="C",2,IF(AE3="D",1,0))))))</f>
        <v>3.5</v>
      </c>
      <c r="AG3" s="29">
        <v>3</v>
      </c>
      <c r="AH3" s="30">
        <f t="shared" ref="AH3:AH43" si="11">AF3*AG3</f>
        <v>10.5</v>
      </c>
      <c r="AI3" s="31">
        <v>74</v>
      </c>
      <c r="AJ3" s="3" t="str">
        <f t="shared" ref="AJ3:AJ43" si="12">IF(AI3&gt;=80,"A",IF(AI3&gt;=75,"B+",IF(AI3&gt;=70,"B",IF(AI3&gt;=65,"C+",IF(AI3&gt;=60,"C",IF(AI3&gt;=55,"D",IF(AI3&lt;55,"E")))))))</f>
        <v>B</v>
      </c>
      <c r="AK3" s="4">
        <f t="shared" ref="AK3:AK43" si="13">IF(AJ3="A",4,IF(AJ3="B+",3.5,IF(AJ3="B",3,IF(AJ3="C+",2.5,IF(AJ3="C",2,IF(AJ3="D",1,0))))))</f>
        <v>3</v>
      </c>
      <c r="AL3" s="5">
        <v>2</v>
      </c>
      <c r="AM3" s="6">
        <f>AK3*AL3</f>
        <v>6</v>
      </c>
      <c r="AN3" s="12">
        <v>80</v>
      </c>
      <c r="AO3" s="8" t="str">
        <f t="shared" ref="AO3:AO43" si="14">IF(AN3&gt;=80,"A",IF(AN3&gt;=75,"B+",IF(AN3&gt;=70,"B",IF(AN3&gt;=65,"C+",IF(AN3&gt;=60,"C",IF(AN3&gt;=55,"D",IF(AN3&lt;55,"E")))))))</f>
        <v>A</v>
      </c>
      <c r="AP3" s="9">
        <f t="shared" ref="AP3:AP43" si="15">IF(AO3="A",4,IF(AO3="B+",3.5,IF(AO3="B",3,IF(AO3="C+",2.5,IF(AO3="C",2,IF(AO3="D",1,0))))))</f>
        <v>4</v>
      </c>
      <c r="AQ3" s="8">
        <v>3</v>
      </c>
      <c r="AR3" s="8">
        <f t="shared" ref="AR3:AR43" si="16">AP3*AQ3</f>
        <v>12</v>
      </c>
      <c r="AS3" s="10">
        <v>80</v>
      </c>
      <c r="AT3" s="8" t="str">
        <f>IF(AS3&gt;=80,"A",IF(AS3&gt;=75,"B+",IF(AS3&gt;=70,"B",IF(AS3&gt;=65,"C+",IF(AS3&gt;=60,"C",IF(AS3&gt;=55,"D",IF(AS3&lt;55,"E")))))))</f>
        <v>A</v>
      </c>
      <c r="AU3" s="9">
        <f>IF(AT3="A",4,IF(AT3="B+",3.5,IF(AT3="B",3,IF(AT3="C+",2.5,IF(AT3="C",2,IF(AT3="D",1,0))))))</f>
        <v>4</v>
      </c>
      <c r="AV3" s="141">
        <v>4</v>
      </c>
      <c r="AW3" s="8">
        <f>AU3*AV3</f>
        <v>16</v>
      </c>
      <c r="AX3" s="142">
        <v>83</v>
      </c>
      <c r="AY3" s="8" t="str">
        <f>IF(AX3&gt;=80,"A",IF(AX3&gt;=75,"B+",IF(AX3&gt;=70,"B",IF(AX3&gt;=65,"C+",IF(AX3&gt;=60,"C",IF(AX3&gt;=55,"D",IF(AX3&lt;55,"E")))))))</f>
        <v>A</v>
      </c>
      <c r="AZ3" s="9">
        <f>IF(AY3="A",4,IF(AY3="B+",3.5,IF(AY3="B",3,IF(AY3="C+",2.5,IF(AY3="C",2,IF(AY3="D",1,0))))))</f>
        <v>4</v>
      </c>
      <c r="BA3" s="143">
        <v>4</v>
      </c>
      <c r="BB3" s="141">
        <f>AZ3*BA3</f>
        <v>16</v>
      </c>
      <c r="BC3" s="12">
        <v>80</v>
      </c>
      <c r="BD3" s="8" t="str">
        <f>IF(BC3&gt;=80,"A",IF(BC3&gt;=75,"B+",IF(BC3&gt;=70,"B",IF(BC3&gt;=65,"C+",IF(BC3&gt;=60,"C",IF(BC3&gt;=55,"D",IF(BC3&lt;55,"E")))))))</f>
        <v>A</v>
      </c>
      <c r="BE3" s="9">
        <f>IF(BD3="A",4,IF(BD3="B+",3.5,IF(BD3="B",3,IF(BD3="C+",2.5,IF(BD3="C",2,IF(BD3="D",1,0))))))</f>
        <v>4</v>
      </c>
      <c r="BF3" s="8">
        <v>5</v>
      </c>
      <c r="BG3" s="8">
        <f>BE3*BF3</f>
        <v>20</v>
      </c>
      <c r="BH3" s="8">
        <v>84</v>
      </c>
      <c r="BI3" s="8" t="str">
        <f>IF(BH3&gt;=80,"A",IF(BH3&gt;=75,"B+",IF(BH3&gt;=70,"B",IF(BH3&gt;=65,"C+",IF(BH3&gt;=60,"C",IF(BH3&gt;=55,"D",IF(BH3&lt;55,"E")))))))</f>
        <v>A</v>
      </c>
      <c r="BJ3" s="9">
        <f>IF(BI3="A",4,IF(BI3="B+",3.5,IF(BI3="B",3,IF(BI3="C+",2.5,IF(BI3="C",2,IF(BI3="D",1,0))))))</f>
        <v>4</v>
      </c>
      <c r="BK3" s="141">
        <v>2</v>
      </c>
      <c r="BL3" s="8">
        <f>BJ3*BK3</f>
        <v>8</v>
      </c>
      <c r="BM3" s="11">
        <f>N3+S3+X3+AC3+AM3+AH3</f>
        <v>70</v>
      </c>
      <c r="BN3" s="8">
        <f>AL3+AG3+AB3+W3+R3+M3</f>
        <v>20</v>
      </c>
      <c r="BO3" s="95">
        <f>(BM3/BN3)</f>
        <v>3.5</v>
      </c>
      <c r="BP3" s="11">
        <f>BB3+AW3+AR3+BL3+BG3</f>
        <v>72</v>
      </c>
      <c r="BQ3" s="10">
        <f>BA3+AV3+AQ3+BF3+BK3</f>
        <v>18</v>
      </c>
      <c r="BR3" s="11">
        <f>(BP3/BQ3)</f>
        <v>4</v>
      </c>
      <c r="BS3" s="12">
        <f>BM3+BP3</f>
        <v>142</v>
      </c>
      <c r="BT3" s="11">
        <f>BN3+BQ3</f>
        <v>38</v>
      </c>
      <c r="BU3" s="11">
        <f>BS3/BT3</f>
        <v>3.736842105263158</v>
      </c>
      <c r="BV3" s="86" t="str">
        <f>IF(BU3&gt;=3.51,"Cum Laude",(IF(BU3&gt;=2.75,"Sangat Memuaskan",(IF(BU3&gt;=2,"Memuaskan","GAGAL")))))</f>
        <v>Cum Laude</v>
      </c>
      <c r="BW3" s="86" t="str">
        <f>IF(BU3&gt;=3.51,"Excellent",(IF(BU3&gt;=2.75,"Highly Satisfactory",(IF(BU3&gt;=2,"Satisfactory","FAILED")))))</f>
        <v>Excellent</v>
      </c>
      <c r="BX3" s="92" t="s">
        <v>139</v>
      </c>
    </row>
    <row r="4" spans="1:76" x14ac:dyDescent="0.25">
      <c r="A4" s="7">
        <v>2</v>
      </c>
      <c r="B4" s="7" t="s">
        <v>28</v>
      </c>
      <c r="C4" s="7">
        <v>132414002</v>
      </c>
      <c r="D4" s="7" t="s">
        <v>27</v>
      </c>
      <c r="E4" s="7" t="s">
        <v>79</v>
      </c>
      <c r="F4" s="105" t="s">
        <v>80</v>
      </c>
      <c r="G4" s="7"/>
      <c r="H4" s="7"/>
      <c r="I4" s="7"/>
      <c r="J4" s="18">
        <v>79</v>
      </c>
      <c r="K4" s="19" t="str">
        <f t="shared" si="0"/>
        <v>B+</v>
      </c>
      <c r="L4" s="20">
        <f t="shared" si="1"/>
        <v>3.5</v>
      </c>
      <c r="M4" s="21">
        <v>2</v>
      </c>
      <c r="N4" s="22">
        <f t="shared" si="2"/>
        <v>7</v>
      </c>
      <c r="O4" s="23">
        <v>77</v>
      </c>
      <c r="P4" s="24" t="str">
        <f t="shared" si="3"/>
        <v>B+</v>
      </c>
      <c r="Q4" s="25">
        <f t="shared" si="4"/>
        <v>3.5</v>
      </c>
      <c r="R4" s="26">
        <v>6</v>
      </c>
      <c r="S4" s="27">
        <f t="shared" ref="S4:S43" si="17">Q4*R4</f>
        <v>21</v>
      </c>
      <c r="T4" s="35">
        <v>80</v>
      </c>
      <c r="U4" s="36" t="str">
        <f t="shared" si="5"/>
        <v>A</v>
      </c>
      <c r="V4" s="37">
        <f t="shared" ref="V4:V43" si="18">IF(U4="A",4,IF(U4="B+",3.5,IF(U4="B",3,IF(U4="C+",2.5,IF(U4="C",2,IF(U4="D",1,0))))))</f>
        <v>4</v>
      </c>
      <c r="W4" s="38">
        <f>3</f>
        <v>3</v>
      </c>
      <c r="X4" s="39">
        <f t="shared" ref="X4:X43" si="19">V4*W4</f>
        <v>12</v>
      </c>
      <c r="Y4" s="32">
        <v>78</v>
      </c>
      <c r="Z4" s="34" t="str">
        <f t="shared" si="6"/>
        <v>B+</v>
      </c>
      <c r="AA4" s="33">
        <f t="shared" si="7"/>
        <v>3.5</v>
      </c>
      <c r="AB4" s="34">
        <v>4</v>
      </c>
      <c r="AC4" s="40">
        <f t="shared" si="8"/>
        <v>14</v>
      </c>
      <c r="AD4" s="53">
        <v>77</v>
      </c>
      <c r="AE4" s="41" t="str">
        <f t="shared" si="9"/>
        <v>B+</v>
      </c>
      <c r="AF4" s="28">
        <f t="shared" si="10"/>
        <v>3.5</v>
      </c>
      <c r="AG4" s="29">
        <v>3</v>
      </c>
      <c r="AH4" s="30">
        <f t="shared" si="11"/>
        <v>10.5</v>
      </c>
      <c r="AI4" s="31">
        <v>80</v>
      </c>
      <c r="AJ4" s="3" t="str">
        <f t="shared" si="12"/>
        <v>A</v>
      </c>
      <c r="AK4" s="4">
        <f t="shared" si="13"/>
        <v>4</v>
      </c>
      <c r="AL4" s="5">
        <v>2</v>
      </c>
      <c r="AM4" s="6">
        <f t="shared" ref="AM4:AM43" si="20">AK4*AL4</f>
        <v>8</v>
      </c>
      <c r="AN4" s="12">
        <v>82</v>
      </c>
      <c r="AO4" s="8" t="str">
        <f t="shared" si="14"/>
        <v>A</v>
      </c>
      <c r="AP4" s="9">
        <f t="shared" si="15"/>
        <v>4</v>
      </c>
      <c r="AQ4" s="8">
        <v>3</v>
      </c>
      <c r="AR4" s="8">
        <f t="shared" si="16"/>
        <v>12</v>
      </c>
      <c r="AS4" s="10">
        <v>83</v>
      </c>
      <c r="AT4" s="8" t="str">
        <f t="shared" ref="AT4:AT43" si="21">IF(AS4&gt;=80,"A",IF(AS4&gt;=75,"B+",IF(AS4&gt;=70,"B",IF(AS4&gt;=65,"C+",IF(AS4&gt;=60,"C",IF(AS4&gt;=55,"D",IF(AS4&lt;55,"E")))))))</f>
        <v>A</v>
      </c>
      <c r="AU4" s="9">
        <f t="shared" ref="AU4:AU43" si="22">IF(AT4="A",4,IF(AT4="B+",3.5,IF(AT4="B",3,IF(AT4="C+",2.5,IF(AT4="C",2,IF(AT4="D",1,0))))))</f>
        <v>4</v>
      </c>
      <c r="AV4" s="141">
        <v>4</v>
      </c>
      <c r="AW4" s="8">
        <f t="shared" ref="AW4:AW43" si="23">AU4*AV4</f>
        <v>16</v>
      </c>
      <c r="AX4" s="142">
        <v>82.3</v>
      </c>
      <c r="AY4" s="8" t="str">
        <f t="shared" ref="AY4:AY43" si="24">IF(AX4&gt;=80,"A",IF(AX4&gt;=75,"B+",IF(AX4&gt;=70,"B",IF(AX4&gt;=65,"C+",IF(AX4&gt;=60,"C",IF(AX4&gt;=55,"D",IF(AX4&lt;55,"E")))))))</f>
        <v>A</v>
      </c>
      <c r="AZ4" s="9">
        <f t="shared" ref="AZ4:AZ43" si="25">IF(AY4="A",4,IF(AY4="B+",3.5,IF(AY4="B",3,IF(AY4="C+",2.5,IF(AY4="C",2,IF(AY4="D",1,0))))))</f>
        <v>4</v>
      </c>
      <c r="BA4" s="143">
        <v>4</v>
      </c>
      <c r="BB4" s="141">
        <f t="shared" ref="BB4:BB43" si="26">AZ4*BA4</f>
        <v>16</v>
      </c>
      <c r="BC4" s="12">
        <v>82</v>
      </c>
      <c r="BD4" s="8" t="str">
        <f t="shared" ref="BD4:BD43" si="27">IF(BC4&gt;=80,"A",IF(BC4&gt;=75,"B+",IF(BC4&gt;=70,"B",IF(BC4&gt;=65,"C+",IF(BC4&gt;=60,"C",IF(BC4&gt;=55,"D",IF(BC4&lt;55,"E")))))))</f>
        <v>A</v>
      </c>
      <c r="BE4" s="9">
        <f t="shared" ref="BE4:BE43" si="28">IF(BD4="A",4,IF(BD4="B+",3.5,IF(BD4="B",3,IF(BD4="C+",2.5,IF(BD4="C",2,IF(BD4="D",1,0))))))</f>
        <v>4</v>
      </c>
      <c r="BF4" s="8">
        <v>5</v>
      </c>
      <c r="BG4" s="8">
        <f t="shared" ref="BG4:BG43" si="29">BE4*BF4</f>
        <v>20</v>
      </c>
      <c r="BH4" s="8">
        <v>85</v>
      </c>
      <c r="BI4" s="8" t="str">
        <f>IF(BH4&gt;=80,"A",IF(BH4&gt;=75,"B+",IF(BH4&gt;=70,"B",IF(BH4&gt;=65,"C+",IF(BH4&gt;=60,"C",IF(BH4&gt;=55,"D",IF(BH4&lt;55,"E")))))))</f>
        <v>A</v>
      </c>
      <c r="BJ4" s="9">
        <f t="shared" ref="BJ4:BJ43" si="30">IF(BI4="A",4,IF(BI4="B+",3.5,IF(BI4="B",3,IF(BI4="C+",2.5,IF(BI4="C",2,IF(BI4="D",1,0))))))</f>
        <v>4</v>
      </c>
      <c r="BK4" s="141">
        <v>2</v>
      </c>
      <c r="BL4" s="8">
        <f t="shared" ref="BL4:BL43" si="31">BJ4*BK4</f>
        <v>8</v>
      </c>
      <c r="BM4" s="11">
        <f>N4+S4+X4+AC4+AM4+AH4</f>
        <v>72.5</v>
      </c>
      <c r="BN4" s="8">
        <f>AL4+AG4+AB4+W4+R4+M4</f>
        <v>20</v>
      </c>
      <c r="BO4" s="95">
        <f>(BM4/BN4)</f>
        <v>3.625</v>
      </c>
      <c r="BP4" s="11">
        <f>BB4+AW4+AR4+BL4+BG4</f>
        <v>72</v>
      </c>
      <c r="BQ4" s="10">
        <f>BA4+AV4+AQ4+BF4+BK4</f>
        <v>18</v>
      </c>
      <c r="BR4" s="11">
        <f t="shared" ref="BR4:BR43" si="32">(BP4/BQ4)</f>
        <v>4</v>
      </c>
      <c r="BS4" s="12">
        <f>BM4+BP4</f>
        <v>144.5</v>
      </c>
      <c r="BT4" s="11">
        <f>BN4+BQ4</f>
        <v>38</v>
      </c>
      <c r="BU4" s="11">
        <f t="shared" ref="BU4:BU43" si="33">BS4/BT4</f>
        <v>3.8026315789473686</v>
      </c>
      <c r="BV4" s="86" t="str">
        <f t="shared" ref="BV4:BV43" si="34">IF(BU4&gt;=3.51,"Cum Laude",(IF(BU4&gt;=2.75,"Sangat Memuaskan",(IF(BU4&gt;=2,"Memuaskan","GAGAL")))))</f>
        <v>Cum Laude</v>
      </c>
      <c r="BW4" s="86" t="str">
        <f t="shared" ref="BW4:BW43" si="35">IF(BU4&gt;=3.51,"Excellent",(IF(BU4&gt;=2.75,"Highly Satisfactory",(IF(BU4&gt;=2,"Satisfactory","FAILED")))))</f>
        <v>Excellent</v>
      </c>
      <c r="BX4" s="92" t="s">
        <v>140</v>
      </c>
    </row>
    <row r="5" spans="1:76" x14ac:dyDescent="0.25">
      <c r="A5" s="7">
        <v>3</v>
      </c>
      <c r="B5" s="7" t="s">
        <v>29</v>
      </c>
      <c r="C5" s="7">
        <v>132414003</v>
      </c>
      <c r="D5" s="7" t="s">
        <v>27</v>
      </c>
      <c r="E5" s="7" t="s">
        <v>81</v>
      </c>
      <c r="F5" s="105" t="s">
        <v>82</v>
      </c>
      <c r="G5" s="7"/>
      <c r="H5" s="7"/>
      <c r="I5" s="7"/>
      <c r="J5" s="18">
        <v>80</v>
      </c>
      <c r="K5" s="19" t="str">
        <f t="shared" si="0"/>
        <v>A</v>
      </c>
      <c r="L5" s="20">
        <f t="shared" si="1"/>
        <v>4</v>
      </c>
      <c r="M5" s="21">
        <v>2</v>
      </c>
      <c r="N5" s="22">
        <f t="shared" si="2"/>
        <v>8</v>
      </c>
      <c r="O5" s="23">
        <v>75</v>
      </c>
      <c r="P5" s="24" t="str">
        <f t="shared" si="3"/>
        <v>B+</v>
      </c>
      <c r="Q5" s="25">
        <f t="shared" si="4"/>
        <v>3.5</v>
      </c>
      <c r="R5" s="26">
        <v>6</v>
      </c>
      <c r="S5" s="27">
        <f t="shared" si="17"/>
        <v>21</v>
      </c>
      <c r="T5" s="35">
        <v>78</v>
      </c>
      <c r="U5" s="36" t="str">
        <f t="shared" si="5"/>
        <v>B+</v>
      </c>
      <c r="V5" s="37">
        <f t="shared" si="18"/>
        <v>3.5</v>
      </c>
      <c r="W5" s="38">
        <f>3</f>
        <v>3</v>
      </c>
      <c r="X5" s="39">
        <f t="shared" si="19"/>
        <v>10.5</v>
      </c>
      <c r="Y5" s="32">
        <v>80</v>
      </c>
      <c r="Z5" s="34" t="str">
        <f t="shared" si="6"/>
        <v>A</v>
      </c>
      <c r="AA5" s="33">
        <f t="shared" si="7"/>
        <v>4</v>
      </c>
      <c r="AB5" s="34">
        <v>4</v>
      </c>
      <c r="AC5" s="40">
        <f t="shared" si="8"/>
        <v>16</v>
      </c>
      <c r="AD5" s="53">
        <v>79</v>
      </c>
      <c r="AE5" s="41" t="str">
        <f t="shared" si="9"/>
        <v>B+</v>
      </c>
      <c r="AF5" s="28">
        <f t="shared" si="10"/>
        <v>3.5</v>
      </c>
      <c r="AG5" s="29">
        <v>3</v>
      </c>
      <c r="AH5" s="30">
        <f t="shared" si="11"/>
        <v>10.5</v>
      </c>
      <c r="AI5" s="31">
        <v>79</v>
      </c>
      <c r="AJ5" s="3" t="str">
        <f t="shared" si="12"/>
        <v>B+</v>
      </c>
      <c r="AK5" s="4">
        <f t="shared" si="13"/>
        <v>3.5</v>
      </c>
      <c r="AL5" s="5">
        <v>2</v>
      </c>
      <c r="AM5" s="6">
        <f t="shared" si="20"/>
        <v>7</v>
      </c>
      <c r="AN5" s="12">
        <v>82</v>
      </c>
      <c r="AO5" s="8" t="str">
        <f t="shared" si="14"/>
        <v>A</v>
      </c>
      <c r="AP5" s="9">
        <f t="shared" si="15"/>
        <v>4</v>
      </c>
      <c r="AQ5" s="8">
        <v>3</v>
      </c>
      <c r="AR5" s="8">
        <f t="shared" si="16"/>
        <v>12</v>
      </c>
      <c r="AS5" s="10">
        <v>79</v>
      </c>
      <c r="AT5" s="8" t="str">
        <f t="shared" si="21"/>
        <v>B+</v>
      </c>
      <c r="AU5" s="9">
        <f t="shared" si="22"/>
        <v>3.5</v>
      </c>
      <c r="AV5" s="141">
        <v>4</v>
      </c>
      <c r="AW5" s="8">
        <f t="shared" si="23"/>
        <v>14</v>
      </c>
      <c r="AX5" s="142">
        <v>83.9</v>
      </c>
      <c r="AY5" s="8" t="str">
        <f t="shared" si="24"/>
        <v>A</v>
      </c>
      <c r="AZ5" s="9">
        <f t="shared" si="25"/>
        <v>4</v>
      </c>
      <c r="BA5" s="143">
        <v>4</v>
      </c>
      <c r="BB5" s="141">
        <f t="shared" si="26"/>
        <v>16</v>
      </c>
      <c r="BC5" s="12">
        <v>82</v>
      </c>
      <c r="BD5" s="8" t="str">
        <f t="shared" si="27"/>
        <v>A</v>
      </c>
      <c r="BE5" s="9">
        <f t="shared" si="28"/>
        <v>4</v>
      </c>
      <c r="BF5" s="8">
        <v>5</v>
      </c>
      <c r="BG5" s="8">
        <f t="shared" si="29"/>
        <v>20</v>
      </c>
      <c r="BH5" s="8">
        <v>82</v>
      </c>
      <c r="BI5" s="8" t="str">
        <f t="shared" ref="BI5:BI43" si="36">IF(BH5&gt;=80,"A",IF(BH5&gt;=75,"B+",IF(BH5&gt;=70,"B",IF(BH5&gt;=65,"C+",IF(BH5&gt;=60,"C",IF(BH5&gt;=55,"D",IF(BH5&lt;55,"E")))))))</f>
        <v>A</v>
      </c>
      <c r="BJ5" s="9">
        <f t="shared" si="30"/>
        <v>4</v>
      </c>
      <c r="BK5" s="141">
        <v>2</v>
      </c>
      <c r="BL5" s="8">
        <f t="shared" si="31"/>
        <v>8</v>
      </c>
      <c r="BM5" s="11">
        <f>N5+S5+X5+AC5+AM5+AH5</f>
        <v>73</v>
      </c>
      <c r="BN5" s="8">
        <f>AL5+AG5+AB5+W5+R5+M5</f>
        <v>20</v>
      </c>
      <c r="BO5" s="95">
        <f>(BM5/BN5)</f>
        <v>3.65</v>
      </c>
      <c r="BP5" s="11">
        <f>BB5+AW5+AR5+BL5+BG5</f>
        <v>70</v>
      </c>
      <c r="BQ5" s="10">
        <f>BA5+AV5+AQ5+BF5+BK5</f>
        <v>18</v>
      </c>
      <c r="BR5" s="11">
        <f t="shared" si="32"/>
        <v>3.8888888888888888</v>
      </c>
      <c r="BS5" s="12">
        <f>BM5+BP5</f>
        <v>143</v>
      </c>
      <c r="BT5" s="11">
        <f>BN5+BQ5</f>
        <v>38</v>
      </c>
      <c r="BU5" s="11">
        <f t="shared" si="33"/>
        <v>3.763157894736842</v>
      </c>
      <c r="BV5" s="86" t="str">
        <f t="shared" si="34"/>
        <v>Cum Laude</v>
      </c>
      <c r="BW5" s="86" t="str">
        <f t="shared" si="35"/>
        <v>Excellent</v>
      </c>
      <c r="BX5" s="92" t="s">
        <v>141</v>
      </c>
    </row>
    <row r="6" spans="1:76" x14ac:dyDescent="0.25">
      <c r="A6" s="7">
        <v>4</v>
      </c>
      <c r="B6" s="7" t="s">
        <v>30</v>
      </c>
      <c r="C6" s="7">
        <v>132414004</v>
      </c>
      <c r="D6" s="7" t="s">
        <v>27</v>
      </c>
      <c r="E6" s="7" t="s">
        <v>83</v>
      </c>
      <c r="F6" s="105" t="s">
        <v>84</v>
      </c>
      <c r="G6" s="7"/>
      <c r="H6" s="7"/>
      <c r="I6" s="7"/>
      <c r="J6" s="18">
        <v>80</v>
      </c>
      <c r="K6" s="19" t="str">
        <f>IF(J6&gt;=80,"A",IF(J6&gt;=75,"B+",IF(J6&gt;=70,"B",IF(J6&gt;=65,"C+",IF(J6&gt;=60,"C",IF(J6&gt;=55,"D",IF(J6&lt;55,"E")))))))</f>
        <v>A</v>
      </c>
      <c r="L6" s="20">
        <f t="shared" si="1"/>
        <v>4</v>
      </c>
      <c r="M6" s="21">
        <v>2</v>
      </c>
      <c r="N6" s="22">
        <f t="shared" si="2"/>
        <v>8</v>
      </c>
      <c r="O6" s="23">
        <v>76</v>
      </c>
      <c r="P6" s="24" t="str">
        <f t="shared" si="3"/>
        <v>B+</v>
      </c>
      <c r="Q6" s="25">
        <f t="shared" si="4"/>
        <v>3.5</v>
      </c>
      <c r="R6" s="26">
        <v>6</v>
      </c>
      <c r="S6" s="27">
        <f t="shared" si="17"/>
        <v>21</v>
      </c>
      <c r="T6" s="35">
        <v>76</v>
      </c>
      <c r="U6" s="36" t="str">
        <f t="shared" si="5"/>
        <v>B+</v>
      </c>
      <c r="V6" s="37">
        <f t="shared" si="18"/>
        <v>3.5</v>
      </c>
      <c r="W6" s="38">
        <f>3</f>
        <v>3</v>
      </c>
      <c r="X6" s="39">
        <f t="shared" si="19"/>
        <v>10.5</v>
      </c>
      <c r="Y6" s="32">
        <v>79</v>
      </c>
      <c r="Z6" s="34" t="str">
        <f t="shared" si="6"/>
        <v>B+</v>
      </c>
      <c r="AA6" s="33">
        <f t="shared" si="7"/>
        <v>3.5</v>
      </c>
      <c r="AB6" s="34">
        <v>4</v>
      </c>
      <c r="AC6" s="40">
        <f t="shared" si="8"/>
        <v>14</v>
      </c>
      <c r="AD6" s="53">
        <v>78</v>
      </c>
      <c r="AE6" s="41" t="str">
        <f t="shared" si="9"/>
        <v>B+</v>
      </c>
      <c r="AF6" s="28">
        <f t="shared" si="10"/>
        <v>3.5</v>
      </c>
      <c r="AG6" s="29">
        <v>3</v>
      </c>
      <c r="AH6" s="30">
        <f t="shared" si="11"/>
        <v>10.5</v>
      </c>
      <c r="AI6" s="31">
        <v>79</v>
      </c>
      <c r="AJ6" s="3" t="str">
        <f t="shared" si="12"/>
        <v>B+</v>
      </c>
      <c r="AK6" s="4">
        <f t="shared" si="13"/>
        <v>3.5</v>
      </c>
      <c r="AL6" s="5">
        <v>2</v>
      </c>
      <c r="AM6" s="6">
        <f t="shared" si="20"/>
        <v>7</v>
      </c>
      <c r="AN6" s="12">
        <v>81</v>
      </c>
      <c r="AO6" s="8" t="str">
        <f t="shared" si="14"/>
        <v>A</v>
      </c>
      <c r="AP6" s="9">
        <f t="shared" si="15"/>
        <v>4</v>
      </c>
      <c r="AQ6" s="8">
        <v>3</v>
      </c>
      <c r="AR6" s="8">
        <f t="shared" si="16"/>
        <v>12</v>
      </c>
      <c r="AS6" s="10">
        <v>80</v>
      </c>
      <c r="AT6" s="8" t="str">
        <f t="shared" si="21"/>
        <v>A</v>
      </c>
      <c r="AU6" s="9">
        <f t="shared" si="22"/>
        <v>4</v>
      </c>
      <c r="AV6" s="141">
        <v>4</v>
      </c>
      <c r="AW6" s="8">
        <f t="shared" si="23"/>
        <v>16</v>
      </c>
      <c r="AX6" s="142">
        <v>83.1</v>
      </c>
      <c r="AY6" s="8" t="str">
        <f t="shared" si="24"/>
        <v>A</v>
      </c>
      <c r="AZ6" s="9">
        <f t="shared" si="25"/>
        <v>4</v>
      </c>
      <c r="BA6" s="143">
        <v>4</v>
      </c>
      <c r="BB6" s="141">
        <f t="shared" si="26"/>
        <v>16</v>
      </c>
      <c r="BC6" s="12">
        <v>81</v>
      </c>
      <c r="BD6" s="8" t="str">
        <f t="shared" si="27"/>
        <v>A</v>
      </c>
      <c r="BE6" s="9">
        <f t="shared" si="28"/>
        <v>4</v>
      </c>
      <c r="BF6" s="8">
        <v>5</v>
      </c>
      <c r="BG6" s="8">
        <f t="shared" si="29"/>
        <v>20</v>
      </c>
      <c r="BH6" s="8">
        <v>83</v>
      </c>
      <c r="BI6" s="8" t="str">
        <f t="shared" si="36"/>
        <v>A</v>
      </c>
      <c r="BJ6" s="9">
        <f t="shared" si="30"/>
        <v>4</v>
      </c>
      <c r="BK6" s="141">
        <v>2</v>
      </c>
      <c r="BL6" s="8">
        <f t="shared" si="31"/>
        <v>8</v>
      </c>
      <c r="BM6" s="11">
        <f>N6+S6+X6+AC6+AM6+AH6</f>
        <v>71</v>
      </c>
      <c r="BN6" s="8">
        <f>AL6+AG6+AB6+W6+R6+M6</f>
        <v>20</v>
      </c>
      <c r="BO6" s="95">
        <f>(BM6/BN6)</f>
        <v>3.55</v>
      </c>
      <c r="BP6" s="11">
        <f>BB6+AW6+AR6+BL6+BG6</f>
        <v>72</v>
      </c>
      <c r="BQ6" s="10">
        <f>BA6+AV6+AQ6+BF6+BK6</f>
        <v>18</v>
      </c>
      <c r="BR6" s="11">
        <f t="shared" si="32"/>
        <v>4</v>
      </c>
      <c r="BS6" s="12">
        <f>BM6+BP6</f>
        <v>143</v>
      </c>
      <c r="BT6" s="11">
        <f>BN6+BQ6</f>
        <v>38</v>
      </c>
      <c r="BU6" s="11">
        <f t="shared" si="33"/>
        <v>3.763157894736842</v>
      </c>
      <c r="BV6" s="86" t="str">
        <f t="shared" si="34"/>
        <v>Cum Laude</v>
      </c>
      <c r="BW6" s="86" t="str">
        <f t="shared" si="35"/>
        <v>Excellent</v>
      </c>
      <c r="BX6" s="92" t="s">
        <v>142</v>
      </c>
    </row>
    <row r="7" spans="1:76" ht="15.75" x14ac:dyDescent="0.25">
      <c r="A7" s="7">
        <v>5</v>
      </c>
      <c r="B7" s="7" t="s">
        <v>31</v>
      </c>
      <c r="C7" s="7">
        <v>132414005</v>
      </c>
      <c r="D7" s="7" t="s">
        <v>27</v>
      </c>
      <c r="E7" s="7" t="s">
        <v>85</v>
      </c>
      <c r="F7" s="105" t="s">
        <v>86</v>
      </c>
      <c r="G7" s="7"/>
      <c r="H7" s="7"/>
      <c r="I7" s="7"/>
      <c r="J7" s="18">
        <v>79</v>
      </c>
      <c r="K7" s="19" t="str">
        <f t="shared" si="0"/>
        <v>B+</v>
      </c>
      <c r="L7" s="20">
        <f t="shared" si="1"/>
        <v>3.5</v>
      </c>
      <c r="M7" s="21">
        <v>2</v>
      </c>
      <c r="N7" s="22">
        <f t="shared" si="2"/>
        <v>7</v>
      </c>
      <c r="O7" s="23">
        <v>75</v>
      </c>
      <c r="P7" s="24" t="str">
        <f t="shared" si="3"/>
        <v>B+</v>
      </c>
      <c r="Q7" s="25">
        <f t="shared" si="4"/>
        <v>3.5</v>
      </c>
      <c r="R7" s="26">
        <v>6</v>
      </c>
      <c r="S7" s="27">
        <f t="shared" si="17"/>
        <v>21</v>
      </c>
      <c r="T7" s="35">
        <v>77</v>
      </c>
      <c r="U7" s="36" t="str">
        <f t="shared" si="5"/>
        <v>B+</v>
      </c>
      <c r="V7" s="37">
        <f t="shared" si="18"/>
        <v>3.5</v>
      </c>
      <c r="W7" s="38">
        <f>3</f>
        <v>3</v>
      </c>
      <c r="X7" s="39">
        <f t="shared" si="19"/>
        <v>10.5</v>
      </c>
      <c r="Y7" s="32">
        <v>78</v>
      </c>
      <c r="Z7" s="34" t="str">
        <f t="shared" si="6"/>
        <v>B+</v>
      </c>
      <c r="AA7" s="33">
        <f t="shared" si="7"/>
        <v>3.5</v>
      </c>
      <c r="AB7" s="34">
        <v>4</v>
      </c>
      <c r="AC7" s="40">
        <f t="shared" si="8"/>
        <v>14</v>
      </c>
      <c r="AD7" s="53">
        <v>76</v>
      </c>
      <c r="AE7" s="41" t="str">
        <f t="shared" si="9"/>
        <v>B+</v>
      </c>
      <c r="AF7" s="28">
        <f t="shared" si="10"/>
        <v>3.5</v>
      </c>
      <c r="AG7" s="29">
        <v>3</v>
      </c>
      <c r="AH7" s="30">
        <f t="shared" si="11"/>
        <v>10.5</v>
      </c>
      <c r="AI7" s="31">
        <v>80</v>
      </c>
      <c r="AJ7" s="3" t="str">
        <f t="shared" si="12"/>
        <v>A</v>
      </c>
      <c r="AK7" s="4">
        <f t="shared" si="13"/>
        <v>4</v>
      </c>
      <c r="AL7" s="5">
        <v>2</v>
      </c>
      <c r="AM7" s="6">
        <f t="shared" si="20"/>
        <v>8</v>
      </c>
      <c r="AN7" s="12">
        <v>83</v>
      </c>
      <c r="AO7" s="8" t="str">
        <f t="shared" si="14"/>
        <v>A</v>
      </c>
      <c r="AP7" s="9">
        <f t="shared" si="15"/>
        <v>4</v>
      </c>
      <c r="AQ7" s="8">
        <v>3</v>
      </c>
      <c r="AR7" s="8">
        <f t="shared" si="16"/>
        <v>12</v>
      </c>
      <c r="AS7" s="10">
        <v>79</v>
      </c>
      <c r="AT7" s="8" t="str">
        <f t="shared" si="21"/>
        <v>B+</v>
      </c>
      <c r="AU7" s="9">
        <f t="shared" si="22"/>
        <v>3.5</v>
      </c>
      <c r="AV7" s="141">
        <v>4</v>
      </c>
      <c r="AW7" s="8">
        <f t="shared" si="23"/>
        <v>14</v>
      </c>
      <c r="AX7" s="142">
        <v>81.900000000000006</v>
      </c>
      <c r="AY7" s="8" t="str">
        <f t="shared" si="24"/>
        <v>A</v>
      </c>
      <c r="AZ7" s="9">
        <f t="shared" si="25"/>
        <v>4</v>
      </c>
      <c r="BA7" s="143">
        <v>4</v>
      </c>
      <c r="BB7" s="141">
        <f t="shared" si="26"/>
        <v>16</v>
      </c>
      <c r="BC7" s="12">
        <v>83</v>
      </c>
      <c r="BD7" s="8" t="str">
        <f t="shared" si="27"/>
        <v>A</v>
      </c>
      <c r="BE7" s="9">
        <f t="shared" si="28"/>
        <v>4</v>
      </c>
      <c r="BF7" s="8">
        <v>5</v>
      </c>
      <c r="BG7" s="8">
        <f t="shared" si="29"/>
        <v>20</v>
      </c>
      <c r="BH7" s="8">
        <v>82</v>
      </c>
      <c r="BI7" s="8" t="str">
        <f t="shared" si="36"/>
        <v>A</v>
      </c>
      <c r="BJ7" s="9">
        <f t="shared" si="30"/>
        <v>4</v>
      </c>
      <c r="BK7" s="141">
        <v>2</v>
      </c>
      <c r="BL7" s="8">
        <f t="shared" si="31"/>
        <v>8</v>
      </c>
      <c r="BM7" s="11">
        <f>N7+S7+X7+AC7+AM7+AH7</f>
        <v>71</v>
      </c>
      <c r="BN7" s="8">
        <f>AL7+AG7+AB7+W7+R7+M7</f>
        <v>20</v>
      </c>
      <c r="BO7" s="95">
        <f>(BM7/BN7)</f>
        <v>3.55</v>
      </c>
      <c r="BP7" s="11">
        <f>BB7+AW7+AR7+BL7+BG7</f>
        <v>70</v>
      </c>
      <c r="BQ7" s="10">
        <f>BA7+AV7+AQ7+BF7+BK7</f>
        <v>18</v>
      </c>
      <c r="BR7" s="11">
        <f t="shared" si="32"/>
        <v>3.8888888888888888</v>
      </c>
      <c r="BS7" s="12">
        <f>BM7+BP7</f>
        <v>141</v>
      </c>
      <c r="BT7" s="11">
        <f>BN7+BQ7</f>
        <v>38</v>
      </c>
      <c r="BU7" s="11">
        <f t="shared" si="33"/>
        <v>3.7105263157894739</v>
      </c>
      <c r="BV7" s="86" t="str">
        <f t="shared" si="34"/>
        <v>Cum Laude</v>
      </c>
      <c r="BW7" s="86" t="str">
        <f t="shared" si="35"/>
        <v>Excellent</v>
      </c>
      <c r="BX7" s="149" t="s">
        <v>143</v>
      </c>
    </row>
    <row r="8" spans="1:76" x14ac:dyDescent="0.25">
      <c r="A8" s="7">
        <v>6</v>
      </c>
      <c r="B8" s="7" t="s">
        <v>32</v>
      </c>
      <c r="C8" s="7">
        <v>132414006</v>
      </c>
      <c r="D8" s="7" t="s">
        <v>27</v>
      </c>
      <c r="E8" s="7" t="s">
        <v>87</v>
      </c>
      <c r="F8" s="105" t="s">
        <v>88</v>
      </c>
      <c r="G8" s="7"/>
      <c r="H8" s="7"/>
      <c r="I8" s="7"/>
      <c r="J8" s="18">
        <v>80</v>
      </c>
      <c r="K8" s="19" t="str">
        <f t="shared" si="0"/>
        <v>A</v>
      </c>
      <c r="L8" s="20">
        <f t="shared" si="1"/>
        <v>4</v>
      </c>
      <c r="M8" s="21">
        <v>2</v>
      </c>
      <c r="N8" s="22">
        <f t="shared" si="2"/>
        <v>8</v>
      </c>
      <c r="O8" s="23">
        <v>75</v>
      </c>
      <c r="P8" s="24" t="str">
        <f t="shared" si="3"/>
        <v>B+</v>
      </c>
      <c r="Q8" s="25">
        <f t="shared" si="4"/>
        <v>3.5</v>
      </c>
      <c r="R8" s="26">
        <v>6</v>
      </c>
      <c r="S8" s="27">
        <f t="shared" si="17"/>
        <v>21</v>
      </c>
      <c r="T8" s="35">
        <v>75</v>
      </c>
      <c r="U8" s="36" t="str">
        <f t="shared" si="5"/>
        <v>B+</v>
      </c>
      <c r="V8" s="37">
        <f t="shared" si="18"/>
        <v>3.5</v>
      </c>
      <c r="W8" s="38">
        <f>3</f>
        <v>3</v>
      </c>
      <c r="X8" s="39">
        <f t="shared" si="19"/>
        <v>10.5</v>
      </c>
      <c r="Y8" s="32">
        <v>79</v>
      </c>
      <c r="Z8" s="34" t="str">
        <f t="shared" si="6"/>
        <v>B+</v>
      </c>
      <c r="AA8" s="33">
        <f t="shared" si="7"/>
        <v>3.5</v>
      </c>
      <c r="AB8" s="34">
        <v>4</v>
      </c>
      <c r="AC8" s="40">
        <f t="shared" si="8"/>
        <v>14</v>
      </c>
      <c r="AD8" s="53">
        <v>79</v>
      </c>
      <c r="AE8" s="41" t="str">
        <f t="shared" si="9"/>
        <v>B+</v>
      </c>
      <c r="AF8" s="28">
        <f t="shared" si="10"/>
        <v>3.5</v>
      </c>
      <c r="AG8" s="29">
        <v>3</v>
      </c>
      <c r="AH8" s="30">
        <f t="shared" si="11"/>
        <v>10.5</v>
      </c>
      <c r="AI8" s="31">
        <v>79</v>
      </c>
      <c r="AJ8" s="3" t="str">
        <f t="shared" si="12"/>
        <v>B+</v>
      </c>
      <c r="AK8" s="4">
        <f t="shared" si="13"/>
        <v>3.5</v>
      </c>
      <c r="AL8" s="5">
        <v>2</v>
      </c>
      <c r="AM8" s="6">
        <f t="shared" si="20"/>
        <v>7</v>
      </c>
      <c r="AN8" s="12">
        <v>82</v>
      </c>
      <c r="AO8" s="8" t="str">
        <f t="shared" si="14"/>
        <v>A</v>
      </c>
      <c r="AP8" s="9">
        <f t="shared" si="15"/>
        <v>4</v>
      </c>
      <c r="AQ8" s="8">
        <v>3</v>
      </c>
      <c r="AR8" s="8">
        <f t="shared" si="16"/>
        <v>12</v>
      </c>
      <c r="AS8" s="10">
        <v>79</v>
      </c>
      <c r="AT8" s="8" t="str">
        <f t="shared" si="21"/>
        <v>B+</v>
      </c>
      <c r="AU8" s="9">
        <f t="shared" si="22"/>
        <v>3.5</v>
      </c>
      <c r="AV8" s="141">
        <v>4</v>
      </c>
      <c r="AW8" s="8">
        <f t="shared" si="23"/>
        <v>14</v>
      </c>
      <c r="AX8" s="142">
        <v>83.1</v>
      </c>
      <c r="AY8" s="8" t="str">
        <f t="shared" si="24"/>
        <v>A</v>
      </c>
      <c r="AZ8" s="9">
        <f t="shared" si="25"/>
        <v>4</v>
      </c>
      <c r="BA8" s="143">
        <v>4</v>
      </c>
      <c r="BB8" s="141">
        <f t="shared" si="26"/>
        <v>16</v>
      </c>
      <c r="BC8" s="12">
        <v>82</v>
      </c>
      <c r="BD8" s="8" t="str">
        <f t="shared" si="27"/>
        <v>A</v>
      </c>
      <c r="BE8" s="9">
        <f t="shared" si="28"/>
        <v>4</v>
      </c>
      <c r="BF8" s="8">
        <v>5</v>
      </c>
      <c r="BG8" s="8">
        <f t="shared" si="29"/>
        <v>20</v>
      </c>
      <c r="BH8" s="8">
        <v>81</v>
      </c>
      <c r="BI8" s="8" t="str">
        <f t="shared" si="36"/>
        <v>A</v>
      </c>
      <c r="BJ8" s="9">
        <f t="shared" si="30"/>
        <v>4</v>
      </c>
      <c r="BK8" s="141">
        <v>2</v>
      </c>
      <c r="BL8" s="8">
        <f t="shared" si="31"/>
        <v>8</v>
      </c>
      <c r="BM8" s="11">
        <f>N8+S8+X8+AC8+AM8+AH8</f>
        <v>71</v>
      </c>
      <c r="BN8" s="8">
        <f>AL8+AG8+AB8+W8+R8+M8</f>
        <v>20</v>
      </c>
      <c r="BO8" s="95">
        <f>(BM8/BN8)</f>
        <v>3.55</v>
      </c>
      <c r="BP8" s="11">
        <f>BB8+AW8+AR8+BL8+BG8</f>
        <v>70</v>
      </c>
      <c r="BQ8" s="10">
        <f>BA8+AV8+AQ8+BF8+BK8</f>
        <v>18</v>
      </c>
      <c r="BR8" s="11">
        <f t="shared" si="32"/>
        <v>3.8888888888888888</v>
      </c>
      <c r="BS8" s="12">
        <f>BM8+BP8</f>
        <v>141</v>
      </c>
      <c r="BT8" s="11">
        <f>BN8+BQ8</f>
        <v>38</v>
      </c>
      <c r="BU8" s="11">
        <f t="shared" si="33"/>
        <v>3.7105263157894739</v>
      </c>
      <c r="BV8" s="86" t="str">
        <f t="shared" si="34"/>
        <v>Cum Laude</v>
      </c>
      <c r="BW8" s="86" t="str">
        <f t="shared" si="35"/>
        <v>Excellent</v>
      </c>
      <c r="BX8" s="92" t="s">
        <v>144</v>
      </c>
    </row>
    <row r="9" spans="1:76" x14ac:dyDescent="0.25">
      <c r="A9" s="7">
        <v>7</v>
      </c>
      <c r="B9" s="7" t="s">
        <v>33</v>
      </c>
      <c r="C9" s="7">
        <v>132414008</v>
      </c>
      <c r="D9" s="7" t="s">
        <v>27</v>
      </c>
      <c r="E9" s="7" t="s">
        <v>89</v>
      </c>
      <c r="F9" s="105" t="s">
        <v>90</v>
      </c>
      <c r="G9" s="7"/>
      <c r="H9" s="7"/>
      <c r="I9" s="7"/>
      <c r="J9" s="18">
        <v>80</v>
      </c>
      <c r="K9" s="19" t="str">
        <f t="shared" si="0"/>
        <v>A</v>
      </c>
      <c r="L9" s="20">
        <f t="shared" si="1"/>
        <v>4</v>
      </c>
      <c r="M9" s="21">
        <v>2</v>
      </c>
      <c r="N9" s="22">
        <f t="shared" si="2"/>
        <v>8</v>
      </c>
      <c r="O9" s="23">
        <v>74</v>
      </c>
      <c r="P9" s="24" t="str">
        <f t="shared" si="3"/>
        <v>B</v>
      </c>
      <c r="Q9" s="25">
        <f t="shared" si="4"/>
        <v>3</v>
      </c>
      <c r="R9" s="26">
        <v>6</v>
      </c>
      <c r="S9" s="27">
        <f t="shared" si="17"/>
        <v>18</v>
      </c>
      <c r="T9" s="35">
        <v>77</v>
      </c>
      <c r="U9" s="36" t="str">
        <f t="shared" si="5"/>
        <v>B+</v>
      </c>
      <c r="V9" s="37">
        <f t="shared" si="18"/>
        <v>3.5</v>
      </c>
      <c r="W9" s="38">
        <f>3</f>
        <v>3</v>
      </c>
      <c r="X9" s="39">
        <f t="shared" si="19"/>
        <v>10.5</v>
      </c>
      <c r="Y9" s="32">
        <v>77</v>
      </c>
      <c r="Z9" s="34" t="str">
        <f t="shared" si="6"/>
        <v>B+</v>
      </c>
      <c r="AA9" s="33">
        <f t="shared" si="7"/>
        <v>3.5</v>
      </c>
      <c r="AB9" s="34">
        <v>4</v>
      </c>
      <c r="AC9" s="40">
        <f t="shared" si="8"/>
        <v>14</v>
      </c>
      <c r="AD9" s="53">
        <v>76</v>
      </c>
      <c r="AE9" s="41" t="str">
        <f t="shared" si="9"/>
        <v>B+</v>
      </c>
      <c r="AF9" s="28">
        <f t="shared" si="10"/>
        <v>3.5</v>
      </c>
      <c r="AG9" s="29">
        <v>3</v>
      </c>
      <c r="AH9" s="30">
        <f t="shared" si="11"/>
        <v>10.5</v>
      </c>
      <c r="AI9" s="31">
        <v>78</v>
      </c>
      <c r="AJ9" s="3" t="str">
        <f t="shared" si="12"/>
        <v>B+</v>
      </c>
      <c r="AK9" s="4">
        <f t="shared" si="13"/>
        <v>3.5</v>
      </c>
      <c r="AL9" s="5">
        <v>2</v>
      </c>
      <c r="AM9" s="6">
        <f t="shared" si="20"/>
        <v>7</v>
      </c>
      <c r="AN9" s="12">
        <v>80</v>
      </c>
      <c r="AO9" s="8" t="str">
        <f t="shared" si="14"/>
        <v>A</v>
      </c>
      <c r="AP9" s="9">
        <f t="shared" si="15"/>
        <v>4</v>
      </c>
      <c r="AQ9" s="8">
        <v>3</v>
      </c>
      <c r="AR9" s="8">
        <f t="shared" si="16"/>
        <v>12</v>
      </c>
      <c r="AS9" s="10">
        <v>76</v>
      </c>
      <c r="AT9" s="8" t="str">
        <f t="shared" si="21"/>
        <v>B+</v>
      </c>
      <c r="AU9" s="9">
        <f t="shared" si="22"/>
        <v>3.5</v>
      </c>
      <c r="AV9" s="141">
        <v>4</v>
      </c>
      <c r="AW9" s="8">
        <f t="shared" si="23"/>
        <v>14</v>
      </c>
      <c r="AX9" s="142">
        <v>81</v>
      </c>
      <c r="AY9" s="8" t="str">
        <f t="shared" si="24"/>
        <v>A</v>
      </c>
      <c r="AZ9" s="9">
        <f t="shared" si="25"/>
        <v>4</v>
      </c>
      <c r="BA9" s="143">
        <v>4</v>
      </c>
      <c r="BB9" s="141">
        <f t="shared" si="26"/>
        <v>16</v>
      </c>
      <c r="BC9" s="12">
        <v>80</v>
      </c>
      <c r="BD9" s="8" t="str">
        <f t="shared" si="27"/>
        <v>A</v>
      </c>
      <c r="BE9" s="9">
        <f t="shared" si="28"/>
        <v>4</v>
      </c>
      <c r="BF9" s="8">
        <v>5</v>
      </c>
      <c r="BG9" s="8">
        <f t="shared" si="29"/>
        <v>20</v>
      </c>
      <c r="BH9" s="8">
        <v>81</v>
      </c>
      <c r="BI9" s="8" t="str">
        <f t="shared" si="36"/>
        <v>A</v>
      </c>
      <c r="BJ9" s="9">
        <f t="shared" si="30"/>
        <v>4</v>
      </c>
      <c r="BK9" s="141">
        <v>2</v>
      </c>
      <c r="BL9" s="8">
        <f t="shared" si="31"/>
        <v>8</v>
      </c>
      <c r="BM9" s="11">
        <f>N9+S9+X9+AC9+AM9+AH9</f>
        <v>68</v>
      </c>
      <c r="BN9" s="8">
        <f>AL9+AG9+AB9+W9+R9+M9</f>
        <v>20</v>
      </c>
      <c r="BO9" s="95">
        <f>(BM9/BN9)</f>
        <v>3.4</v>
      </c>
      <c r="BP9" s="11">
        <f>BB9+AW9+AR9+BL9+BG9</f>
        <v>70</v>
      </c>
      <c r="BQ9" s="10">
        <f>BA9+AV9+AQ9+BF9+BK9</f>
        <v>18</v>
      </c>
      <c r="BR9" s="11">
        <f t="shared" si="32"/>
        <v>3.8888888888888888</v>
      </c>
      <c r="BS9" s="12">
        <f>BM9+BP9</f>
        <v>138</v>
      </c>
      <c r="BT9" s="11">
        <f>BN9+BQ9</f>
        <v>38</v>
      </c>
      <c r="BU9" s="11">
        <f t="shared" si="33"/>
        <v>3.6315789473684212</v>
      </c>
      <c r="BV9" s="86" t="str">
        <f t="shared" si="34"/>
        <v>Cum Laude</v>
      </c>
      <c r="BW9" s="86" t="str">
        <f t="shared" si="35"/>
        <v>Excellent</v>
      </c>
      <c r="BX9" s="92" t="s">
        <v>145</v>
      </c>
    </row>
    <row r="10" spans="1:76" x14ac:dyDescent="0.25">
      <c r="A10" s="7">
        <v>8</v>
      </c>
      <c r="B10" s="7" t="s">
        <v>34</v>
      </c>
      <c r="C10" s="7">
        <v>132414009</v>
      </c>
      <c r="D10" s="7" t="s">
        <v>27</v>
      </c>
      <c r="E10" s="7" t="s">
        <v>91</v>
      </c>
      <c r="F10" s="105" t="s">
        <v>92</v>
      </c>
      <c r="G10" s="7"/>
      <c r="H10" s="7"/>
      <c r="I10" s="7"/>
      <c r="J10" s="18">
        <v>80</v>
      </c>
      <c r="K10" s="19" t="str">
        <f t="shared" si="0"/>
        <v>A</v>
      </c>
      <c r="L10" s="20">
        <f t="shared" si="1"/>
        <v>4</v>
      </c>
      <c r="M10" s="21">
        <v>2</v>
      </c>
      <c r="N10" s="22">
        <f t="shared" si="2"/>
        <v>8</v>
      </c>
      <c r="O10" s="23">
        <v>79</v>
      </c>
      <c r="P10" s="24" t="str">
        <f t="shared" si="3"/>
        <v>B+</v>
      </c>
      <c r="Q10" s="25">
        <f t="shared" si="4"/>
        <v>3.5</v>
      </c>
      <c r="R10" s="26">
        <v>6</v>
      </c>
      <c r="S10" s="27">
        <f t="shared" si="17"/>
        <v>21</v>
      </c>
      <c r="T10" s="35">
        <v>79</v>
      </c>
      <c r="U10" s="36" t="str">
        <f t="shared" si="5"/>
        <v>B+</v>
      </c>
      <c r="V10" s="37">
        <f t="shared" si="18"/>
        <v>3.5</v>
      </c>
      <c r="W10" s="38">
        <f>3</f>
        <v>3</v>
      </c>
      <c r="X10" s="39">
        <f t="shared" si="19"/>
        <v>10.5</v>
      </c>
      <c r="Y10" s="32">
        <v>79</v>
      </c>
      <c r="Z10" s="34" t="str">
        <f t="shared" si="6"/>
        <v>B+</v>
      </c>
      <c r="AA10" s="33">
        <f t="shared" si="7"/>
        <v>3.5</v>
      </c>
      <c r="AB10" s="34">
        <v>4</v>
      </c>
      <c r="AC10" s="40">
        <f t="shared" si="8"/>
        <v>14</v>
      </c>
      <c r="AD10" s="53">
        <v>80</v>
      </c>
      <c r="AE10" s="41" t="str">
        <f t="shared" si="9"/>
        <v>A</v>
      </c>
      <c r="AF10" s="28">
        <f t="shared" si="10"/>
        <v>4</v>
      </c>
      <c r="AG10" s="29">
        <v>3</v>
      </c>
      <c r="AH10" s="30">
        <f t="shared" si="11"/>
        <v>12</v>
      </c>
      <c r="AI10" s="31">
        <v>80</v>
      </c>
      <c r="AJ10" s="3" t="str">
        <f t="shared" si="12"/>
        <v>A</v>
      </c>
      <c r="AK10" s="4">
        <f t="shared" si="13"/>
        <v>4</v>
      </c>
      <c r="AL10" s="5">
        <v>2</v>
      </c>
      <c r="AM10" s="6">
        <f t="shared" si="20"/>
        <v>8</v>
      </c>
      <c r="AN10" s="12">
        <v>83</v>
      </c>
      <c r="AO10" s="8" t="str">
        <f t="shared" si="14"/>
        <v>A</v>
      </c>
      <c r="AP10" s="9">
        <f t="shared" si="15"/>
        <v>4</v>
      </c>
      <c r="AQ10" s="8">
        <v>3</v>
      </c>
      <c r="AR10" s="8">
        <f t="shared" si="16"/>
        <v>12</v>
      </c>
      <c r="AS10" s="10">
        <v>82</v>
      </c>
      <c r="AT10" s="8" t="str">
        <f t="shared" si="21"/>
        <v>A</v>
      </c>
      <c r="AU10" s="9">
        <f t="shared" si="22"/>
        <v>4</v>
      </c>
      <c r="AV10" s="141">
        <v>4</v>
      </c>
      <c r="AW10" s="8">
        <f t="shared" si="23"/>
        <v>16</v>
      </c>
      <c r="AX10" s="142">
        <v>84</v>
      </c>
      <c r="AY10" s="8" t="str">
        <f t="shared" si="24"/>
        <v>A</v>
      </c>
      <c r="AZ10" s="9">
        <f t="shared" si="25"/>
        <v>4</v>
      </c>
      <c r="BA10" s="143">
        <v>4</v>
      </c>
      <c r="BB10" s="141">
        <f t="shared" si="26"/>
        <v>16</v>
      </c>
      <c r="BC10" s="12">
        <v>83</v>
      </c>
      <c r="BD10" s="8" t="str">
        <f t="shared" si="27"/>
        <v>A</v>
      </c>
      <c r="BE10" s="9">
        <f t="shared" si="28"/>
        <v>4</v>
      </c>
      <c r="BF10" s="8">
        <v>5</v>
      </c>
      <c r="BG10" s="8">
        <f t="shared" si="29"/>
        <v>20</v>
      </c>
      <c r="BH10" s="8">
        <v>84</v>
      </c>
      <c r="BI10" s="8" t="str">
        <f t="shared" si="36"/>
        <v>A</v>
      </c>
      <c r="BJ10" s="9">
        <f t="shared" si="30"/>
        <v>4</v>
      </c>
      <c r="BK10" s="141">
        <v>2</v>
      </c>
      <c r="BL10" s="8">
        <f t="shared" si="31"/>
        <v>8</v>
      </c>
      <c r="BM10" s="11">
        <f>N10+S10+X10+AC10+AM10+AH10</f>
        <v>73.5</v>
      </c>
      <c r="BN10" s="8">
        <f>AL10+AG10+AB10+W10+R10+M10</f>
        <v>20</v>
      </c>
      <c r="BO10" s="95">
        <f>(BM10/BN10)</f>
        <v>3.6749999999999998</v>
      </c>
      <c r="BP10" s="11">
        <f>BB10+AW10+AR10+BL10+BG10</f>
        <v>72</v>
      </c>
      <c r="BQ10" s="10">
        <f>BA10+AV10+AQ10+BF10+BK10</f>
        <v>18</v>
      </c>
      <c r="BR10" s="11">
        <f t="shared" si="32"/>
        <v>4</v>
      </c>
      <c r="BS10" s="144">
        <f>BM10+BP10</f>
        <v>145.5</v>
      </c>
      <c r="BT10" s="11">
        <f>BN10+BQ10</f>
        <v>38</v>
      </c>
      <c r="BU10" s="11">
        <f t="shared" si="33"/>
        <v>3.8289473684210527</v>
      </c>
      <c r="BV10" s="86" t="str">
        <f t="shared" si="34"/>
        <v>Cum Laude</v>
      </c>
      <c r="BW10" s="86" t="str">
        <f t="shared" si="35"/>
        <v>Excellent</v>
      </c>
      <c r="BX10" s="1" t="s">
        <v>147</v>
      </c>
    </row>
    <row r="11" spans="1:76" x14ac:dyDescent="0.25">
      <c r="A11" s="7">
        <v>9</v>
      </c>
      <c r="B11" s="7" t="s">
        <v>35</v>
      </c>
      <c r="C11" s="7">
        <v>132414010</v>
      </c>
      <c r="D11" s="7" t="s">
        <v>27</v>
      </c>
      <c r="E11" s="7" t="s">
        <v>93</v>
      </c>
      <c r="F11" s="105" t="s">
        <v>94</v>
      </c>
      <c r="G11" s="7"/>
      <c r="H11" s="7"/>
      <c r="I11" s="7"/>
      <c r="J11" s="18">
        <v>80</v>
      </c>
      <c r="K11" s="19" t="str">
        <f t="shared" si="0"/>
        <v>A</v>
      </c>
      <c r="L11" s="20">
        <f t="shared" si="1"/>
        <v>4</v>
      </c>
      <c r="M11" s="21">
        <v>2</v>
      </c>
      <c r="N11" s="22">
        <f t="shared" si="2"/>
        <v>8</v>
      </c>
      <c r="O11" s="23">
        <v>78</v>
      </c>
      <c r="P11" s="24" t="str">
        <f t="shared" si="3"/>
        <v>B+</v>
      </c>
      <c r="Q11" s="25">
        <f t="shared" si="4"/>
        <v>3.5</v>
      </c>
      <c r="R11" s="26">
        <v>6</v>
      </c>
      <c r="S11" s="27">
        <f t="shared" si="17"/>
        <v>21</v>
      </c>
      <c r="T11" s="35">
        <v>79</v>
      </c>
      <c r="U11" s="36" t="str">
        <f t="shared" si="5"/>
        <v>B+</v>
      </c>
      <c r="V11" s="37">
        <f t="shared" si="18"/>
        <v>3.5</v>
      </c>
      <c r="W11" s="38">
        <f>3</f>
        <v>3</v>
      </c>
      <c r="X11" s="39">
        <f t="shared" si="19"/>
        <v>10.5</v>
      </c>
      <c r="Y11" s="32">
        <v>79</v>
      </c>
      <c r="Z11" s="34" t="str">
        <f t="shared" si="6"/>
        <v>B+</v>
      </c>
      <c r="AA11" s="33">
        <f t="shared" si="7"/>
        <v>3.5</v>
      </c>
      <c r="AB11" s="34">
        <v>4</v>
      </c>
      <c r="AC11" s="40">
        <f t="shared" si="8"/>
        <v>14</v>
      </c>
      <c r="AD11" s="53">
        <v>79</v>
      </c>
      <c r="AE11" s="41" t="str">
        <f t="shared" si="9"/>
        <v>B+</v>
      </c>
      <c r="AF11" s="28">
        <f t="shared" si="10"/>
        <v>3.5</v>
      </c>
      <c r="AG11" s="29">
        <v>3</v>
      </c>
      <c r="AH11" s="30">
        <f t="shared" si="11"/>
        <v>10.5</v>
      </c>
      <c r="AI11" s="31">
        <v>79</v>
      </c>
      <c r="AJ11" s="3" t="str">
        <f t="shared" si="12"/>
        <v>B+</v>
      </c>
      <c r="AK11" s="4">
        <f t="shared" si="13"/>
        <v>3.5</v>
      </c>
      <c r="AL11" s="5">
        <v>2</v>
      </c>
      <c r="AM11" s="6">
        <f t="shared" si="20"/>
        <v>7</v>
      </c>
      <c r="AN11" s="12">
        <v>83</v>
      </c>
      <c r="AO11" s="8" t="str">
        <f t="shared" si="14"/>
        <v>A</v>
      </c>
      <c r="AP11" s="9">
        <f t="shared" si="15"/>
        <v>4</v>
      </c>
      <c r="AQ11" s="8">
        <v>3</v>
      </c>
      <c r="AR11" s="8">
        <f t="shared" si="16"/>
        <v>12</v>
      </c>
      <c r="AS11" s="10">
        <v>81</v>
      </c>
      <c r="AT11" s="8" t="str">
        <f t="shared" si="21"/>
        <v>A</v>
      </c>
      <c r="AU11" s="9">
        <f t="shared" si="22"/>
        <v>4</v>
      </c>
      <c r="AV11" s="141">
        <v>4</v>
      </c>
      <c r="AW11" s="8">
        <f t="shared" si="23"/>
        <v>16</v>
      </c>
      <c r="AX11" s="142">
        <v>82</v>
      </c>
      <c r="AY11" s="8" t="str">
        <f t="shared" si="24"/>
        <v>A</v>
      </c>
      <c r="AZ11" s="9">
        <f t="shared" si="25"/>
        <v>4</v>
      </c>
      <c r="BA11" s="143">
        <v>4</v>
      </c>
      <c r="BB11" s="141">
        <f t="shared" si="26"/>
        <v>16</v>
      </c>
      <c r="BC11" s="12">
        <v>83</v>
      </c>
      <c r="BD11" s="8" t="str">
        <f t="shared" si="27"/>
        <v>A</v>
      </c>
      <c r="BE11" s="9">
        <f t="shared" si="28"/>
        <v>4</v>
      </c>
      <c r="BF11" s="8">
        <v>5</v>
      </c>
      <c r="BG11" s="8">
        <f t="shared" si="29"/>
        <v>20</v>
      </c>
      <c r="BH11" s="8">
        <v>83</v>
      </c>
      <c r="BI11" s="8" t="str">
        <f t="shared" si="36"/>
        <v>A</v>
      </c>
      <c r="BJ11" s="9">
        <f t="shared" si="30"/>
        <v>4</v>
      </c>
      <c r="BK11" s="141">
        <v>2</v>
      </c>
      <c r="BL11" s="8">
        <f t="shared" si="31"/>
        <v>8</v>
      </c>
      <c r="BM11" s="11">
        <f>N11+S11+X11+AC11+AM11+AH11</f>
        <v>71</v>
      </c>
      <c r="BN11" s="8">
        <f>AL11+AG11+AB11+W11+R11+M11</f>
        <v>20</v>
      </c>
      <c r="BO11" s="95">
        <f>(BM11/BN11)</f>
        <v>3.55</v>
      </c>
      <c r="BP11" s="11">
        <f>BB11+AW11+AR11+BL11+BG11</f>
        <v>72</v>
      </c>
      <c r="BQ11" s="10">
        <f>BA11+AV11+AQ11+BF11+BK11</f>
        <v>18</v>
      </c>
      <c r="BR11" s="11">
        <f t="shared" si="32"/>
        <v>4</v>
      </c>
      <c r="BS11" s="12">
        <f>BM11+BP11</f>
        <v>143</v>
      </c>
      <c r="BT11" s="11">
        <f>BN11+BQ11</f>
        <v>38</v>
      </c>
      <c r="BU11" s="11">
        <f t="shared" si="33"/>
        <v>3.763157894736842</v>
      </c>
      <c r="BV11" s="86" t="str">
        <f t="shared" si="34"/>
        <v>Cum Laude</v>
      </c>
      <c r="BW11" s="86" t="str">
        <f t="shared" si="35"/>
        <v>Excellent</v>
      </c>
      <c r="BX11" s="92" t="s">
        <v>146</v>
      </c>
    </row>
    <row r="12" spans="1:76" x14ac:dyDescent="0.25">
      <c r="A12" s="7">
        <v>10</v>
      </c>
      <c r="B12" s="7" t="s">
        <v>36</v>
      </c>
      <c r="C12" s="7">
        <v>132414011</v>
      </c>
      <c r="D12" s="7" t="s">
        <v>27</v>
      </c>
      <c r="E12" s="7" t="s">
        <v>95</v>
      </c>
      <c r="F12" s="105" t="s">
        <v>96</v>
      </c>
      <c r="G12" s="7"/>
      <c r="H12" s="7"/>
      <c r="I12" s="7"/>
      <c r="J12" s="18">
        <v>80</v>
      </c>
      <c r="K12" s="19" t="str">
        <f t="shared" si="0"/>
        <v>A</v>
      </c>
      <c r="L12" s="20">
        <f t="shared" si="1"/>
        <v>4</v>
      </c>
      <c r="M12" s="21">
        <v>2</v>
      </c>
      <c r="N12" s="22">
        <f t="shared" si="2"/>
        <v>8</v>
      </c>
      <c r="O12" s="23">
        <v>78</v>
      </c>
      <c r="P12" s="24" t="str">
        <f t="shared" si="3"/>
        <v>B+</v>
      </c>
      <c r="Q12" s="25">
        <f t="shared" si="4"/>
        <v>3.5</v>
      </c>
      <c r="R12" s="26">
        <v>6</v>
      </c>
      <c r="S12" s="27">
        <f t="shared" si="17"/>
        <v>21</v>
      </c>
      <c r="T12" s="35">
        <v>79</v>
      </c>
      <c r="U12" s="36" t="str">
        <f t="shared" si="5"/>
        <v>B+</v>
      </c>
      <c r="V12" s="37">
        <f t="shared" si="18"/>
        <v>3.5</v>
      </c>
      <c r="W12" s="38">
        <f>3</f>
        <v>3</v>
      </c>
      <c r="X12" s="39">
        <f t="shared" si="19"/>
        <v>10.5</v>
      </c>
      <c r="Y12" s="32">
        <v>79</v>
      </c>
      <c r="Z12" s="34" t="str">
        <f t="shared" si="6"/>
        <v>B+</v>
      </c>
      <c r="AA12" s="33">
        <f t="shared" si="7"/>
        <v>3.5</v>
      </c>
      <c r="AB12" s="34">
        <v>4</v>
      </c>
      <c r="AC12" s="40">
        <f t="shared" si="8"/>
        <v>14</v>
      </c>
      <c r="AD12" s="53">
        <v>76</v>
      </c>
      <c r="AE12" s="41" t="str">
        <f t="shared" si="9"/>
        <v>B+</v>
      </c>
      <c r="AF12" s="28">
        <f t="shared" si="10"/>
        <v>3.5</v>
      </c>
      <c r="AG12" s="29">
        <v>3</v>
      </c>
      <c r="AH12" s="30">
        <f t="shared" si="11"/>
        <v>10.5</v>
      </c>
      <c r="AI12" s="31">
        <v>78</v>
      </c>
      <c r="AJ12" s="3" t="str">
        <f t="shared" si="12"/>
        <v>B+</v>
      </c>
      <c r="AK12" s="4">
        <f t="shared" si="13"/>
        <v>3.5</v>
      </c>
      <c r="AL12" s="5">
        <v>2</v>
      </c>
      <c r="AM12" s="6">
        <f t="shared" si="20"/>
        <v>7</v>
      </c>
      <c r="AN12" s="12">
        <v>82</v>
      </c>
      <c r="AO12" s="8" t="str">
        <f t="shared" si="14"/>
        <v>A</v>
      </c>
      <c r="AP12" s="9">
        <f t="shared" si="15"/>
        <v>4</v>
      </c>
      <c r="AQ12" s="8">
        <v>3</v>
      </c>
      <c r="AR12" s="8">
        <f t="shared" si="16"/>
        <v>12</v>
      </c>
      <c r="AS12" s="10">
        <v>82</v>
      </c>
      <c r="AT12" s="8" t="str">
        <f t="shared" si="21"/>
        <v>A</v>
      </c>
      <c r="AU12" s="9">
        <f t="shared" si="22"/>
        <v>4</v>
      </c>
      <c r="AV12" s="141">
        <v>4</v>
      </c>
      <c r="AW12" s="8">
        <f t="shared" si="23"/>
        <v>16</v>
      </c>
      <c r="AX12" s="142">
        <v>82</v>
      </c>
      <c r="AY12" s="8" t="str">
        <f t="shared" si="24"/>
        <v>A</v>
      </c>
      <c r="AZ12" s="9">
        <f t="shared" si="25"/>
        <v>4</v>
      </c>
      <c r="BA12" s="143">
        <v>4</v>
      </c>
      <c r="BB12" s="141">
        <f t="shared" si="26"/>
        <v>16</v>
      </c>
      <c r="BC12" s="12">
        <v>82</v>
      </c>
      <c r="BD12" s="8" t="str">
        <f t="shared" si="27"/>
        <v>A</v>
      </c>
      <c r="BE12" s="9">
        <f t="shared" si="28"/>
        <v>4</v>
      </c>
      <c r="BF12" s="8">
        <v>5</v>
      </c>
      <c r="BG12" s="8">
        <f t="shared" si="29"/>
        <v>20</v>
      </c>
      <c r="BH12" s="8">
        <v>83</v>
      </c>
      <c r="BI12" s="8" t="str">
        <f t="shared" si="36"/>
        <v>A</v>
      </c>
      <c r="BJ12" s="9">
        <f t="shared" si="30"/>
        <v>4</v>
      </c>
      <c r="BK12" s="141">
        <v>2</v>
      </c>
      <c r="BL12" s="8">
        <f t="shared" si="31"/>
        <v>8</v>
      </c>
      <c r="BM12" s="11">
        <f>N12+S12+X12+AC12+AM12+AH12</f>
        <v>71</v>
      </c>
      <c r="BN12" s="8">
        <f>AL12+AG12+AB12+W12+R12+M12</f>
        <v>20</v>
      </c>
      <c r="BO12" s="95">
        <f>(BM12/BN12)</f>
        <v>3.55</v>
      </c>
      <c r="BP12" s="11">
        <f>BB12+AW12+AR12+BL12+BG12</f>
        <v>72</v>
      </c>
      <c r="BQ12" s="10">
        <f>BA12+AV12+AQ12+BF12+BK12</f>
        <v>18</v>
      </c>
      <c r="BR12" s="11">
        <f t="shared" si="32"/>
        <v>4</v>
      </c>
      <c r="BS12" s="12">
        <f>BM12+BP12</f>
        <v>143</v>
      </c>
      <c r="BT12" s="11">
        <f>BN12+BQ12</f>
        <v>38</v>
      </c>
      <c r="BU12" s="11">
        <f t="shared" si="33"/>
        <v>3.763157894736842</v>
      </c>
      <c r="BV12" s="86" t="str">
        <f t="shared" si="34"/>
        <v>Cum Laude</v>
      </c>
      <c r="BW12" s="86" t="str">
        <f t="shared" si="35"/>
        <v>Excellent</v>
      </c>
      <c r="BX12" s="92" t="s">
        <v>148</v>
      </c>
    </row>
    <row r="13" spans="1:76" x14ac:dyDescent="0.25">
      <c r="A13" s="7">
        <v>11</v>
      </c>
      <c r="B13" s="150" t="s">
        <v>37</v>
      </c>
      <c r="C13" s="7">
        <v>132414012</v>
      </c>
      <c r="D13" s="7" t="s">
        <v>27</v>
      </c>
      <c r="E13" s="7"/>
      <c r="F13" s="105"/>
      <c r="G13" s="7"/>
      <c r="H13" s="7"/>
      <c r="I13" s="7"/>
      <c r="J13" s="18">
        <v>79</v>
      </c>
      <c r="K13" s="19" t="str">
        <f t="shared" si="0"/>
        <v>B+</v>
      </c>
      <c r="L13" s="20">
        <f t="shared" si="1"/>
        <v>3.5</v>
      </c>
      <c r="M13" s="21">
        <v>2</v>
      </c>
      <c r="N13" s="22">
        <f t="shared" si="2"/>
        <v>7</v>
      </c>
      <c r="O13" s="23">
        <v>75</v>
      </c>
      <c r="P13" s="24" t="str">
        <f t="shared" si="3"/>
        <v>B+</v>
      </c>
      <c r="Q13" s="25">
        <f t="shared" si="4"/>
        <v>3.5</v>
      </c>
      <c r="R13" s="26">
        <v>6</v>
      </c>
      <c r="S13" s="27">
        <f t="shared" si="17"/>
        <v>21</v>
      </c>
      <c r="T13" s="35">
        <v>79</v>
      </c>
      <c r="U13" s="36" t="str">
        <f t="shared" si="5"/>
        <v>B+</v>
      </c>
      <c r="V13" s="37">
        <f t="shared" si="18"/>
        <v>3.5</v>
      </c>
      <c r="W13" s="38">
        <f>3</f>
        <v>3</v>
      </c>
      <c r="X13" s="39">
        <f t="shared" si="19"/>
        <v>10.5</v>
      </c>
      <c r="Y13" s="32">
        <v>79</v>
      </c>
      <c r="Z13" s="34" t="str">
        <f t="shared" si="6"/>
        <v>B+</v>
      </c>
      <c r="AA13" s="33">
        <f t="shared" si="7"/>
        <v>3.5</v>
      </c>
      <c r="AB13" s="34">
        <v>4</v>
      </c>
      <c r="AC13" s="40">
        <f t="shared" si="8"/>
        <v>14</v>
      </c>
      <c r="AD13" s="53">
        <v>76</v>
      </c>
      <c r="AE13" s="41" t="str">
        <f t="shared" si="9"/>
        <v>B+</v>
      </c>
      <c r="AF13" s="28">
        <f t="shared" si="10"/>
        <v>3.5</v>
      </c>
      <c r="AG13" s="29">
        <v>3</v>
      </c>
      <c r="AH13" s="30">
        <f t="shared" si="11"/>
        <v>10.5</v>
      </c>
      <c r="AI13" s="31">
        <v>78</v>
      </c>
      <c r="AJ13" s="3" t="str">
        <f t="shared" si="12"/>
        <v>B+</v>
      </c>
      <c r="AK13" s="4">
        <f t="shared" si="13"/>
        <v>3.5</v>
      </c>
      <c r="AL13" s="5">
        <v>2</v>
      </c>
      <c r="AM13" s="6">
        <f t="shared" si="20"/>
        <v>7</v>
      </c>
      <c r="AN13" s="12">
        <v>80</v>
      </c>
      <c r="AO13" s="8" t="str">
        <f t="shared" si="14"/>
        <v>A</v>
      </c>
      <c r="AP13" s="9">
        <f t="shared" si="15"/>
        <v>4</v>
      </c>
      <c r="AQ13" s="8">
        <v>3</v>
      </c>
      <c r="AR13" s="8">
        <f t="shared" si="16"/>
        <v>12</v>
      </c>
      <c r="AS13" s="10">
        <v>79</v>
      </c>
      <c r="AT13" s="8" t="str">
        <f t="shared" si="21"/>
        <v>B+</v>
      </c>
      <c r="AU13" s="9">
        <f t="shared" si="22"/>
        <v>3.5</v>
      </c>
      <c r="AV13" s="141">
        <v>4</v>
      </c>
      <c r="AW13" s="8">
        <f t="shared" si="23"/>
        <v>14</v>
      </c>
      <c r="AX13" s="142">
        <v>83.9</v>
      </c>
      <c r="AY13" s="8" t="str">
        <f t="shared" si="24"/>
        <v>A</v>
      </c>
      <c r="AZ13" s="9">
        <f t="shared" si="25"/>
        <v>4</v>
      </c>
      <c r="BA13" s="143">
        <v>4</v>
      </c>
      <c r="BB13" s="141">
        <f t="shared" si="26"/>
        <v>16</v>
      </c>
      <c r="BC13" s="12">
        <v>80</v>
      </c>
      <c r="BD13" s="8" t="str">
        <f t="shared" si="27"/>
        <v>A</v>
      </c>
      <c r="BE13" s="9">
        <f t="shared" si="28"/>
        <v>4</v>
      </c>
      <c r="BF13" s="8">
        <v>5</v>
      </c>
      <c r="BG13" s="8">
        <f t="shared" si="29"/>
        <v>20</v>
      </c>
      <c r="BH13" s="145">
        <v>76</v>
      </c>
      <c r="BI13" s="8" t="str">
        <f t="shared" si="36"/>
        <v>B+</v>
      </c>
      <c r="BJ13" s="9">
        <f t="shared" si="30"/>
        <v>3.5</v>
      </c>
      <c r="BK13" s="141">
        <v>2</v>
      </c>
      <c r="BL13" s="8">
        <f t="shared" si="31"/>
        <v>7</v>
      </c>
      <c r="BM13" s="11">
        <f>N13+S13+X13+AC13+AM13+AH13</f>
        <v>70</v>
      </c>
      <c r="BN13" s="8">
        <f>AL13+AG13+AB13+W13+R13+M13</f>
        <v>20</v>
      </c>
      <c r="BO13" s="95">
        <f>(BM13/BN13)</f>
        <v>3.5</v>
      </c>
      <c r="BP13" s="11">
        <f>BB13+AW13+AR13+BL13+BG13</f>
        <v>69</v>
      </c>
      <c r="BQ13" s="10">
        <f>BA13+AV13+AQ13+BF13+BK13</f>
        <v>18</v>
      </c>
      <c r="BR13" s="11">
        <f t="shared" si="32"/>
        <v>3.8333333333333335</v>
      </c>
      <c r="BS13" s="12">
        <f>BM13+BP13</f>
        <v>139</v>
      </c>
      <c r="BT13" s="11">
        <f>BN13+BQ13</f>
        <v>38</v>
      </c>
      <c r="BU13" s="11">
        <f t="shared" si="33"/>
        <v>3.6578947368421053</v>
      </c>
      <c r="BV13" s="86" t="str">
        <f t="shared" si="34"/>
        <v>Cum Laude</v>
      </c>
      <c r="BW13" s="86" t="str">
        <f t="shared" si="35"/>
        <v>Excellent</v>
      </c>
      <c r="BX13" s="92"/>
    </row>
    <row r="14" spans="1:76" x14ac:dyDescent="0.25">
      <c r="A14" s="7">
        <v>12</v>
      </c>
      <c r="B14" s="7" t="s">
        <v>38</v>
      </c>
      <c r="C14" s="7">
        <v>132414013</v>
      </c>
      <c r="D14" s="7" t="s">
        <v>27</v>
      </c>
      <c r="E14" s="7" t="s">
        <v>97</v>
      </c>
      <c r="F14" s="105" t="s">
        <v>98</v>
      </c>
      <c r="G14" s="7"/>
      <c r="H14" s="7"/>
      <c r="I14" s="7"/>
      <c r="J14" s="18">
        <v>74</v>
      </c>
      <c r="K14" s="19" t="str">
        <f t="shared" si="0"/>
        <v>B</v>
      </c>
      <c r="L14" s="20">
        <f t="shared" si="1"/>
        <v>3</v>
      </c>
      <c r="M14" s="21">
        <v>2</v>
      </c>
      <c r="N14" s="22">
        <f t="shared" si="2"/>
        <v>6</v>
      </c>
      <c r="O14" s="23">
        <v>73</v>
      </c>
      <c r="P14" s="24" t="str">
        <f t="shared" si="3"/>
        <v>B</v>
      </c>
      <c r="Q14" s="25">
        <f t="shared" si="4"/>
        <v>3</v>
      </c>
      <c r="R14" s="26">
        <v>6</v>
      </c>
      <c r="S14" s="27">
        <f t="shared" si="17"/>
        <v>18</v>
      </c>
      <c r="T14" s="35">
        <v>79</v>
      </c>
      <c r="U14" s="36" t="str">
        <f t="shared" si="5"/>
        <v>B+</v>
      </c>
      <c r="V14" s="37">
        <f t="shared" si="18"/>
        <v>3.5</v>
      </c>
      <c r="W14" s="38">
        <f>3</f>
        <v>3</v>
      </c>
      <c r="X14" s="39">
        <f t="shared" si="19"/>
        <v>10.5</v>
      </c>
      <c r="Y14" s="32">
        <v>78</v>
      </c>
      <c r="Z14" s="34" t="str">
        <f t="shared" si="6"/>
        <v>B+</v>
      </c>
      <c r="AA14" s="33">
        <f t="shared" si="7"/>
        <v>3.5</v>
      </c>
      <c r="AB14" s="34">
        <v>4</v>
      </c>
      <c r="AC14" s="40">
        <f t="shared" si="8"/>
        <v>14</v>
      </c>
      <c r="AD14" s="53">
        <v>75</v>
      </c>
      <c r="AE14" s="41" t="str">
        <f t="shared" si="9"/>
        <v>B+</v>
      </c>
      <c r="AF14" s="28">
        <f t="shared" si="10"/>
        <v>3.5</v>
      </c>
      <c r="AG14" s="29">
        <v>3</v>
      </c>
      <c r="AH14" s="30">
        <f t="shared" si="11"/>
        <v>10.5</v>
      </c>
      <c r="AI14" s="31">
        <v>78</v>
      </c>
      <c r="AJ14" s="3" t="str">
        <f t="shared" si="12"/>
        <v>B+</v>
      </c>
      <c r="AK14" s="4">
        <f t="shared" si="13"/>
        <v>3.5</v>
      </c>
      <c r="AL14" s="5">
        <v>2</v>
      </c>
      <c r="AM14" s="6">
        <f t="shared" si="20"/>
        <v>7</v>
      </c>
      <c r="AN14" s="12">
        <v>80</v>
      </c>
      <c r="AO14" s="8" t="str">
        <f t="shared" si="14"/>
        <v>A</v>
      </c>
      <c r="AP14" s="9">
        <f t="shared" si="15"/>
        <v>4</v>
      </c>
      <c r="AQ14" s="8">
        <v>3</v>
      </c>
      <c r="AR14" s="8">
        <f t="shared" si="16"/>
        <v>12</v>
      </c>
      <c r="AS14" s="10">
        <v>78</v>
      </c>
      <c r="AT14" s="8" t="str">
        <f t="shared" si="21"/>
        <v>B+</v>
      </c>
      <c r="AU14" s="9">
        <f t="shared" si="22"/>
        <v>3.5</v>
      </c>
      <c r="AV14" s="141">
        <v>4</v>
      </c>
      <c r="AW14" s="8">
        <f t="shared" si="23"/>
        <v>14</v>
      </c>
      <c r="AX14" s="10">
        <v>81</v>
      </c>
      <c r="AY14" s="8" t="str">
        <f t="shared" si="24"/>
        <v>A</v>
      </c>
      <c r="AZ14" s="9">
        <f t="shared" si="25"/>
        <v>4</v>
      </c>
      <c r="BA14" s="143">
        <v>4</v>
      </c>
      <c r="BB14" s="141">
        <f t="shared" si="26"/>
        <v>16</v>
      </c>
      <c r="BC14" s="12">
        <v>80</v>
      </c>
      <c r="BD14" s="8" t="str">
        <f t="shared" si="27"/>
        <v>A</v>
      </c>
      <c r="BE14" s="9">
        <f t="shared" si="28"/>
        <v>4</v>
      </c>
      <c r="BF14" s="8">
        <v>5</v>
      </c>
      <c r="BG14" s="8">
        <f t="shared" si="29"/>
        <v>20</v>
      </c>
      <c r="BH14" s="8">
        <v>82</v>
      </c>
      <c r="BI14" s="8" t="str">
        <f t="shared" si="36"/>
        <v>A</v>
      </c>
      <c r="BJ14" s="9">
        <f t="shared" si="30"/>
        <v>4</v>
      </c>
      <c r="BK14" s="141">
        <v>2</v>
      </c>
      <c r="BL14" s="8">
        <f t="shared" si="31"/>
        <v>8</v>
      </c>
      <c r="BM14" s="11">
        <f>N14+S14+X14+AC14+AM14+AH14</f>
        <v>66</v>
      </c>
      <c r="BN14" s="8">
        <f>AL14+AG14+AB14+W14+R14+M14</f>
        <v>20</v>
      </c>
      <c r="BO14" s="95">
        <f>(BM14/BN14)</f>
        <v>3.3</v>
      </c>
      <c r="BP14" s="11">
        <f>BB14+AW14+AR14+BL14+BG14</f>
        <v>70</v>
      </c>
      <c r="BQ14" s="10">
        <f>BA14+AV14+AQ14+BF14+BK14</f>
        <v>18</v>
      </c>
      <c r="BR14" s="11">
        <f t="shared" si="32"/>
        <v>3.8888888888888888</v>
      </c>
      <c r="BS14" s="12">
        <f>BM14+BP14</f>
        <v>136</v>
      </c>
      <c r="BT14" s="11">
        <f>BN14+BQ14</f>
        <v>38</v>
      </c>
      <c r="BU14" s="11">
        <f t="shared" si="33"/>
        <v>3.5789473684210527</v>
      </c>
      <c r="BV14" s="86" t="str">
        <f t="shared" si="34"/>
        <v>Cum Laude</v>
      </c>
      <c r="BW14" s="86" t="str">
        <f t="shared" si="35"/>
        <v>Excellent</v>
      </c>
      <c r="BX14" s="92" t="s">
        <v>149</v>
      </c>
    </row>
    <row r="15" spans="1:76" x14ac:dyDescent="0.25">
      <c r="A15" s="7">
        <v>13</v>
      </c>
      <c r="B15" s="7" t="s">
        <v>39</v>
      </c>
      <c r="C15" s="7">
        <v>132414014</v>
      </c>
      <c r="D15" s="7" t="s">
        <v>40</v>
      </c>
      <c r="E15" s="7"/>
      <c r="F15" s="105"/>
      <c r="G15" s="7"/>
      <c r="H15" s="7"/>
      <c r="I15" s="7"/>
      <c r="J15" s="18">
        <v>74</v>
      </c>
      <c r="K15" s="19" t="str">
        <f t="shared" si="0"/>
        <v>B</v>
      </c>
      <c r="L15" s="20">
        <f t="shared" si="1"/>
        <v>3</v>
      </c>
      <c r="M15" s="21">
        <v>2</v>
      </c>
      <c r="N15" s="22">
        <f t="shared" si="2"/>
        <v>6</v>
      </c>
      <c r="O15" s="23">
        <v>74</v>
      </c>
      <c r="P15" s="24" t="str">
        <f t="shared" si="3"/>
        <v>B</v>
      </c>
      <c r="Q15" s="25">
        <f t="shared" si="4"/>
        <v>3</v>
      </c>
      <c r="R15" s="26">
        <v>6</v>
      </c>
      <c r="S15" s="27">
        <f t="shared" si="17"/>
        <v>18</v>
      </c>
      <c r="T15" s="35">
        <v>75</v>
      </c>
      <c r="U15" s="36" t="str">
        <f t="shared" si="5"/>
        <v>B+</v>
      </c>
      <c r="V15" s="37">
        <f t="shared" si="18"/>
        <v>3.5</v>
      </c>
      <c r="W15" s="38">
        <f>3</f>
        <v>3</v>
      </c>
      <c r="X15" s="39">
        <f t="shared" si="19"/>
        <v>10.5</v>
      </c>
      <c r="Y15" s="32">
        <v>74</v>
      </c>
      <c r="Z15" s="34" t="str">
        <f t="shared" si="6"/>
        <v>B</v>
      </c>
      <c r="AA15" s="33">
        <f t="shared" si="7"/>
        <v>3</v>
      </c>
      <c r="AB15" s="34">
        <v>4</v>
      </c>
      <c r="AC15" s="40">
        <f t="shared" si="8"/>
        <v>12</v>
      </c>
      <c r="AD15" s="53">
        <v>78.53</v>
      </c>
      <c r="AE15" s="41" t="str">
        <f t="shared" si="9"/>
        <v>B+</v>
      </c>
      <c r="AF15" s="28">
        <f t="shared" si="10"/>
        <v>3.5</v>
      </c>
      <c r="AG15" s="29">
        <v>3</v>
      </c>
      <c r="AH15" s="30">
        <f t="shared" si="11"/>
        <v>10.5</v>
      </c>
      <c r="AI15" s="31">
        <v>76</v>
      </c>
      <c r="AJ15" s="3" t="str">
        <f t="shared" si="12"/>
        <v>B+</v>
      </c>
      <c r="AK15" s="4">
        <f t="shared" si="13"/>
        <v>3.5</v>
      </c>
      <c r="AL15" s="5">
        <v>2</v>
      </c>
      <c r="AM15" s="6">
        <f t="shared" si="20"/>
        <v>7</v>
      </c>
      <c r="AN15" s="12">
        <v>80</v>
      </c>
      <c r="AO15" s="8" t="str">
        <f t="shared" si="14"/>
        <v>A</v>
      </c>
      <c r="AP15" s="9">
        <f t="shared" si="15"/>
        <v>4</v>
      </c>
      <c r="AQ15" s="8">
        <v>3</v>
      </c>
      <c r="AR15" s="8">
        <f t="shared" si="16"/>
        <v>12</v>
      </c>
      <c r="AS15" s="15">
        <v>78</v>
      </c>
      <c r="AT15" s="8" t="str">
        <f t="shared" si="21"/>
        <v>B+</v>
      </c>
      <c r="AU15" s="9">
        <f t="shared" si="22"/>
        <v>3.5</v>
      </c>
      <c r="AV15" s="141">
        <v>4</v>
      </c>
      <c r="AW15" s="8">
        <f t="shared" si="23"/>
        <v>14</v>
      </c>
      <c r="AX15" s="142">
        <v>81.5</v>
      </c>
      <c r="AY15" s="8" t="str">
        <f t="shared" si="24"/>
        <v>A</v>
      </c>
      <c r="AZ15" s="9">
        <f t="shared" si="25"/>
        <v>4</v>
      </c>
      <c r="BA15" s="143">
        <v>4</v>
      </c>
      <c r="BB15" s="141">
        <f t="shared" si="26"/>
        <v>16</v>
      </c>
      <c r="BC15" s="12">
        <v>80</v>
      </c>
      <c r="BD15" s="8" t="str">
        <f t="shared" si="27"/>
        <v>A</v>
      </c>
      <c r="BE15" s="9">
        <f t="shared" si="28"/>
        <v>4</v>
      </c>
      <c r="BF15" s="8">
        <v>5</v>
      </c>
      <c r="BG15" s="8">
        <f t="shared" si="29"/>
        <v>20</v>
      </c>
      <c r="BH15" s="145">
        <v>76</v>
      </c>
      <c r="BI15" s="8" t="str">
        <f t="shared" si="36"/>
        <v>B+</v>
      </c>
      <c r="BJ15" s="9">
        <f t="shared" si="30"/>
        <v>3.5</v>
      </c>
      <c r="BK15" s="141">
        <v>2</v>
      </c>
      <c r="BL15" s="8">
        <f t="shared" si="31"/>
        <v>7</v>
      </c>
      <c r="BM15" s="11">
        <f>N15+S15+X15+AC15+AM15+AH15</f>
        <v>64</v>
      </c>
      <c r="BN15" s="8">
        <f>AL15+AG15+AB15+W15+R15+M15</f>
        <v>20</v>
      </c>
      <c r="BO15" s="95">
        <f>(BM15/BN15)</f>
        <v>3.2</v>
      </c>
      <c r="BP15" s="11">
        <f>BB15+AW15+AR15+BL15+BG15</f>
        <v>69</v>
      </c>
      <c r="BQ15" s="10">
        <f>BA15+AV15+AQ15+BF15+BK15</f>
        <v>18</v>
      </c>
      <c r="BR15" s="11">
        <f t="shared" si="32"/>
        <v>3.8333333333333335</v>
      </c>
      <c r="BS15" s="12">
        <f>BM15+BP15</f>
        <v>133</v>
      </c>
      <c r="BT15" s="11">
        <f>BN15+BQ15</f>
        <v>38</v>
      </c>
      <c r="BU15" s="11">
        <f t="shared" si="33"/>
        <v>3.5</v>
      </c>
      <c r="BV15" s="86" t="str">
        <f t="shared" si="34"/>
        <v>Sangat Memuaskan</v>
      </c>
      <c r="BW15" s="86" t="str">
        <f t="shared" si="35"/>
        <v>Highly Satisfactory</v>
      </c>
      <c r="BX15" s="92" t="s">
        <v>150</v>
      </c>
    </row>
    <row r="16" spans="1:76" x14ac:dyDescent="0.25">
      <c r="A16" s="7">
        <v>14</v>
      </c>
      <c r="B16" s="7" t="s">
        <v>41</v>
      </c>
      <c r="C16" s="7">
        <v>132414015</v>
      </c>
      <c r="D16" s="7" t="s">
        <v>40</v>
      </c>
      <c r="E16" s="7" t="s">
        <v>99</v>
      </c>
      <c r="F16" s="105" t="s">
        <v>100</v>
      </c>
      <c r="G16" s="7"/>
      <c r="H16" s="7"/>
      <c r="I16" s="7"/>
      <c r="J16" s="18">
        <v>80</v>
      </c>
      <c r="K16" s="19" t="str">
        <f t="shared" si="0"/>
        <v>A</v>
      </c>
      <c r="L16" s="20">
        <f t="shared" si="1"/>
        <v>4</v>
      </c>
      <c r="M16" s="21">
        <v>2</v>
      </c>
      <c r="N16" s="22">
        <f t="shared" si="2"/>
        <v>8</v>
      </c>
      <c r="O16" s="23">
        <v>75</v>
      </c>
      <c r="P16" s="24" t="str">
        <f t="shared" si="3"/>
        <v>B+</v>
      </c>
      <c r="Q16" s="25">
        <f t="shared" si="4"/>
        <v>3.5</v>
      </c>
      <c r="R16" s="26">
        <v>6</v>
      </c>
      <c r="S16" s="27">
        <f t="shared" si="17"/>
        <v>21</v>
      </c>
      <c r="T16" s="35">
        <v>74</v>
      </c>
      <c r="U16" s="36" t="str">
        <f t="shared" si="5"/>
        <v>B</v>
      </c>
      <c r="V16" s="37">
        <f t="shared" si="18"/>
        <v>3</v>
      </c>
      <c r="W16" s="38">
        <f>3</f>
        <v>3</v>
      </c>
      <c r="X16" s="39">
        <f t="shared" si="19"/>
        <v>9</v>
      </c>
      <c r="Y16" s="32">
        <v>78</v>
      </c>
      <c r="Z16" s="34" t="str">
        <f t="shared" si="6"/>
        <v>B+</v>
      </c>
      <c r="AA16" s="33">
        <f t="shared" si="7"/>
        <v>3.5</v>
      </c>
      <c r="AB16" s="34">
        <v>4</v>
      </c>
      <c r="AC16" s="40">
        <f t="shared" si="8"/>
        <v>14</v>
      </c>
      <c r="AD16" s="53">
        <v>79.7</v>
      </c>
      <c r="AE16" s="41" t="str">
        <f t="shared" si="9"/>
        <v>B+</v>
      </c>
      <c r="AF16" s="28">
        <f t="shared" si="10"/>
        <v>3.5</v>
      </c>
      <c r="AG16" s="29">
        <v>3</v>
      </c>
      <c r="AH16" s="30">
        <f t="shared" si="11"/>
        <v>10.5</v>
      </c>
      <c r="AI16" s="31">
        <v>80</v>
      </c>
      <c r="AJ16" s="3" t="str">
        <f t="shared" si="12"/>
        <v>A</v>
      </c>
      <c r="AK16" s="4">
        <f t="shared" si="13"/>
        <v>4</v>
      </c>
      <c r="AL16" s="5">
        <v>2</v>
      </c>
      <c r="AM16" s="6">
        <f t="shared" si="20"/>
        <v>8</v>
      </c>
      <c r="AN16" s="12">
        <v>84</v>
      </c>
      <c r="AO16" s="8" t="str">
        <f t="shared" si="14"/>
        <v>A</v>
      </c>
      <c r="AP16" s="9">
        <f t="shared" si="15"/>
        <v>4</v>
      </c>
      <c r="AQ16" s="8">
        <v>3</v>
      </c>
      <c r="AR16" s="8">
        <f t="shared" si="16"/>
        <v>12</v>
      </c>
      <c r="AS16" s="15">
        <v>80</v>
      </c>
      <c r="AT16" s="8" t="str">
        <f t="shared" si="21"/>
        <v>A</v>
      </c>
      <c r="AU16" s="9">
        <f t="shared" si="22"/>
        <v>4</v>
      </c>
      <c r="AV16" s="141">
        <v>4</v>
      </c>
      <c r="AW16" s="8">
        <f t="shared" si="23"/>
        <v>16</v>
      </c>
      <c r="AX16" s="142">
        <v>81.5</v>
      </c>
      <c r="AY16" s="8" t="str">
        <f t="shared" si="24"/>
        <v>A</v>
      </c>
      <c r="AZ16" s="9">
        <f t="shared" si="25"/>
        <v>4</v>
      </c>
      <c r="BA16" s="143">
        <v>4</v>
      </c>
      <c r="BB16" s="141">
        <f t="shared" si="26"/>
        <v>16</v>
      </c>
      <c r="BC16" s="12">
        <v>84</v>
      </c>
      <c r="BD16" s="8" t="str">
        <f t="shared" si="27"/>
        <v>A</v>
      </c>
      <c r="BE16" s="9">
        <f t="shared" si="28"/>
        <v>4</v>
      </c>
      <c r="BF16" s="8">
        <v>5</v>
      </c>
      <c r="BG16" s="8">
        <f t="shared" si="29"/>
        <v>20</v>
      </c>
      <c r="BH16" s="8">
        <v>83</v>
      </c>
      <c r="BI16" s="8" t="str">
        <f t="shared" si="36"/>
        <v>A</v>
      </c>
      <c r="BJ16" s="9">
        <f t="shared" si="30"/>
        <v>4</v>
      </c>
      <c r="BK16" s="141">
        <v>2</v>
      </c>
      <c r="BL16" s="8">
        <f t="shared" si="31"/>
        <v>8</v>
      </c>
      <c r="BM16" s="11">
        <f>N16+S16+X16+AC16+AM16+AH16</f>
        <v>70.5</v>
      </c>
      <c r="BN16" s="8">
        <f>AL16+AG16+AB16+W16+R16+M16</f>
        <v>20</v>
      </c>
      <c r="BO16" s="95">
        <f>(BM16/BN16)</f>
        <v>3.5249999999999999</v>
      </c>
      <c r="BP16" s="11">
        <f>BB16+AW16+AR16+BL16+BG16</f>
        <v>72</v>
      </c>
      <c r="BQ16" s="10">
        <f>BA16+AV16+AQ16+BF16+BK16</f>
        <v>18</v>
      </c>
      <c r="BR16" s="11">
        <f t="shared" si="32"/>
        <v>4</v>
      </c>
      <c r="BS16" s="12">
        <f>BM16+BP16</f>
        <v>142.5</v>
      </c>
      <c r="BT16" s="11">
        <f>BN16+BQ16</f>
        <v>38</v>
      </c>
      <c r="BU16" s="11">
        <f t="shared" si="33"/>
        <v>3.75</v>
      </c>
      <c r="BV16" s="86" t="str">
        <f t="shared" si="34"/>
        <v>Cum Laude</v>
      </c>
      <c r="BW16" s="86" t="str">
        <f t="shared" si="35"/>
        <v>Excellent</v>
      </c>
      <c r="BX16" s="92" t="s">
        <v>151</v>
      </c>
    </row>
    <row r="17" spans="1:76" s="102" customFormat="1" x14ac:dyDescent="0.25">
      <c r="A17" s="101">
        <v>15</v>
      </c>
      <c r="B17" s="101" t="s">
        <v>42</v>
      </c>
      <c r="C17" s="101">
        <v>132414016</v>
      </c>
      <c r="D17" s="101" t="s">
        <v>40</v>
      </c>
      <c r="E17" s="101" t="s">
        <v>101</v>
      </c>
      <c r="F17" s="106" t="s">
        <v>102</v>
      </c>
      <c r="G17" s="101"/>
      <c r="H17" s="101"/>
      <c r="I17" s="101"/>
      <c r="J17" s="18">
        <v>78</v>
      </c>
      <c r="K17" s="19" t="str">
        <f t="shared" si="0"/>
        <v>B+</v>
      </c>
      <c r="L17" s="20">
        <f t="shared" si="1"/>
        <v>3.5</v>
      </c>
      <c r="M17" s="21">
        <v>2</v>
      </c>
      <c r="N17" s="22">
        <f t="shared" si="2"/>
        <v>7</v>
      </c>
      <c r="O17" s="23">
        <v>76</v>
      </c>
      <c r="P17" s="24" t="str">
        <f t="shared" si="3"/>
        <v>B+</v>
      </c>
      <c r="Q17" s="25">
        <f t="shared" si="4"/>
        <v>3.5</v>
      </c>
      <c r="R17" s="26">
        <v>6</v>
      </c>
      <c r="S17" s="27">
        <f t="shared" si="17"/>
        <v>21</v>
      </c>
      <c r="T17" s="35">
        <v>74</v>
      </c>
      <c r="U17" s="36" t="str">
        <f t="shared" si="5"/>
        <v>B</v>
      </c>
      <c r="V17" s="37">
        <f t="shared" si="18"/>
        <v>3</v>
      </c>
      <c r="W17" s="38">
        <f>3</f>
        <v>3</v>
      </c>
      <c r="X17" s="39">
        <f t="shared" si="19"/>
        <v>9</v>
      </c>
      <c r="Y17" s="32">
        <v>77</v>
      </c>
      <c r="Z17" s="34" t="str">
        <f t="shared" si="6"/>
        <v>B+</v>
      </c>
      <c r="AA17" s="33">
        <f t="shared" si="7"/>
        <v>3.5</v>
      </c>
      <c r="AB17" s="34">
        <v>4</v>
      </c>
      <c r="AC17" s="40">
        <f t="shared" si="8"/>
        <v>14</v>
      </c>
      <c r="AD17" s="53">
        <v>80</v>
      </c>
      <c r="AE17" s="41" t="str">
        <f t="shared" si="9"/>
        <v>A</v>
      </c>
      <c r="AF17" s="28">
        <f t="shared" si="10"/>
        <v>4</v>
      </c>
      <c r="AG17" s="29">
        <v>3</v>
      </c>
      <c r="AH17" s="30">
        <f t="shared" si="11"/>
        <v>12</v>
      </c>
      <c r="AI17" s="31">
        <v>80</v>
      </c>
      <c r="AJ17" s="3" t="str">
        <f t="shared" si="12"/>
        <v>A</v>
      </c>
      <c r="AK17" s="4">
        <f t="shared" si="13"/>
        <v>4</v>
      </c>
      <c r="AL17" s="5">
        <v>2</v>
      </c>
      <c r="AM17" s="6">
        <f t="shared" si="20"/>
        <v>8</v>
      </c>
      <c r="AN17" s="12">
        <v>83</v>
      </c>
      <c r="AO17" s="8" t="str">
        <f t="shared" si="14"/>
        <v>A</v>
      </c>
      <c r="AP17" s="9">
        <f t="shared" si="15"/>
        <v>4</v>
      </c>
      <c r="AQ17" s="8">
        <v>3</v>
      </c>
      <c r="AR17" s="8">
        <f t="shared" si="16"/>
        <v>12</v>
      </c>
      <c r="AS17" s="15">
        <v>80</v>
      </c>
      <c r="AT17" s="8" t="str">
        <f t="shared" si="21"/>
        <v>A</v>
      </c>
      <c r="AU17" s="9">
        <f t="shared" si="22"/>
        <v>4</v>
      </c>
      <c r="AV17" s="141">
        <v>4</v>
      </c>
      <c r="AW17" s="8">
        <f t="shared" si="23"/>
        <v>16</v>
      </c>
      <c r="AX17" s="10">
        <v>81.5</v>
      </c>
      <c r="AY17" s="8" t="str">
        <f t="shared" si="24"/>
        <v>A</v>
      </c>
      <c r="AZ17" s="9">
        <f t="shared" si="25"/>
        <v>4</v>
      </c>
      <c r="BA17" s="143">
        <v>4</v>
      </c>
      <c r="BB17" s="141">
        <f t="shared" si="26"/>
        <v>16</v>
      </c>
      <c r="BC17" s="12">
        <v>83</v>
      </c>
      <c r="BD17" s="8" t="str">
        <f t="shared" si="27"/>
        <v>A</v>
      </c>
      <c r="BE17" s="9">
        <f t="shared" si="28"/>
        <v>4</v>
      </c>
      <c r="BF17" s="8">
        <v>5</v>
      </c>
      <c r="BG17" s="8">
        <f t="shared" si="29"/>
        <v>20</v>
      </c>
      <c r="BH17" s="8">
        <v>83</v>
      </c>
      <c r="BI17" s="8" t="str">
        <f t="shared" si="36"/>
        <v>A</v>
      </c>
      <c r="BJ17" s="9">
        <f t="shared" si="30"/>
        <v>4</v>
      </c>
      <c r="BK17" s="141">
        <v>2</v>
      </c>
      <c r="BL17" s="8">
        <f t="shared" si="31"/>
        <v>8</v>
      </c>
      <c r="BM17" s="11">
        <f>N17+S17+X17+AC17+AM17+AH17</f>
        <v>71</v>
      </c>
      <c r="BN17" s="8">
        <f>AL17+AG17+AB17+W17+R17+M17</f>
        <v>20</v>
      </c>
      <c r="BO17" s="95">
        <f>(BM17/BN17)</f>
        <v>3.55</v>
      </c>
      <c r="BP17" s="11">
        <f>BB17+AW17+AR17+BL17+BG17</f>
        <v>72</v>
      </c>
      <c r="BQ17" s="10">
        <f>BA17+AV17+AQ17+BF17+BK17</f>
        <v>18</v>
      </c>
      <c r="BR17" s="11">
        <f t="shared" si="32"/>
        <v>4</v>
      </c>
      <c r="BS17" s="12">
        <f>BM17+BP17</f>
        <v>143</v>
      </c>
      <c r="BT17" s="11">
        <f>BN17+BQ17</f>
        <v>38</v>
      </c>
      <c r="BU17" s="11">
        <f t="shared" si="33"/>
        <v>3.763157894736842</v>
      </c>
      <c r="BV17" s="86" t="str">
        <f t="shared" si="34"/>
        <v>Cum Laude</v>
      </c>
      <c r="BW17" s="86" t="str">
        <f t="shared" si="35"/>
        <v>Excellent</v>
      </c>
      <c r="BX17" s="92" t="s">
        <v>152</v>
      </c>
    </row>
    <row r="18" spans="1:76" ht="15.75" x14ac:dyDescent="0.25">
      <c r="A18" s="7">
        <v>16</v>
      </c>
      <c r="B18" s="7" t="s">
        <v>43</v>
      </c>
      <c r="C18" s="7">
        <v>132414017</v>
      </c>
      <c r="D18" s="7" t="s">
        <v>40</v>
      </c>
      <c r="E18" s="7" t="s">
        <v>103</v>
      </c>
      <c r="F18" s="105" t="s">
        <v>104</v>
      </c>
      <c r="G18" s="7"/>
      <c r="H18" s="7"/>
      <c r="I18" s="7"/>
      <c r="J18" s="18">
        <v>78</v>
      </c>
      <c r="K18" s="19" t="str">
        <f t="shared" si="0"/>
        <v>B+</v>
      </c>
      <c r="L18" s="20">
        <f t="shared" si="1"/>
        <v>3.5</v>
      </c>
      <c r="M18" s="21">
        <v>2</v>
      </c>
      <c r="N18" s="22">
        <f t="shared" si="2"/>
        <v>7</v>
      </c>
      <c r="O18" s="23">
        <v>74</v>
      </c>
      <c r="P18" s="24" t="str">
        <f t="shared" si="3"/>
        <v>B</v>
      </c>
      <c r="Q18" s="25">
        <f t="shared" si="4"/>
        <v>3</v>
      </c>
      <c r="R18" s="26">
        <v>6</v>
      </c>
      <c r="S18" s="27">
        <f t="shared" si="17"/>
        <v>18</v>
      </c>
      <c r="T18" s="35">
        <v>74</v>
      </c>
      <c r="U18" s="36" t="str">
        <f t="shared" si="5"/>
        <v>B</v>
      </c>
      <c r="V18" s="37">
        <f t="shared" si="18"/>
        <v>3</v>
      </c>
      <c r="W18" s="38">
        <f>3</f>
        <v>3</v>
      </c>
      <c r="X18" s="39">
        <f t="shared" si="19"/>
        <v>9</v>
      </c>
      <c r="Y18" s="32">
        <v>75</v>
      </c>
      <c r="Z18" s="34" t="str">
        <f t="shared" si="6"/>
        <v>B+</v>
      </c>
      <c r="AA18" s="33">
        <f t="shared" si="7"/>
        <v>3.5</v>
      </c>
      <c r="AB18" s="34">
        <v>4</v>
      </c>
      <c r="AC18" s="40">
        <f t="shared" si="8"/>
        <v>14</v>
      </c>
      <c r="AD18" s="53">
        <v>78</v>
      </c>
      <c r="AE18" s="41" t="str">
        <f t="shared" si="9"/>
        <v>B+</v>
      </c>
      <c r="AF18" s="28">
        <f t="shared" si="10"/>
        <v>3.5</v>
      </c>
      <c r="AG18" s="29">
        <v>3</v>
      </c>
      <c r="AH18" s="30">
        <f t="shared" si="11"/>
        <v>10.5</v>
      </c>
      <c r="AI18" s="31">
        <v>78</v>
      </c>
      <c r="AJ18" s="3" t="str">
        <f t="shared" si="12"/>
        <v>B+</v>
      </c>
      <c r="AK18" s="4">
        <f t="shared" si="13"/>
        <v>3.5</v>
      </c>
      <c r="AL18" s="5">
        <v>2</v>
      </c>
      <c r="AM18" s="6">
        <f t="shared" si="20"/>
        <v>7</v>
      </c>
      <c r="AN18" s="12">
        <v>80</v>
      </c>
      <c r="AO18" s="8" t="str">
        <f t="shared" si="14"/>
        <v>A</v>
      </c>
      <c r="AP18" s="9">
        <f t="shared" si="15"/>
        <v>4</v>
      </c>
      <c r="AQ18" s="8">
        <v>3</v>
      </c>
      <c r="AR18" s="8">
        <f t="shared" si="16"/>
        <v>12</v>
      </c>
      <c r="AS18" s="15">
        <v>78</v>
      </c>
      <c r="AT18" s="8" t="str">
        <f t="shared" si="21"/>
        <v>B+</v>
      </c>
      <c r="AU18" s="9">
        <f t="shared" si="22"/>
        <v>3.5</v>
      </c>
      <c r="AV18" s="141">
        <v>4</v>
      </c>
      <c r="AW18" s="8">
        <f t="shared" si="23"/>
        <v>14</v>
      </c>
      <c r="AX18" s="142">
        <v>81.5</v>
      </c>
      <c r="AY18" s="8" t="str">
        <f t="shared" si="24"/>
        <v>A</v>
      </c>
      <c r="AZ18" s="9">
        <f t="shared" si="25"/>
        <v>4</v>
      </c>
      <c r="BA18" s="143">
        <v>4</v>
      </c>
      <c r="BB18" s="141">
        <f t="shared" si="26"/>
        <v>16</v>
      </c>
      <c r="BC18" s="12">
        <v>80</v>
      </c>
      <c r="BD18" s="8" t="str">
        <f t="shared" si="27"/>
        <v>A</v>
      </c>
      <c r="BE18" s="9">
        <f t="shared" si="28"/>
        <v>4</v>
      </c>
      <c r="BF18" s="8">
        <v>5</v>
      </c>
      <c r="BG18" s="8">
        <f t="shared" si="29"/>
        <v>20</v>
      </c>
      <c r="BH18" s="145">
        <v>76</v>
      </c>
      <c r="BI18" s="8" t="str">
        <f t="shared" si="36"/>
        <v>B+</v>
      </c>
      <c r="BJ18" s="9">
        <f t="shared" si="30"/>
        <v>3.5</v>
      </c>
      <c r="BK18" s="141">
        <v>2</v>
      </c>
      <c r="BL18" s="8">
        <f t="shared" si="31"/>
        <v>7</v>
      </c>
      <c r="BM18" s="11">
        <f>N18+S18+X18+AC18+AM18+AH18</f>
        <v>65.5</v>
      </c>
      <c r="BN18" s="8">
        <f>AL18+AG18+AB18+W18+R18+M18</f>
        <v>20</v>
      </c>
      <c r="BO18" s="95">
        <f>(BM18/BN18)</f>
        <v>3.2749999999999999</v>
      </c>
      <c r="BP18" s="11">
        <f t="shared" ref="BP18:BP43" si="37">BB18+AW18+AR18+BL18+BG18</f>
        <v>69</v>
      </c>
      <c r="BQ18" s="10">
        <f t="shared" ref="BQ18:BQ43" si="38">BA18+AV18+AQ18+BF18+BK18</f>
        <v>18</v>
      </c>
      <c r="BR18" s="11">
        <f t="shared" si="32"/>
        <v>3.8333333333333335</v>
      </c>
      <c r="BS18" s="12">
        <f>BM18+BP18</f>
        <v>134.5</v>
      </c>
      <c r="BT18" s="11">
        <f>BN18+BQ18</f>
        <v>38</v>
      </c>
      <c r="BU18" s="11">
        <f t="shared" si="33"/>
        <v>3.5394736842105261</v>
      </c>
      <c r="BV18" s="86" t="str">
        <f t="shared" si="34"/>
        <v>Cum Laude</v>
      </c>
      <c r="BW18" s="86" t="str">
        <f t="shared" si="35"/>
        <v>Excellent</v>
      </c>
      <c r="BX18" s="149" t="s">
        <v>153</v>
      </c>
    </row>
    <row r="19" spans="1:76" x14ac:dyDescent="0.25">
      <c r="A19" s="7">
        <v>17</v>
      </c>
      <c r="B19" s="7" t="s">
        <v>44</v>
      </c>
      <c r="C19" s="7">
        <v>132414018</v>
      </c>
      <c r="D19" s="7" t="s">
        <v>40</v>
      </c>
      <c r="E19" s="7" t="s">
        <v>105</v>
      </c>
      <c r="F19" s="105" t="s">
        <v>106</v>
      </c>
      <c r="G19" s="7"/>
      <c r="H19" s="7"/>
      <c r="I19" s="7"/>
      <c r="J19" s="18">
        <v>78</v>
      </c>
      <c r="K19" s="19" t="str">
        <f t="shared" si="0"/>
        <v>B+</v>
      </c>
      <c r="L19" s="20">
        <f t="shared" si="1"/>
        <v>3.5</v>
      </c>
      <c r="M19" s="21">
        <v>2</v>
      </c>
      <c r="N19" s="22">
        <f t="shared" si="2"/>
        <v>7</v>
      </c>
      <c r="O19" s="23">
        <v>75</v>
      </c>
      <c r="P19" s="24" t="str">
        <f t="shared" si="3"/>
        <v>B+</v>
      </c>
      <c r="Q19" s="25">
        <f t="shared" si="4"/>
        <v>3.5</v>
      </c>
      <c r="R19" s="26">
        <v>6</v>
      </c>
      <c r="S19" s="27">
        <f t="shared" si="17"/>
        <v>21</v>
      </c>
      <c r="T19" s="35">
        <v>74</v>
      </c>
      <c r="U19" s="36" t="str">
        <f t="shared" si="5"/>
        <v>B</v>
      </c>
      <c r="V19" s="37">
        <f t="shared" si="18"/>
        <v>3</v>
      </c>
      <c r="W19" s="38">
        <f>3</f>
        <v>3</v>
      </c>
      <c r="X19" s="39">
        <f t="shared" si="19"/>
        <v>9</v>
      </c>
      <c r="Y19" s="32">
        <v>73</v>
      </c>
      <c r="Z19" s="34" t="str">
        <f t="shared" si="6"/>
        <v>B</v>
      </c>
      <c r="AA19" s="33">
        <f t="shared" si="7"/>
        <v>3</v>
      </c>
      <c r="AB19" s="34">
        <v>4</v>
      </c>
      <c r="AC19" s="40">
        <f t="shared" si="8"/>
        <v>12</v>
      </c>
      <c r="AD19" s="53">
        <v>75</v>
      </c>
      <c r="AE19" s="41" t="str">
        <f t="shared" si="9"/>
        <v>B+</v>
      </c>
      <c r="AF19" s="28">
        <f t="shared" si="10"/>
        <v>3.5</v>
      </c>
      <c r="AG19" s="29">
        <v>3</v>
      </c>
      <c r="AH19" s="30">
        <f t="shared" si="11"/>
        <v>10.5</v>
      </c>
      <c r="AI19" s="31">
        <v>79</v>
      </c>
      <c r="AJ19" s="3" t="str">
        <f t="shared" si="12"/>
        <v>B+</v>
      </c>
      <c r="AK19" s="4">
        <f t="shared" si="13"/>
        <v>3.5</v>
      </c>
      <c r="AL19" s="5">
        <v>2</v>
      </c>
      <c r="AM19" s="6">
        <f t="shared" si="20"/>
        <v>7</v>
      </c>
      <c r="AN19" s="12">
        <v>80</v>
      </c>
      <c r="AO19" s="8" t="str">
        <f t="shared" si="14"/>
        <v>A</v>
      </c>
      <c r="AP19" s="9">
        <f t="shared" si="15"/>
        <v>4</v>
      </c>
      <c r="AQ19" s="8">
        <v>3</v>
      </c>
      <c r="AR19" s="8">
        <f t="shared" si="16"/>
        <v>12</v>
      </c>
      <c r="AS19" s="10">
        <v>79</v>
      </c>
      <c r="AT19" s="8" t="str">
        <f t="shared" si="21"/>
        <v>B+</v>
      </c>
      <c r="AU19" s="9">
        <f t="shared" si="22"/>
        <v>3.5</v>
      </c>
      <c r="AV19" s="141">
        <v>4</v>
      </c>
      <c r="AW19" s="8">
        <f t="shared" si="23"/>
        <v>14</v>
      </c>
      <c r="AX19" s="142">
        <v>75.400000000000006</v>
      </c>
      <c r="AY19" s="8" t="str">
        <f t="shared" si="24"/>
        <v>B+</v>
      </c>
      <c r="AZ19" s="9">
        <f t="shared" si="25"/>
        <v>3.5</v>
      </c>
      <c r="BA19" s="143">
        <v>4</v>
      </c>
      <c r="BB19" s="141">
        <f t="shared" si="26"/>
        <v>14</v>
      </c>
      <c r="BC19" s="12">
        <v>80</v>
      </c>
      <c r="BD19" s="8" t="str">
        <f t="shared" si="27"/>
        <v>A</v>
      </c>
      <c r="BE19" s="9">
        <f t="shared" si="28"/>
        <v>4</v>
      </c>
      <c r="BF19" s="8">
        <v>5</v>
      </c>
      <c r="BG19" s="8">
        <f t="shared" si="29"/>
        <v>20</v>
      </c>
      <c r="BH19" s="8">
        <v>82</v>
      </c>
      <c r="BI19" s="8" t="str">
        <f t="shared" si="36"/>
        <v>A</v>
      </c>
      <c r="BJ19" s="9">
        <f t="shared" si="30"/>
        <v>4</v>
      </c>
      <c r="BK19" s="141">
        <v>2</v>
      </c>
      <c r="BL19" s="8">
        <f t="shared" si="31"/>
        <v>8</v>
      </c>
      <c r="BM19" s="11">
        <f>N19+S19+X19+AC19+AM19+AH19</f>
        <v>66.5</v>
      </c>
      <c r="BN19" s="8">
        <f>AL19+AG19+AB19+W19+R19+M19</f>
        <v>20</v>
      </c>
      <c r="BO19" s="95">
        <f>(BM19/BN19)</f>
        <v>3.3250000000000002</v>
      </c>
      <c r="BP19" s="11">
        <f t="shared" si="37"/>
        <v>68</v>
      </c>
      <c r="BQ19" s="10">
        <f t="shared" si="38"/>
        <v>18</v>
      </c>
      <c r="BR19" s="11">
        <f t="shared" si="32"/>
        <v>3.7777777777777777</v>
      </c>
      <c r="BS19" s="12">
        <f>BM19+BP19</f>
        <v>134.5</v>
      </c>
      <c r="BT19" s="11">
        <f>BN19+BQ19</f>
        <v>38</v>
      </c>
      <c r="BU19" s="11">
        <f t="shared" si="33"/>
        <v>3.5394736842105261</v>
      </c>
      <c r="BV19" s="86" t="str">
        <f t="shared" si="34"/>
        <v>Cum Laude</v>
      </c>
      <c r="BW19" s="86" t="str">
        <f t="shared" si="35"/>
        <v>Excellent</v>
      </c>
      <c r="BX19" s="92" t="s">
        <v>154</v>
      </c>
    </row>
    <row r="20" spans="1:76" x14ac:dyDescent="0.25">
      <c r="A20" s="7">
        <v>18</v>
      </c>
      <c r="B20" s="7" t="s">
        <v>45</v>
      </c>
      <c r="C20" s="7">
        <v>132414019</v>
      </c>
      <c r="D20" s="7" t="s">
        <v>40</v>
      </c>
      <c r="E20" s="7" t="s">
        <v>107</v>
      </c>
      <c r="F20" s="105" t="s">
        <v>108</v>
      </c>
      <c r="G20" s="7"/>
      <c r="H20" s="7"/>
      <c r="I20" s="7"/>
      <c r="J20" s="18">
        <v>78</v>
      </c>
      <c r="K20" s="19" t="str">
        <f t="shared" si="0"/>
        <v>B+</v>
      </c>
      <c r="L20" s="20">
        <f t="shared" si="1"/>
        <v>3.5</v>
      </c>
      <c r="M20" s="21">
        <v>2</v>
      </c>
      <c r="N20" s="22">
        <f t="shared" si="2"/>
        <v>7</v>
      </c>
      <c r="O20" s="23">
        <v>73</v>
      </c>
      <c r="P20" s="24" t="str">
        <f t="shared" si="3"/>
        <v>B</v>
      </c>
      <c r="Q20" s="25">
        <f t="shared" si="4"/>
        <v>3</v>
      </c>
      <c r="R20" s="26">
        <v>6</v>
      </c>
      <c r="S20" s="27">
        <f t="shared" si="17"/>
        <v>18</v>
      </c>
      <c r="T20" s="35">
        <v>75</v>
      </c>
      <c r="U20" s="36" t="str">
        <f t="shared" si="5"/>
        <v>B+</v>
      </c>
      <c r="V20" s="37">
        <f t="shared" si="18"/>
        <v>3.5</v>
      </c>
      <c r="W20" s="38">
        <f>3</f>
        <v>3</v>
      </c>
      <c r="X20" s="39">
        <f t="shared" si="19"/>
        <v>10.5</v>
      </c>
      <c r="Y20" s="32">
        <v>74</v>
      </c>
      <c r="Z20" s="34" t="str">
        <f t="shared" si="6"/>
        <v>B</v>
      </c>
      <c r="AA20" s="33">
        <f t="shared" si="7"/>
        <v>3</v>
      </c>
      <c r="AB20" s="34">
        <v>4</v>
      </c>
      <c r="AC20" s="40">
        <f t="shared" si="8"/>
        <v>12</v>
      </c>
      <c r="AD20" s="53">
        <v>76</v>
      </c>
      <c r="AE20" s="41" t="str">
        <f t="shared" si="9"/>
        <v>B+</v>
      </c>
      <c r="AF20" s="28">
        <f t="shared" si="10"/>
        <v>3.5</v>
      </c>
      <c r="AG20" s="29">
        <v>3</v>
      </c>
      <c r="AH20" s="30">
        <f t="shared" si="11"/>
        <v>10.5</v>
      </c>
      <c r="AI20" s="31">
        <v>77</v>
      </c>
      <c r="AJ20" s="3" t="str">
        <f t="shared" si="12"/>
        <v>B+</v>
      </c>
      <c r="AK20" s="4">
        <f t="shared" si="13"/>
        <v>3.5</v>
      </c>
      <c r="AL20" s="5">
        <v>2</v>
      </c>
      <c r="AM20" s="6">
        <f t="shared" si="20"/>
        <v>7</v>
      </c>
      <c r="AN20" s="12">
        <v>80</v>
      </c>
      <c r="AO20" s="8" t="str">
        <f t="shared" si="14"/>
        <v>A</v>
      </c>
      <c r="AP20" s="9">
        <f t="shared" si="15"/>
        <v>4</v>
      </c>
      <c r="AQ20" s="8">
        <v>3</v>
      </c>
      <c r="AR20" s="8">
        <f t="shared" si="16"/>
        <v>12</v>
      </c>
      <c r="AS20" s="15">
        <v>77</v>
      </c>
      <c r="AT20" s="8" t="str">
        <f t="shared" si="21"/>
        <v>B+</v>
      </c>
      <c r="AU20" s="9">
        <f t="shared" si="22"/>
        <v>3.5</v>
      </c>
      <c r="AV20" s="141">
        <v>4</v>
      </c>
      <c r="AW20" s="8">
        <f t="shared" si="23"/>
        <v>14</v>
      </c>
      <c r="AX20" s="142">
        <v>77.400000000000006</v>
      </c>
      <c r="AY20" s="8" t="str">
        <f t="shared" si="24"/>
        <v>B+</v>
      </c>
      <c r="AZ20" s="9">
        <f t="shared" si="25"/>
        <v>3.5</v>
      </c>
      <c r="BA20" s="143">
        <v>4</v>
      </c>
      <c r="BB20" s="141">
        <f t="shared" si="26"/>
        <v>14</v>
      </c>
      <c r="BC20" s="12">
        <v>80</v>
      </c>
      <c r="BD20" s="8" t="str">
        <f t="shared" si="27"/>
        <v>A</v>
      </c>
      <c r="BE20" s="9">
        <f t="shared" si="28"/>
        <v>4</v>
      </c>
      <c r="BF20" s="8">
        <v>5</v>
      </c>
      <c r="BG20" s="8">
        <f t="shared" si="29"/>
        <v>20</v>
      </c>
      <c r="BH20" s="8">
        <v>80</v>
      </c>
      <c r="BI20" s="8" t="str">
        <f t="shared" si="36"/>
        <v>A</v>
      </c>
      <c r="BJ20" s="9">
        <f t="shared" si="30"/>
        <v>4</v>
      </c>
      <c r="BK20" s="141">
        <v>2</v>
      </c>
      <c r="BL20" s="8">
        <f t="shared" si="31"/>
        <v>8</v>
      </c>
      <c r="BM20" s="11">
        <f>N20+S20+X20+AC20+AM20+AH20</f>
        <v>65</v>
      </c>
      <c r="BN20" s="8">
        <f>AL20+AG20+AB20+W20+R20+M20</f>
        <v>20</v>
      </c>
      <c r="BO20" s="95">
        <f>(BM20/BN20)</f>
        <v>3.25</v>
      </c>
      <c r="BP20" s="11">
        <f t="shared" si="37"/>
        <v>68</v>
      </c>
      <c r="BQ20" s="10">
        <f t="shared" si="38"/>
        <v>18</v>
      </c>
      <c r="BR20" s="11">
        <f t="shared" si="32"/>
        <v>3.7777777777777777</v>
      </c>
      <c r="BS20" s="12">
        <f>BM20+BP20</f>
        <v>133</v>
      </c>
      <c r="BT20" s="11">
        <f>BN20+BQ20</f>
        <v>38</v>
      </c>
      <c r="BU20" s="11">
        <f t="shared" si="33"/>
        <v>3.5</v>
      </c>
      <c r="BV20" s="86" t="str">
        <f t="shared" si="34"/>
        <v>Sangat Memuaskan</v>
      </c>
      <c r="BW20" s="86" t="str">
        <f t="shared" si="35"/>
        <v>Highly Satisfactory</v>
      </c>
      <c r="BX20" s="92" t="s">
        <v>156</v>
      </c>
    </row>
    <row r="21" spans="1:76" x14ac:dyDescent="0.25">
      <c r="A21" s="7">
        <v>19</v>
      </c>
      <c r="B21" s="7" t="s">
        <v>46</v>
      </c>
      <c r="C21" s="7">
        <v>132414020</v>
      </c>
      <c r="D21" s="7" t="s">
        <v>40</v>
      </c>
      <c r="E21" s="7" t="s">
        <v>109</v>
      </c>
      <c r="F21" s="105" t="s">
        <v>110</v>
      </c>
      <c r="G21" s="7"/>
      <c r="H21" s="7"/>
      <c r="I21" s="7"/>
      <c r="J21" s="18">
        <v>78</v>
      </c>
      <c r="K21" s="19" t="str">
        <f t="shared" si="0"/>
        <v>B+</v>
      </c>
      <c r="L21" s="20">
        <f t="shared" si="1"/>
        <v>3.5</v>
      </c>
      <c r="M21" s="21">
        <v>2</v>
      </c>
      <c r="N21" s="22">
        <f t="shared" si="2"/>
        <v>7</v>
      </c>
      <c r="O21" s="23">
        <v>74</v>
      </c>
      <c r="P21" s="24" t="str">
        <f t="shared" si="3"/>
        <v>B</v>
      </c>
      <c r="Q21" s="25">
        <f t="shared" si="4"/>
        <v>3</v>
      </c>
      <c r="R21" s="26">
        <v>6</v>
      </c>
      <c r="S21" s="27">
        <f t="shared" si="17"/>
        <v>18</v>
      </c>
      <c r="T21" s="35">
        <v>74</v>
      </c>
      <c r="U21" s="36" t="str">
        <f t="shared" si="5"/>
        <v>B</v>
      </c>
      <c r="V21" s="37">
        <f t="shared" si="18"/>
        <v>3</v>
      </c>
      <c r="W21" s="38">
        <f>3</f>
        <v>3</v>
      </c>
      <c r="X21" s="39">
        <f t="shared" si="19"/>
        <v>9</v>
      </c>
      <c r="Y21" s="32">
        <v>75</v>
      </c>
      <c r="Z21" s="34" t="str">
        <f t="shared" si="6"/>
        <v>B+</v>
      </c>
      <c r="AA21" s="33">
        <f t="shared" si="7"/>
        <v>3.5</v>
      </c>
      <c r="AB21" s="34">
        <v>4</v>
      </c>
      <c r="AC21" s="40">
        <f t="shared" si="8"/>
        <v>14</v>
      </c>
      <c r="AD21" s="53">
        <v>76</v>
      </c>
      <c r="AE21" s="41" t="str">
        <f t="shared" si="9"/>
        <v>B+</v>
      </c>
      <c r="AF21" s="28">
        <f t="shared" si="10"/>
        <v>3.5</v>
      </c>
      <c r="AG21" s="29">
        <v>3</v>
      </c>
      <c r="AH21" s="30">
        <f t="shared" si="11"/>
        <v>10.5</v>
      </c>
      <c r="AI21" s="31">
        <v>79</v>
      </c>
      <c r="AJ21" s="3" t="str">
        <f t="shared" si="12"/>
        <v>B+</v>
      </c>
      <c r="AK21" s="4">
        <f t="shared" si="13"/>
        <v>3.5</v>
      </c>
      <c r="AL21" s="5">
        <v>2</v>
      </c>
      <c r="AM21" s="6">
        <f t="shared" si="20"/>
        <v>7</v>
      </c>
      <c r="AN21" s="12">
        <v>82</v>
      </c>
      <c r="AO21" s="8" t="str">
        <f t="shared" si="14"/>
        <v>A</v>
      </c>
      <c r="AP21" s="9">
        <f t="shared" si="15"/>
        <v>4</v>
      </c>
      <c r="AQ21" s="8">
        <v>3</v>
      </c>
      <c r="AR21" s="8">
        <f t="shared" si="16"/>
        <v>12</v>
      </c>
      <c r="AS21" s="15">
        <v>79</v>
      </c>
      <c r="AT21" s="8" t="str">
        <f t="shared" si="21"/>
        <v>B+</v>
      </c>
      <c r="AU21" s="9">
        <f t="shared" si="22"/>
        <v>3.5</v>
      </c>
      <c r="AV21" s="141">
        <v>4</v>
      </c>
      <c r="AW21" s="8">
        <f t="shared" si="23"/>
        <v>14</v>
      </c>
      <c r="AX21" s="146">
        <v>75</v>
      </c>
      <c r="AY21" s="8" t="str">
        <f t="shared" si="24"/>
        <v>B+</v>
      </c>
      <c r="AZ21" s="9">
        <f t="shared" si="25"/>
        <v>3.5</v>
      </c>
      <c r="BA21" s="143">
        <v>4</v>
      </c>
      <c r="BB21" s="141">
        <f t="shared" si="26"/>
        <v>14</v>
      </c>
      <c r="BC21" s="12">
        <v>82</v>
      </c>
      <c r="BD21" s="8" t="str">
        <f t="shared" si="27"/>
        <v>A</v>
      </c>
      <c r="BE21" s="9">
        <f t="shared" si="28"/>
        <v>4</v>
      </c>
      <c r="BF21" s="8">
        <v>5</v>
      </c>
      <c r="BG21" s="8">
        <f t="shared" si="29"/>
        <v>20</v>
      </c>
      <c r="BH21" s="8">
        <v>82</v>
      </c>
      <c r="BI21" s="8" t="str">
        <f t="shared" si="36"/>
        <v>A</v>
      </c>
      <c r="BJ21" s="9">
        <f t="shared" si="30"/>
        <v>4</v>
      </c>
      <c r="BK21" s="141">
        <v>2</v>
      </c>
      <c r="BL21" s="8">
        <f t="shared" si="31"/>
        <v>8</v>
      </c>
      <c r="BM21" s="11">
        <f>N21+S21+X21+AC21+AM21+AH21</f>
        <v>65.5</v>
      </c>
      <c r="BN21" s="8">
        <f>AL21+AG21+AB21+W21+R21+M21</f>
        <v>20</v>
      </c>
      <c r="BO21" s="95">
        <f>(BM21/BN21)</f>
        <v>3.2749999999999999</v>
      </c>
      <c r="BP21" s="11">
        <f t="shared" si="37"/>
        <v>68</v>
      </c>
      <c r="BQ21" s="10">
        <f t="shared" si="38"/>
        <v>18</v>
      </c>
      <c r="BR21" s="11">
        <f t="shared" si="32"/>
        <v>3.7777777777777777</v>
      </c>
      <c r="BS21" s="12">
        <f>BM21+BP21</f>
        <v>133.5</v>
      </c>
      <c r="BT21" s="11">
        <f>BN21+BQ21</f>
        <v>38</v>
      </c>
      <c r="BU21" s="11">
        <f t="shared" si="33"/>
        <v>3.513157894736842</v>
      </c>
      <c r="BV21" s="86" t="str">
        <f t="shared" si="34"/>
        <v>Cum Laude</v>
      </c>
      <c r="BW21" s="86" t="str">
        <f t="shared" si="35"/>
        <v>Excellent</v>
      </c>
      <c r="BX21" s="92" t="s">
        <v>155</v>
      </c>
    </row>
    <row r="22" spans="1:76" x14ac:dyDescent="0.25">
      <c r="A22" s="7">
        <v>20</v>
      </c>
      <c r="B22" s="7" t="s">
        <v>47</v>
      </c>
      <c r="C22" s="7">
        <v>132414021</v>
      </c>
      <c r="D22" s="7" t="s">
        <v>40</v>
      </c>
      <c r="E22" s="7" t="s">
        <v>105</v>
      </c>
      <c r="F22" s="105" t="s">
        <v>111</v>
      </c>
      <c r="G22" s="7"/>
      <c r="H22" s="7"/>
      <c r="I22" s="7"/>
      <c r="J22" s="18">
        <v>74</v>
      </c>
      <c r="K22" s="19" t="str">
        <f t="shared" si="0"/>
        <v>B</v>
      </c>
      <c r="L22" s="20">
        <f t="shared" si="1"/>
        <v>3</v>
      </c>
      <c r="M22" s="21">
        <v>2</v>
      </c>
      <c r="N22" s="22">
        <f t="shared" si="2"/>
        <v>6</v>
      </c>
      <c r="O22" s="23">
        <v>73</v>
      </c>
      <c r="P22" s="24" t="str">
        <f t="shared" si="3"/>
        <v>B</v>
      </c>
      <c r="Q22" s="25">
        <f t="shared" si="4"/>
        <v>3</v>
      </c>
      <c r="R22" s="26">
        <v>6</v>
      </c>
      <c r="S22" s="27">
        <f t="shared" si="17"/>
        <v>18</v>
      </c>
      <c r="T22" s="35">
        <v>75</v>
      </c>
      <c r="U22" s="36" t="str">
        <f t="shared" si="5"/>
        <v>B+</v>
      </c>
      <c r="V22" s="37">
        <f t="shared" si="18"/>
        <v>3.5</v>
      </c>
      <c r="W22" s="38">
        <f>3</f>
        <v>3</v>
      </c>
      <c r="X22" s="39">
        <f t="shared" si="19"/>
        <v>10.5</v>
      </c>
      <c r="Y22" s="32">
        <v>73</v>
      </c>
      <c r="Z22" s="34" t="str">
        <f t="shared" si="6"/>
        <v>B</v>
      </c>
      <c r="AA22" s="33">
        <f t="shared" si="7"/>
        <v>3</v>
      </c>
      <c r="AB22" s="34">
        <v>4</v>
      </c>
      <c r="AC22" s="40">
        <f t="shared" si="8"/>
        <v>12</v>
      </c>
      <c r="AD22" s="53">
        <v>75</v>
      </c>
      <c r="AE22" s="41" t="str">
        <f t="shared" si="9"/>
        <v>B+</v>
      </c>
      <c r="AF22" s="28">
        <f t="shared" si="10"/>
        <v>3.5</v>
      </c>
      <c r="AG22" s="29">
        <v>3</v>
      </c>
      <c r="AH22" s="30">
        <f t="shared" si="11"/>
        <v>10.5</v>
      </c>
      <c r="AI22" s="31">
        <v>77</v>
      </c>
      <c r="AJ22" s="3" t="str">
        <f t="shared" si="12"/>
        <v>B+</v>
      </c>
      <c r="AK22" s="4">
        <f t="shared" si="13"/>
        <v>3.5</v>
      </c>
      <c r="AL22" s="5">
        <v>2</v>
      </c>
      <c r="AM22" s="6">
        <f t="shared" si="20"/>
        <v>7</v>
      </c>
      <c r="AN22" s="12">
        <v>81</v>
      </c>
      <c r="AO22" s="8" t="str">
        <f t="shared" si="14"/>
        <v>A</v>
      </c>
      <c r="AP22" s="9">
        <f t="shared" si="15"/>
        <v>4</v>
      </c>
      <c r="AQ22" s="8">
        <v>3</v>
      </c>
      <c r="AR22" s="8">
        <f t="shared" si="16"/>
        <v>12</v>
      </c>
      <c r="AS22" s="15">
        <v>78</v>
      </c>
      <c r="AT22" s="8" t="str">
        <f t="shared" si="21"/>
        <v>B+</v>
      </c>
      <c r="AU22" s="9">
        <f t="shared" si="22"/>
        <v>3.5</v>
      </c>
      <c r="AV22" s="141">
        <v>4</v>
      </c>
      <c r="AW22" s="8">
        <f t="shared" si="23"/>
        <v>14</v>
      </c>
      <c r="AX22" s="142">
        <v>79.400000000000006</v>
      </c>
      <c r="AY22" s="8" t="str">
        <f t="shared" si="24"/>
        <v>B+</v>
      </c>
      <c r="AZ22" s="9">
        <f t="shared" si="25"/>
        <v>3.5</v>
      </c>
      <c r="BA22" s="143">
        <v>4</v>
      </c>
      <c r="BB22" s="141">
        <f t="shared" si="26"/>
        <v>14</v>
      </c>
      <c r="BC22" s="12">
        <v>81</v>
      </c>
      <c r="BD22" s="8" t="str">
        <f t="shared" si="27"/>
        <v>A</v>
      </c>
      <c r="BE22" s="9">
        <f t="shared" si="28"/>
        <v>4</v>
      </c>
      <c r="BF22" s="8">
        <v>5</v>
      </c>
      <c r="BG22" s="8">
        <f t="shared" si="29"/>
        <v>20</v>
      </c>
      <c r="BH22" s="8">
        <v>80</v>
      </c>
      <c r="BI22" s="8" t="str">
        <f t="shared" si="36"/>
        <v>A</v>
      </c>
      <c r="BJ22" s="9">
        <f t="shared" si="30"/>
        <v>4</v>
      </c>
      <c r="BK22" s="141">
        <v>2</v>
      </c>
      <c r="BL22" s="8">
        <f t="shared" si="31"/>
        <v>8</v>
      </c>
      <c r="BM22" s="11">
        <f>N22+S22+X22+AC22+AM22+AH22</f>
        <v>64</v>
      </c>
      <c r="BN22" s="8">
        <f>AL22+AG22+AB22+W22+R22+M22</f>
        <v>20</v>
      </c>
      <c r="BO22" s="95">
        <f>(BM22/BN22)</f>
        <v>3.2</v>
      </c>
      <c r="BP22" s="11">
        <f t="shared" si="37"/>
        <v>68</v>
      </c>
      <c r="BQ22" s="10">
        <f t="shared" si="38"/>
        <v>18</v>
      </c>
      <c r="BR22" s="11">
        <f t="shared" si="32"/>
        <v>3.7777777777777777</v>
      </c>
      <c r="BS22" s="12">
        <f>BM22+BP22</f>
        <v>132</v>
      </c>
      <c r="BT22" s="11">
        <f>BN22+BQ22</f>
        <v>38</v>
      </c>
      <c r="BU22" s="11">
        <f t="shared" si="33"/>
        <v>3.4736842105263159</v>
      </c>
      <c r="BV22" s="86" t="str">
        <f t="shared" si="34"/>
        <v>Sangat Memuaskan</v>
      </c>
      <c r="BW22" s="86" t="str">
        <f t="shared" si="35"/>
        <v>Highly Satisfactory</v>
      </c>
      <c r="BX22" s="92" t="s">
        <v>157</v>
      </c>
    </row>
    <row r="23" spans="1:76" x14ac:dyDescent="0.25">
      <c r="A23" s="7">
        <v>21</v>
      </c>
      <c r="B23" s="7" t="s">
        <v>48</v>
      </c>
      <c r="C23" s="7">
        <v>132414022</v>
      </c>
      <c r="D23" s="7" t="s">
        <v>40</v>
      </c>
      <c r="E23" s="7" t="s">
        <v>112</v>
      </c>
      <c r="F23" s="105" t="s">
        <v>113</v>
      </c>
      <c r="G23" s="7"/>
      <c r="H23" s="7"/>
      <c r="I23" s="7"/>
      <c r="J23" s="18">
        <v>79</v>
      </c>
      <c r="K23" s="19" t="str">
        <f t="shared" si="0"/>
        <v>B+</v>
      </c>
      <c r="L23" s="20">
        <f t="shared" si="1"/>
        <v>3.5</v>
      </c>
      <c r="M23" s="21">
        <v>2</v>
      </c>
      <c r="N23" s="22">
        <f t="shared" si="2"/>
        <v>7</v>
      </c>
      <c r="O23" s="23">
        <v>72</v>
      </c>
      <c r="P23" s="24" t="str">
        <f t="shared" si="3"/>
        <v>B</v>
      </c>
      <c r="Q23" s="25">
        <f t="shared" si="4"/>
        <v>3</v>
      </c>
      <c r="R23" s="26">
        <v>6</v>
      </c>
      <c r="S23" s="27">
        <f t="shared" si="17"/>
        <v>18</v>
      </c>
      <c r="T23" s="35">
        <v>73</v>
      </c>
      <c r="U23" s="36" t="str">
        <f t="shared" si="5"/>
        <v>B</v>
      </c>
      <c r="V23" s="37">
        <f t="shared" si="18"/>
        <v>3</v>
      </c>
      <c r="W23" s="38">
        <f>3</f>
        <v>3</v>
      </c>
      <c r="X23" s="39">
        <f t="shared" si="19"/>
        <v>9</v>
      </c>
      <c r="Y23" s="32">
        <v>75</v>
      </c>
      <c r="Z23" s="34" t="str">
        <f t="shared" si="6"/>
        <v>B+</v>
      </c>
      <c r="AA23" s="33">
        <f t="shared" si="7"/>
        <v>3.5</v>
      </c>
      <c r="AB23" s="34">
        <v>4</v>
      </c>
      <c r="AC23" s="40">
        <f t="shared" si="8"/>
        <v>14</v>
      </c>
      <c r="AD23" s="53">
        <v>79</v>
      </c>
      <c r="AE23" s="41" t="str">
        <f t="shared" si="9"/>
        <v>B+</v>
      </c>
      <c r="AF23" s="28">
        <f t="shared" si="10"/>
        <v>3.5</v>
      </c>
      <c r="AG23" s="29">
        <v>3</v>
      </c>
      <c r="AH23" s="30">
        <f t="shared" si="11"/>
        <v>10.5</v>
      </c>
      <c r="AI23" s="31">
        <v>78</v>
      </c>
      <c r="AJ23" s="3" t="str">
        <f t="shared" si="12"/>
        <v>B+</v>
      </c>
      <c r="AK23" s="4">
        <f t="shared" si="13"/>
        <v>3.5</v>
      </c>
      <c r="AL23" s="5">
        <v>2</v>
      </c>
      <c r="AM23" s="6">
        <f t="shared" si="20"/>
        <v>7</v>
      </c>
      <c r="AN23" s="12">
        <v>82</v>
      </c>
      <c r="AO23" s="8" t="str">
        <f t="shared" si="14"/>
        <v>A</v>
      </c>
      <c r="AP23" s="9">
        <f t="shared" si="15"/>
        <v>4</v>
      </c>
      <c r="AQ23" s="8">
        <v>3</v>
      </c>
      <c r="AR23" s="8">
        <f t="shared" si="16"/>
        <v>12</v>
      </c>
      <c r="AS23" s="10">
        <v>79</v>
      </c>
      <c r="AT23" s="8" t="str">
        <f t="shared" si="21"/>
        <v>B+</v>
      </c>
      <c r="AU23" s="9">
        <f t="shared" si="22"/>
        <v>3.5</v>
      </c>
      <c r="AV23" s="141">
        <v>4</v>
      </c>
      <c r="AW23" s="8">
        <f t="shared" si="23"/>
        <v>14</v>
      </c>
      <c r="AX23" s="142">
        <v>80.8</v>
      </c>
      <c r="AY23" s="8" t="str">
        <f t="shared" si="24"/>
        <v>A</v>
      </c>
      <c r="AZ23" s="9">
        <f t="shared" si="25"/>
        <v>4</v>
      </c>
      <c r="BA23" s="143">
        <v>4</v>
      </c>
      <c r="BB23" s="141">
        <f t="shared" si="26"/>
        <v>16</v>
      </c>
      <c r="BC23" s="12">
        <v>82</v>
      </c>
      <c r="BD23" s="8" t="str">
        <f t="shared" si="27"/>
        <v>A</v>
      </c>
      <c r="BE23" s="9">
        <f t="shared" si="28"/>
        <v>4</v>
      </c>
      <c r="BF23" s="8">
        <v>5</v>
      </c>
      <c r="BG23" s="8">
        <f t="shared" si="29"/>
        <v>20</v>
      </c>
      <c r="BH23" s="145">
        <v>76</v>
      </c>
      <c r="BI23" s="8" t="str">
        <f t="shared" si="36"/>
        <v>B+</v>
      </c>
      <c r="BJ23" s="9">
        <f t="shared" si="30"/>
        <v>3.5</v>
      </c>
      <c r="BK23" s="141">
        <v>2</v>
      </c>
      <c r="BL23" s="8">
        <f t="shared" si="31"/>
        <v>7</v>
      </c>
      <c r="BM23" s="11">
        <f>N23+S23+X23+AC23+AM23+AH23</f>
        <v>65.5</v>
      </c>
      <c r="BN23" s="8">
        <f>AL23+AG23+AB23+W23+R23+M23</f>
        <v>20</v>
      </c>
      <c r="BO23" s="95">
        <f>(BM23/BN23)</f>
        <v>3.2749999999999999</v>
      </c>
      <c r="BP23" s="11">
        <f t="shared" si="37"/>
        <v>69</v>
      </c>
      <c r="BQ23" s="10">
        <f t="shared" si="38"/>
        <v>18</v>
      </c>
      <c r="BR23" s="11">
        <f t="shared" si="32"/>
        <v>3.8333333333333335</v>
      </c>
      <c r="BS23" s="12">
        <f>BM23+BP23</f>
        <v>134.5</v>
      </c>
      <c r="BT23" s="11">
        <f>BN23+BQ23</f>
        <v>38</v>
      </c>
      <c r="BU23" s="11">
        <f t="shared" si="33"/>
        <v>3.5394736842105261</v>
      </c>
      <c r="BV23" s="86" t="str">
        <f t="shared" si="34"/>
        <v>Cum Laude</v>
      </c>
      <c r="BW23" s="86" t="str">
        <f t="shared" si="35"/>
        <v>Excellent</v>
      </c>
      <c r="BX23" s="92" t="s">
        <v>158</v>
      </c>
    </row>
    <row r="24" spans="1:76" x14ac:dyDescent="0.25">
      <c r="A24" s="7">
        <v>22</v>
      </c>
      <c r="B24" s="7" t="s">
        <v>49</v>
      </c>
      <c r="C24" s="7">
        <v>132414023</v>
      </c>
      <c r="D24" s="7" t="s">
        <v>40</v>
      </c>
      <c r="E24" s="7" t="s">
        <v>112</v>
      </c>
      <c r="F24" s="105" t="s">
        <v>114</v>
      </c>
      <c r="G24" s="7"/>
      <c r="H24" s="7"/>
      <c r="I24" s="7"/>
      <c r="J24" s="18">
        <v>78</v>
      </c>
      <c r="K24" s="19" t="str">
        <f t="shared" si="0"/>
        <v>B+</v>
      </c>
      <c r="L24" s="20">
        <f t="shared" si="1"/>
        <v>3.5</v>
      </c>
      <c r="M24" s="21">
        <v>2</v>
      </c>
      <c r="N24" s="22">
        <f t="shared" si="2"/>
        <v>7</v>
      </c>
      <c r="O24" s="23">
        <v>74</v>
      </c>
      <c r="P24" s="24" t="str">
        <f t="shared" si="3"/>
        <v>B</v>
      </c>
      <c r="Q24" s="25">
        <f t="shared" si="4"/>
        <v>3</v>
      </c>
      <c r="R24" s="26">
        <v>6</v>
      </c>
      <c r="S24" s="27">
        <f t="shared" si="17"/>
        <v>18</v>
      </c>
      <c r="T24" s="35">
        <v>74</v>
      </c>
      <c r="U24" s="36" t="str">
        <f t="shared" si="5"/>
        <v>B</v>
      </c>
      <c r="V24" s="37">
        <f t="shared" si="18"/>
        <v>3</v>
      </c>
      <c r="W24" s="38">
        <f>3</f>
        <v>3</v>
      </c>
      <c r="X24" s="39">
        <f t="shared" si="19"/>
        <v>9</v>
      </c>
      <c r="Y24" s="32">
        <v>76</v>
      </c>
      <c r="Z24" s="34" t="str">
        <f t="shared" si="6"/>
        <v>B+</v>
      </c>
      <c r="AA24" s="33">
        <f t="shared" si="7"/>
        <v>3.5</v>
      </c>
      <c r="AB24" s="34">
        <v>4</v>
      </c>
      <c r="AC24" s="40">
        <f t="shared" si="8"/>
        <v>14</v>
      </c>
      <c r="AD24" s="53">
        <v>77</v>
      </c>
      <c r="AE24" s="41" t="str">
        <f t="shared" si="9"/>
        <v>B+</v>
      </c>
      <c r="AF24" s="28">
        <f t="shared" si="10"/>
        <v>3.5</v>
      </c>
      <c r="AG24" s="29">
        <v>3</v>
      </c>
      <c r="AH24" s="30">
        <f t="shared" si="11"/>
        <v>10.5</v>
      </c>
      <c r="AI24" s="31">
        <v>78</v>
      </c>
      <c r="AJ24" s="3" t="str">
        <f t="shared" si="12"/>
        <v>B+</v>
      </c>
      <c r="AK24" s="4">
        <f t="shared" si="13"/>
        <v>3.5</v>
      </c>
      <c r="AL24" s="5">
        <v>2</v>
      </c>
      <c r="AM24" s="6">
        <f t="shared" si="20"/>
        <v>7</v>
      </c>
      <c r="AN24" s="12">
        <v>80</v>
      </c>
      <c r="AO24" s="8" t="str">
        <f t="shared" si="14"/>
        <v>A</v>
      </c>
      <c r="AP24" s="9">
        <f t="shared" si="15"/>
        <v>4</v>
      </c>
      <c r="AQ24" s="8">
        <v>3</v>
      </c>
      <c r="AR24" s="8">
        <f t="shared" si="16"/>
        <v>12</v>
      </c>
      <c r="AS24" s="10">
        <v>78</v>
      </c>
      <c r="AT24" s="8" t="str">
        <f t="shared" si="21"/>
        <v>B+</v>
      </c>
      <c r="AU24" s="9">
        <f t="shared" si="22"/>
        <v>3.5</v>
      </c>
      <c r="AV24" s="141">
        <v>4</v>
      </c>
      <c r="AW24" s="8">
        <f t="shared" si="23"/>
        <v>14</v>
      </c>
      <c r="AX24" s="142">
        <v>81.5</v>
      </c>
      <c r="AY24" s="8" t="str">
        <f t="shared" si="24"/>
        <v>A</v>
      </c>
      <c r="AZ24" s="9">
        <f t="shared" si="25"/>
        <v>4</v>
      </c>
      <c r="BA24" s="143">
        <v>4</v>
      </c>
      <c r="BB24" s="141">
        <f t="shared" si="26"/>
        <v>16</v>
      </c>
      <c r="BC24" s="12">
        <v>80</v>
      </c>
      <c r="BD24" s="8" t="str">
        <f t="shared" si="27"/>
        <v>A</v>
      </c>
      <c r="BE24" s="9">
        <f t="shared" si="28"/>
        <v>4</v>
      </c>
      <c r="BF24" s="8">
        <v>5</v>
      </c>
      <c r="BG24" s="8">
        <f t="shared" si="29"/>
        <v>20</v>
      </c>
      <c r="BH24" s="145">
        <v>76</v>
      </c>
      <c r="BI24" s="8" t="str">
        <f t="shared" si="36"/>
        <v>B+</v>
      </c>
      <c r="BJ24" s="9">
        <f t="shared" si="30"/>
        <v>3.5</v>
      </c>
      <c r="BK24" s="141">
        <v>2</v>
      </c>
      <c r="BL24" s="8">
        <f t="shared" si="31"/>
        <v>7</v>
      </c>
      <c r="BM24" s="11">
        <f>N24+S24+X24+AC24+AM24+AH24</f>
        <v>65.5</v>
      </c>
      <c r="BN24" s="8">
        <f>AL24+AG24+AB24+W24+R24+M24</f>
        <v>20</v>
      </c>
      <c r="BO24" s="95">
        <f>(BM24/BN24)</f>
        <v>3.2749999999999999</v>
      </c>
      <c r="BP24" s="11">
        <f t="shared" si="37"/>
        <v>69</v>
      </c>
      <c r="BQ24" s="10">
        <f t="shared" si="38"/>
        <v>18</v>
      </c>
      <c r="BR24" s="11">
        <f t="shared" si="32"/>
        <v>3.8333333333333335</v>
      </c>
      <c r="BS24" s="12">
        <f>BM24+BP24</f>
        <v>134.5</v>
      </c>
      <c r="BT24" s="11">
        <f>BN24+BQ24</f>
        <v>38</v>
      </c>
      <c r="BU24" s="11">
        <f t="shared" si="33"/>
        <v>3.5394736842105261</v>
      </c>
      <c r="BV24" s="86" t="str">
        <f t="shared" si="34"/>
        <v>Cum Laude</v>
      </c>
      <c r="BW24" s="86" t="str">
        <f t="shared" si="35"/>
        <v>Excellent</v>
      </c>
      <c r="BX24" s="92" t="s">
        <v>159</v>
      </c>
    </row>
    <row r="25" spans="1:76" x14ac:dyDescent="0.25">
      <c r="A25" s="7">
        <v>23</v>
      </c>
      <c r="B25" s="150" t="s">
        <v>50</v>
      </c>
      <c r="C25" s="7">
        <v>132414024</v>
      </c>
      <c r="D25" s="7" t="s">
        <v>40</v>
      </c>
      <c r="E25" s="7"/>
      <c r="F25" s="105"/>
      <c r="G25" s="7"/>
      <c r="H25" s="7"/>
      <c r="I25" s="7"/>
      <c r="J25" s="18">
        <v>76</v>
      </c>
      <c r="K25" s="19" t="str">
        <f t="shared" si="0"/>
        <v>B+</v>
      </c>
      <c r="L25" s="20">
        <f t="shared" si="1"/>
        <v>3.5</v>
      </c>
      <c r="M25" s="21">
        <v>2</v>
      </c>
      <c r="N25" s="22">
        <f t="shared" si="2"/>
        <v>7</v>
      </c>
      <c r="O25" s="23">
        <v>74</v>
      </c>
      <c r="P25" s="24" t="str">
        <f t="shared" si="3"/>
        <v>B</v>
      </c>
      <c r="Q25" s="25">
        <f t="shared" si="4"/>
        <v>3</v>
      </c>
      <c r="R25" s="26">
        <v>6</v>
      </c>
      <c r="S25" s="27">
        <f t="shared" si="17"/>
        <v>18</v>
      </c>
      <c r="T25" s="35">
        <v>75</v>
      </c>
      <c r="U25" s="36" t="str">
        <f t="shared" si="5"/>
        <v>B+</v>
      </c>
      <c r="V25" s="37">
        <f t="shared" si="18"/>
        <v>3.5</v>
      </c>
      <c r="W25" s="38">
        <f>3</f>
        <v>3</v>
      </c>
      <c r="X25" s="39">
        <f t="shared" si="19"/>
        <v>10.5</v>
      </c>
      <c r="Y25" s="32">
        <v>74</v>
      </c>
      <c r="Z25" s="34" t="str">
        <f t="shared" si="6"/>
        <v>B</v>
      </c>
      <c r="AA25" s="33">
        <f t="shared" si="7"/>
        <v>3</v>
      </c>
      <c r="AB25" s="34">
        <v>4</v>
      </c>
      <c r="AC25" s="40">
        <f t="shared" si="8"/>
        <v>12</v>
      </c>
      <c r="AD25" s="53">
        <v>77</v>
      </c>
      <c r="AE25" s="41" t="str">
        <f t="shared" si="9"/>
        <v>B+</v>
      </c>
      <c r="AF25" s="28">
        <f t="shared" si="10"/>
        <v>3.5</v>
      </c>
      <c r="AG25" s="29">
        <v>3</v>
      </c>
      <c r="AH25" s="30">
        <f t="shared" si="11"/>
        <v>10.5</v>
      </c>
      <c r="AI25" s="31">
        <v>77</v>
      </c>
      <c r="AJ25" s="3" t="str">
        <f t="shared" si="12"/>
        <v>B+</v>
      </c>
      <c r="AK25" s="4">
        <f t="shared" si="13"/>
        <v>3.5</v>
      </c>
      <c r="AL25" s="5">
        <v>2</v>
      </c>
      <c r="AM25" s="6">
        <f t="shared" si="20"/>
        <v>7</v>
      </c>
      <c r="AN25" s="12">
        <v>80</v>
      </c>
      <c r="AO25" s="8" t="str">
        <f t="shared" si="14"/>
        <v>A</v>
      </c>
      <c r="AP25" s="9">
        <f t="shared" si="15"/>
        <v>4</v>
      </c>
      <c r="AQ25" s="8">
        <v>3</v>
      </c>
      <c r="AR25" s="8">
        <f t="shared" si="16"/>
        <v>12</v>
      </c>
      <c r="AS25" s="10">
        <v>77</v>
      </c>
      <c r="AT25" s="8" t="str">
        <f t="shared" si="21"/>
        <v>B+</v>
      </c>
      <c r="AU25" s="9">
        <f t="shared" si="22"/>
        <v>3.5</v>
      </c>
      <c r="AV25" s="141">
        <v>4</v>
      </c>
      <c r="AW25" s="8">
        <f t="shared" si="23"/>
        <v>14</v>
      </c>
      <c r="AX25" s="142">
        <v>80.400000000000006</v>
      </c>
      <c r="AY25" s="8" t="str">
        <f t="shared" si="24"/>
        <v>A</v>
      </c>
      <c r="AZ25" s="9">
        <f t="shared" si="25"/>
        <v>4</v>
      </c>
      <c r="BA25" s="143">
        <v>4</v>
      </c>
      <c r="BB25" s="141">
        <f t="shared" si="26"/>
        <v>16</v>
      </c>
      <c r="BC25" s="12">
        <v>80</v>
      </c>
      <c r="BD25" s="8" t="str">
        <f t="shared" si="27"/>
        <v>A</v>
      </c>
      <c r="BE25" s="9">
        <f t="shared" si="28"/>
        <v>4</v>
      </c>
      <c r="BF25" s="8">
        <v>5</v>
      </c>
      <c r="BG25" s="8">
        <f t="shared" si="29"/>
        <v>20</v>
      </c>
      <c r="BH25" s="145">
        <v>76</v>
      </c>
      <c r="BI25" s="8" t="str">
        <f t="shared" si="36"/>
        <v>B+</v>
      </c>
      <c r="BJ25" s="9">
        <f t="shared" si="30"/>
        <v>3.5</v>
      </c>
      <c r="BK25" s="141">
        <v>2</v>
      </c>
      <c r="BL25" s="8">
        <f t="shared" si="31"/>
        <v>7</v>
      </c>
      <c r="BM25" s="11">
        <f>N25+S25+X25+AC25+AM25+AH25</f>
        <v>65</v>
      </c>
      <c r="BN25" s="8">
        <f>AL25+AG25+AB25+W25+R25+M25</f>
        <v>20</v>
      </c>
      <c r="BO25" s="95">
        <f>(BM25/BN25)</f>
        <v>3.25</v>
      </c>
      <c r="BP25" s="11">
        <f t="shared" si="37"/>
        <v>69</v>
      </c>
      <c r="BQ25" s="10">
        <f t="shared" si="38"/>
        <v>18</v>
      </c>
      <c r="BR25" s="11">
        <f t="shared" si="32"/>
        <v>3.8333333333333335</v>
      </c>
      <c r="BS25" s="12">
        <f>BM25+BP25</f>
        <v>134</v>
      </c>
      <c r="BT25" s="11">
        <f>BN25+BQ25</f>
        <v>38</v>
      </c>
      <c r="BU25" s="11">
        <f t="shared" si="33"/>
        <v>3.5263157894736841</v>
      </c>
      <c r="BV25" s="86" t="str">
        <f t="shared" si="34"/>
        <v>Cum Laude</v>
      </c>
      <c r="BW25" s="86" t="str">
        <f t="shared" si="35"/>
        <v>Excellent</v>
      </c>
      <c r="BX25" s="92"/>
    </row>
    <row r="26" spans="1:76" ht="30" x14ac:dyDescent="0.25">
      <c r="A26" s="7">
        <v>24</v>
      </c>
      <c r="B26" s="7" t="s">
        <v>51</v>
      </c>
      <c r="C26" s="7">
        <v>132414025</v>
      </c>
      <c r="D26" s="7" t="s">
        <v>40</v>
      </c>
      <c r="E26" s="7" t="s">
        <v>115</v>
      </c>
      <c r="F26" s="105" t="s">
        <v>116</v>
      </c>
      <c r="G26" s="7"/>
      <c r="H26" s="7"/>
      <c r="I26" s="7"/>
      <c r="J26" s="18">
        <v>76</v>
      </c>
      <c r="K26" s="19" t="str">
        <f t="shared" si="0"/>
        <v>B+</v>
      </c>
      <c r="L26" s="20">
        <f t="shared" si="1"/>
        <v>3.5</v>
      </c>
      <c r="M26" s="21">
        <v>2</v>
      </c>
      <c r="N26" s="22">
        <f t="shared" si="2"/>
        <v>7</v>
      </c>
      <c r="O26" s="23">
        <v>74</v>
      </c>
      <c r="P26" s="24" t="str">
        <f t="shared" si="3"/>
        <v>B</v>
      </c>
      <c r="Q26" s="25">
        <f t="shared" si="4"/>
        <v>3</v>
      </c>
      <c r="R26" s="26">
        <v>6</v>
      </c>
      <c r="S26" s="27">
        <f t="shared" si="17"/>
        <v>18</v>
      </c>
      <c r="T26" s="35">
        <v>74</v>
      </c>
      <c r="U26" s="36" t="str">
        <f t="shared" si="5"/>
        <v>B</v>
      </c>
      <c r="V26" s="37">
        <f t="shared" si="18"/>
        <v>3</v>
      </c>
      <c r="W26" s="38">
        <f>3</f>
        <v>3</v>
      </c>
      <c r="X26" s="39">
        <f t="shared" si="19"/>
        <v>9</v>
      </c>
      <c r="Y26" s="32">
        <v>75</v>
      </c>
      <c r="Z26" s="34" t="str">
        <f t="shared" si="6"/>
        <v>B+</v>
      </c>
      <c r="AA26" s="33">
        <f t="shared" si="7"/>
        <v>3.5</v>
      </c>
      <c r="AB26" s="34">
        <v>4</v>
      </c>
      <c r="AC26" s="40">
        <f t="shared" si="8"/>
        <v>14</v>
      </c>
      <c r="AD26" s="53">
        <v>79</v>
      </c>
      <c r="AE26" s="41" t="str">
        <f t="shared" si="9"/>
        <v>B+</v>
      </c>
      <c r="AF26" s="28">
        <f t="shared" si="10"/>
        <v>3.5</v>
      </c>
      <c r="AG26" s="29">
        <v>3</v>
      </c>
      <c r="AH26" s="30">
        <f t="shared" si="11"/>
        <v>10.5</v>
      </c>
      <c r="AI26" s="31">
        <v>79</v>
      </c>
      <c r="AJ26" s="3" t="str">
        <f t="shared" si="12"/>
        <v>B+</v>
      </c>
      <c r="AK26" s="4">
        <f t="shared" si="13"/>
        <v>3.5</v>
      </c>
      <c r="AL26" s="5">
        <v>2</v>
      </c>
      <c r="AM26" s="6">
        <f t="shared" si="20"/>
        <v>7</v>
      </c>
      <c r="AN26" s="12">
        <v>83</v>
      </c>
      <c r="AO26" s="8" t="str">
        <f t="shared" si="14"/>
        <v>A</v>
      </c>
      <c r="AP26" s="9">
        <f t="shared" si="15"/>
        <v>4</v>
      </c>
      <c r="AQ26" s="8">
        <v>3</v>
      </c>
      <c r="AR26" s="8">
        <f t="shared" si="16"/>
        <v>12</v>
      </c>
      <c r="AS26" s="10">
        <v>80</v>
      </c>
      <c r="AT26" s="8" t="str">
        <f t="shared" si="21"/>
        <v>A</v>
      </c>
      <c r="AU26" s="9">
        <f t="shared" si="22"/>
        <v>4</v>
      </c>
      <c r="AV26" s="141">
        <v>4</v>
      </c>
      <c r="AW26" s="8">
        <f t="shared" si="23"/>
        <v>16</v>
      </c>
      <c r="AX26" s="142">
        <v>81.5</v>
      </c>
      <c r="AY26" s="8" t="str">
        <f t="shared" si="24"/>
        <v>A</v>
      </c>
      <c r="AZ26" s="9">
        <f t="shared" si="25"/>
        <v>4</v>
      </c>
      <c r="BA26" s="143">
        <v>4</v>
      </c>
      <c r="BB26" s="141">
        <f t="shared" si="26"/>
        <v>16</v>
      </c>
      <c r="BC26" s="12">
        <v>83</v>
      </c>
      <c r="BD26" s="8" t="str">
        <f t="shared" si="27"/>
        <v>A</v>
      </c>
      <c r="BE26" s="9">
        <f t="shared" si="28"/>
        <v>4</v>
      </c>
      <c r="BF26" s="8">
        <v>5</v>
      </c>
      <c r="BG26" s="8">
        <f t="shared" si="29"/>
        <v>20</v>
      </c>
      <c r="BH26" s="8">
        <v>81</v>
      </c>
      <c r="BI26" s="8" t="str">
        <f t="shared" si="36"/>
        <v>A</v>
      </c>
      <c r="BJ26" s="9">
        <f t="shared" si="30"/>
        <v>4</v>
      </c>
      <c r="BK26" s="141">
        <v>2</v>
      </c>
      <c r="BL26" s="8">
        <f t="shared" si="31"/>
        <v>8</v>
      </c>
      <c r="BM26" s="11">
        <f>N26+S26+X26+AC26+AM26+AH26</f>
        <v>65.5</v>
      </c>
      <c r="BN26" s="8">
        <f>AL26+AG26+AB26+W26+R26+M26</f>
        <v>20</v>
      </c>
      <c r="BO26" s="95">
        <f>(BM26/BN26)</f>
        <v>3.2749999999999999</v>
      </c>
      <c r="BP26" s="11">
        <f t="shared" si="37"/>
        <v>72</v>
      </c>
      <c r="BQ26" s="10">
        <f t="shared" si="38"/>
        <v>18</v>
      </c>
      <c r="BR26" s="11">
        <f t="shared" si="32"/>
        <v>4</v>
      </c>
      <c r="BS26" s="12">
        <f>BM26+BP26</f>
        <v>137.5</v>
      </c>
      <c r="BT26" s="11">
        <f>BN26+BQ26</f>
        <v>38</v>
      </c>
      <c r="BU26" s="11">
        <f t="shared" si="33"/>
        <v>3.6184210526315788</v>
      </c>
      <c r="BV26" s="86" t="str">
        <f t="shared" si="34"/>
        <v>Cum Laude</v>
      </c>
      <c r="BW26" s="86" t="str">
        <f t="shared" si="35"/>
        <v>Excellent</v>
      </c>
      <c r="BX26" s="92" t="s">
        <v>160</v>
      </c>
    </row>
    <row r="27" spans="1:76" x14ac:dyDescent="0.25">
      <c r="A27" s="7">
        <v>25</v>
      </c>
      <c r="B27" s="7" t="s">
        <v>52</v>
      </c>
      <c r="C27" s="7">
        <v>132414026</v>
      </c>
      <c r="D27" s="7" t="s">
        <v>40</v>
      </c>
      <c r="E27" s="7" t="s">
        <v>105</v>
      </c>
      <c r="F27" s="105" t="s">
        <v>117</v>
      </c>
      <c r="G27" s="7"/>
      <c r="H27" s="7"/>
      <c r="I27" s="7"/>
      <c r="J27" s="18">
        <v>80</v>
      </c>
      <c r="K27" s="19" t="str">
        <f t="shared" si="0"/>
        <v>A</v>
      </c>
      <c r="L27" s="20">
        <f t="shared" si="1"/>
        <v>4</v>
      </c>
      <c r="M27" s="21">
        <v>2</v>
      </c>
      <c r="N27" s="22">
        <f t="shared" si="2"/>
        <v>8</v>
      </c>
      <c r="O27" s="23">
        <v>77</v>
      </c>
      <c r="P27" s="24" t="str">
        <f t="shared" si="3"/>
        <v>B+</v>
      </c>
      <c r="Q27" s="25">
        <f t="shared" si="4"/>
        <v>3.5</v>
      </c>
      <c r="R27" s="26">
        <v>6</v>
      </c>
      <c r="S27" s="27">
        <f t="shared" si="17"/>
        <v>21</v>
      </c>
      <c r="T27" s="35">
        <v>75</v>
      </c>
      <c r="U27" s="36" t="str">
        <f t="shared" si="5"/>
        <v>B+</v>
      </c>
      <c r="V27" s="37">
        <f t="shared" si="18"/>
        <v>3.5</v>
      </c>
      <c r="W27" s="38">
        <f>3</f>
        <v>3</v>
      </c>
      <c r="X27" s="39">
        <f t="shared" si="19"/>
        <v>10.5</v>
      </c>
      <c r="Y27" s="32">
        <v>78</v>
      </c>
      <c r="Z27" s="34" t="str">
        <f t="shared" si="6"/>
        <v>B+</v>
      </c>
      <c r="AA27" s="33">
        <f t="shared" si="7"/>
        <v>3.5</v>
      </c>
      <c r="AB27" s="34">
        <v>4</v>
      </c>
      <c r="AC27" s="40">
        <f t="shared" si="8"/>
        <v>14</v>
      </c>
      <c r="AD27" s="53">
        <v>80</v>
      </c>
      <c r="AE27" s="41" t="str">
        <f t="shared" si="9"/>
        <v>A</v>
      </c>
      <c r="AF27" s="28">
        <f t="shared" si="10"/>
        <v>4</v>
      </c>
      <c r="AG27" s="29">
        <v>3</v>
      </c>
      <c r="AH27" s="30">
        <f t="shared" si="11"/>
        <v>12</v>
      </c>
      <c r="AI27" s="31">
        <v>78</v>
      </c>
      <c r="AJ27" s="3" t="str">
        <f t="shared" si="12"/>
        <v>B+</v>
      </c>
      <c r="AK27" s="4">
        <f t="shared" si="13"/>
        <v>3.5</v>
      </c>
      <c r="AL27" s="5">
        <v>2</v>
      </c>
      <c r="AM27" s="6">
        <f t="shared" si="20"/>
        <v>7</v>
      </c>
      <c r="AN27" s="12">
        <v>84</v>
      </c>
      <c r="AO27" s="8" t="str">
        <f t="shared" si="14"/>
        <v>A</v>
      </c>
      <c r="AP27" s="9">
        <f t="shared" si="15"/>
        <v>4</v>
      </c>
      <c r="AQ27" s="8">
        <v>3</v>
      </c>
      <c r="AR27" s="8">
        <f t="shared" si="16"/>
        <v>12</v>
      </c>
      <c r="AS27" s="15">
        <v>82</v>
      </c>
      <c r="AT27" s="8" t="str">
        <f t="shared" si="21"/>
        <v>A</v>
      </c>
      <c r="AU27" s="9">
        <f t="shared" si="22"/>
        <v>4</v>
      </c>
      <c r="AV27" s="141">
        <v>4</v>
      </c>
      <c r="AW27" s="8">
        <f t="shared" si="23"/>
        <v>16</v>
      </c>
      <c r="AX27" s="109">
        <v>75</v>
      </c>
      <c r="AY27" s="8" t="str">
        <f t="shared" si="24"/>
        <v>B+</v>
      </c>
      <c r="AZ27" s="9">
        <f t="shared" si="25"/>
        <v>3.5</v>
      </c>
      <c r="BA27" s="143">
        <v>4</v>
      </c>
      <c r="BB27" s="141">
        <f t="shared" si="26"/>
        <v>14</v>
      </c>
      <c r="BC27" s="12">
        <v>84</v>
      </c>
      <c r="BD27" s="8" t="str">
        <f t="shared" si="27"/>
        <v>A</v>
      </c>
      <c r="BE27" s="9">
        <f t="shared" si="28"/>
        <v>4</v>
      </c>
      <c r="BF27" s="8">
        <v>5</v>
      </c>
      <c r="BG27" s="8">
        <f t="shared" si="29"/>
        <v>20</v>
      </c>
      <c r="BH27" s="8">
        <v>83</v>
      </c>
      <c r="BI27" s="8" t="str">
        <f t="shared" si="36"/>
        <v>A</v>
      </c>
      <c r="BJ27" s="9">
        <f t="shared" si="30"/>
        <v>4</v>
      </c>
      <c r="BK27" s="141">
        <v>2</v>
      </c>
      <c r="BL27" s="8">
        <f t="shared" si="31"/>
        <v>8</v>
      </c>
      <c r="BM27" s="11">
        <f>N27+S27+X27+AC27+AM27+AH27</f>
        <v>72.5</v>
      </c>
      <c r="BN27" s="8">
        <f>AL27+AG27+AB27+W27+R27+M27</f>
        <v>20</v>
      </c>
      <c r="BO27" s="95">
        <f>(BM27/BN27)</f>
        <v>3.625</v>
      </c>
      <c r="BP27" s="11">
        <f t="shared" si="37"/>
        <v>70</v>
      </c>
      <c r="BQ27" s="10">
        <f t="shared" si="38"/>
        <v>18</v>
      </c>
      <c r="BR27" s="11">
        <f t="shared" si="32"/>
        <v>3.8888888888888888</v>
      </c>
      <c r="BS27" s="12">
        <f>BM27+BP27</f>
        <v>142.5</v>
      </c>
      <c r="BT27" s="11">
        <f>BN27+BQ27</f>
        <v>38</v>
      </c>
      <c r="BU27" s="11">
        <f t="shared" si="33"/>
        <v>3.75</v>
      </c>
      <c r="BV27" s="86" t="str">
        <f t="shared" si="34"/>
        <v>Cum Laude</v>
      </c>
      <c r="BW27" s="86" t="str">
        <f t="shared" si="35"/>
        <v>Excellent</v>
      </c>
      <c r="BX27" s="92" t="s">
        <v>161</v>
      </c>
    </row>
    <row r="28" spans="1:76" x14ac:dyDescent="0.25">
      <c r="A28" s="7">
        <v>26</v>
      </c>
      <c r="B28" s="7" t="s">
        <v>53</v>
      </c>
      <c r="C28" s="7">
        <v>132414027</v>
      </c>
      <c r="D28" s="7" t="s">
        <v>40</v>
      </c>
      <c r="E28" s="7" t="s">
        <v>118</v>
      </c>
      <c r="F28" s="105" t="s">
        <v>119</v>
      </c>
      <c r="G28" s="7"/>
      <c r="H28" s="7"/>
      <c r="I28" s="7"/>
      <c r="J28" s="18">
        <v>79</v>
      </c>
      <c r="K28" s="19" t="str">
        <f t="shared" si="0"/>
        <v>B+</v>
      </c>
      <c r="L28" s="20">
        <f t="shared" si="1"/>
        <v>3.5</v>
      </c>
      <c r="M28" s="21">
        <v>2</v>
      </c>
      <c r="N28" s="22">
        <f t="shared" si="2"/>
        <v>7</v>
      </c>
      <c r="O28" s="23">
        <v>73</v>
      </c>
      <c r="P28" s="24" t="str">
        <f t="shared" si="3"/>
        <v>B</v>
      </c>
      <c r="Q28" s="25">
        <f t="shared" si="4"/>
        <v>3</v>
      </c>
      <c r="R28" s="26">
        <v>6</v>
      </c>
      <c r="S28" s="27">
        <f t="shared" si="17"/>
        <v>18</v>
      </c>
      <c r="T28" s="35">
        <v>75</v>
      </c>
      <c r="U28" s="36" t="str">
        <f t="shared" si="5"/>
        <v>B+</v>
      </c>
      <c r="V28" s="37">
        <f t="shared" si="18"/>
        <v>3.5</v>
      </c>
      <c r="W28" s="38">
        <f>3</f>
        <v>3</v>
      </c>
      <c r="X28" s="39">
        <f t="shared" si="19"/>
        <v>10.5</v>
      </c>
      <c r="Y28" s="32">
        <v>74</v>
      </c>
      <c r="Z28" s="34" t="str">
        <f t="shared" si="6"/>
        <v>B</v>
      </c>
      <c r="AA28" s="33">
        <f t="shared" si="7"/>
        <v>3</v>
      </c>
      <c r="AB28" s="34">
        <v>4</v>
      </c>
      <c r="AC28" s="40">
        <f t="shared" si="8"/>
        <v>12</v>
      </c>
      <c r="AD28" s="53">
        <v>76</v>
      </c>
      <c r="AE28" s="41" t="str">
        <f t="shared" si="9"/>
        <v>B+</v>
      </c>
      <c r="AF28" s="28">
        <f t="shared" si="10"/>
        <v>3.5</v>
      </c>
      <c r="AG28" s="29">
        <v>3</v>
      </c>
      <c r="AH28" s="30">
        <f t="shared" si="11"/>
        <v>10.5</v>
      </c>
      <c r="AI28" s="31">
        <v>78</v>
      </c>
      <c r="AJ28" s="3" t="str">
        <f t="shared" si="12"/>
        <v>B+</v>
      </c>
      <c r="AK28" s="4">
        <f t="shared" si="13"/>
        <v>3.5</v>
      </c>
      <c r="AL28" s="5">
        <v>2</v>
      </c>
      <c r="AM28" s="6">
        <f t="shared" si="20"/>
        <v>7</v>
      </c>
      <c r="AN28" s="12">
        <v>83</v>
      </c>
      <c r="AO28" s="8" t="str">
        <f t="shared" si="14"/>
        <v>A</v>
      </c>
      <c r="AP28" s="9">
        <f t="shared" si="15"/>
        <v>4</v>
      </c>
      <c r="AQ28" s="8">
        <v>3</v>
      </c>
      <c r="AR28" s="8">
        <f t="shared" si="16"/>
        <v>12</v>
      </c>
      <c r="AS28" s="10">
        <v>79</v>
      </c>
      <c r="AT28" s="8" t="str">
        <f t="shared" si="21"/>
        <v>B+</v>
      </c>
      <c r="AU28" s="9">
        <f t="shared" si="22"/>
        <v>3.5</v>
      </c>
      <c r="AV28" s="141">
        <v>4</v>
      </c>
      <c r="AW28" s="8">
        <f t="shared" si="23"/>
        <v>14</v>
      </c>
      <c r="AX28" s="10">
        <v>76.2</v>
      </c>
      <c r="AY28" s="8" t="str">
        <f t="shared" si="24"/>
        <v>B+</v>
      </c>
      <c r="AZ28" s="9">
        <f t="shared" si="25"/>
        <v>3.5</v>
      </c>
      <c r="BA28" s="143">
        <v>4</v>
      </c>
      <c r="BB28" s="141">
        <f t="shared" si="26"/>
        <v>14</v>
      </c>
      <c r="BC28" s="12">
        <v>83</v>
      </c>
      <c r="BD28" s="8" t="str">
        <f t="shared" si="27"/>
        <v>A</v>
      </c>
      <c r="BE28" s="9">
        <f t="shared" si="28"/>
        <v>4</v>
      </c>
      <c r="BF28" s="8">
        <v>5</v>
      </c>
      <c r="BG28" s="8">
        <f t="shared" si="29"/>
        <v>20</v>
      </c>
      <c r="BH28" s="8">
        <v>81</v>
      </c>
      <c r="BI28" s="8" t="str">
        <f t="shared" si="36"/>
        <v>A</v>
      </c>
      <c r="BJ28" s="9">
        <f t="shared" si="30"/>
        <v>4</v>
      </c>
      <c r="BK28" s="141">
        <v>2</v>
      </c>
      <c r="BL28" s="8">
        <f t="shared" si="31"/>
        <v>8</v>
      </c>
      <c r="BM28" s="11">
        <f>N28+S28+X28+AC28+AM28+AH28</f>
        <v>65</v>
      </c>
      <c r="BN28" s="8">
        <f>AL28+AG28+AB28+W28+R28+M28</f>
        <v>20</v>
      </c>
      <c r="BO28" s="95">
        <f>(BM28/BN28)</f>
        <v>3.25</v>
      </c>
      <c r="BP28" s="11">
        <f t="shared" si="37"/>
        <v>68</v>
      </c>
      <c r="BQ28" s="10">
        <f t="shared" si="38"/>
        <v>18</v>
      </c>
      <c r="BR28" s="11">
        <f t="shared" si="32"/>
        <v>3.7777777777777777</v>
      </c>
      <c r="BS28" s="12">
        <f>BM28+BP28</f>
        <v>133</v>
      </c>
      <c r="BT28" s="11">
        <f>BN28+BQ28</f>
        <v>38</v>
      </c>
      <c r="BU28" s="11">
        <f t="shared" si="33"/>
        <v>3.5</v>
      </c>
      <c r="BV28" s="86" t="str">
        <f t="shared" si="34"/>
        <v>Sangat Memuaskan</v>
      </c>
      <c r="BW28" s="86" t="str">
        <f t="shared" si="35"/>
        <v>Highly Satisfactory</v>
      </c>
      <c r="BX28" s="92" t="s">
        <v>162</v>
      </c>
    </row>
    <row r="29" spans="1:76" x14ac:dyDescent="0.25">
      <c r="A29" s="7">
        <v>27</v>
      </c>
      <c r="B29" s="7" t="s">
        <v>54</v>
      </c>
      <c r="C29" s="7">
        <v>132414028</v>
      </c>
      <c r="D29" s="7" t="s">
        <v>40</v>
      </c>
      <c r="E29" s="7" t="s">
        <v>120</v>
      </c>
      <c r="F29" s="105" t="s">
        <v>121</v>
      </c>
      <c r="G29" s="7"/>
      <c r="H29" s="7"/>
      <c r="I29" s="7"/>
      <c r="J29" s="18">
        <v>79</v>
      </c>
      <c r="K29" s="19" t="str">
        <f t="shared" si="0"/>
        <v>B+</v>
      </c>
      <c r="L29" s="20">
        <f t="shared" si="1"/>
        <v>3.5</v>
      </c>
      <c r="M29" s="21">
        <v>2</v>
      </c>
      <c r="N29" s="22">
        <f t="shared" si="2"/>
        <v>7</v>
      </c>
      <c r="O29" s="23">
        <v>73</v>
      </c>
      <c r="P29" s="24" t="str">
        <f t="shared" si="3"/>
        <v>B</v>
      </c>
      <c r="Q29" s="25">
        <f t="shared" si="4"/>
        <v>3</v>
      </c>
      <c r="R29" s="26">
        <v>6</v>
      </c>
      <c r="S29" s="27">
        <f t="shared" si="17"/>
        <v>18</v>
      </c>
      <c r="T29" s="35">
        <v>75</v>
      </c>
      <c r="U29" s="36" t="str">
        <f t="shared" si="5"/>
        <v>B+</v>
      </c>
      <c r="V29" s="37">
        <f t="shared" si="18"/>
        <v>3.5</v>
      </c>
      <c r="W29" s="38">
        <f>3</f>
        <v>3</v>
      </c>
      <c r="X29" s="39">
        <f t="shared" si="19"/>
        <v>10.5</v>
      </c>
      <c r="Y29" s="32">
        <v>74</v>
      </c>
      <c r="Z29" s="34" t="str">
        <f t="shared" si="6"/>
        <v>B</v>
      </c>
      <c r="AA29" s="33">
        <f t="shared" si="7"/>
        <v>3</v>
      </c>
      <c r="AB29" s="34">
        <v>4</v>
      </c>
      <c r="AC29" s="40">
        <f t="shared" si="8"/>
        <v>12</v>
      </c>
      <c r="AD29" s="53">
        <v>76</v>
      </c>
      <c r="AE29" s="41" t="str">
        <f t="shared" si="9"/>
        <v>B+</v>
      </c>
      <c r="AF29" s="28">
        <f t="shared" si="10"/>
        <v>3.5</v>
      </c>
      <c r="AG29" s="29">
        <v>3</v>
      </c>
      <c r="AH29" s="30">
        <f t="shared" si="11"/>
        <v>10.5</v>
      </c>
      <c r="AI29" s="31">
        <v>78</v>
      </c>
      <c r="AJ29" s="3" t="str">
        <f t="shared" si="12"/>
        <v>B+</v>
      </c>
      <c r="AK29" s="4">
        <f t="shared" si="13"/>
        <v>3.5</v>
      </c>
      <c r="AL29" s="5">
        <v>2</v>
      </c>
      <c r="AM29" s="6">
        <f t="shared" si="20"/>
        <v>7</v>
      </c>
      <c r="AN29" s="12">
        <v>82</v>
      </c>
      <c r="AO29" s="8" t="str">
        <f t="shared" si="14"/>
        <v>A</v>
      </c>
      <c r="AP29" s="9">
        <f t="shared" si="15"/>
        <v>4</v>
      </c>
      <c r="AQ29" s="8">
        <v>3</v>
      </c>
      <c r="AR29" s="8">
        <f t="shared" si="16"/>
        <v>12</v>
      </c>
      <c r="AS29" s="10">
        <v>79</v>
      </c>
      <c r="AT29" s="8" t="str">
        <f t="shared" si="21"/>
        <v>B+</v>
      </c>
      <c r="AU29" s="9">
        <f t="shared" si="22"/>
        <v>3.5</v>
      </c>
      <c r="AV29" s="141">
        <v>4</v>
      </c>
      <c r="AW29" s="8">
        <f t="shared" si="23"/>
        <v>14</v>
      </c>
      <c r="AX29" s="10">
        <v>75.400000000000006</v>
      </c>
      <c r="AY29" s="8" t="str">
        <f t="shared" si="24"/>
        <v>B+</v>
      </c>
      <c r="AZ29" s="9">
        <f t="shared" si="25"/>
        <v>3.5</v>
      </c>
      <c r="BA29" s="143">
        <v>4</v>
      </c>
      <c r="BB29" s="141">
        <f t="shared" si="26"/>
        <v>14</v>
      </c>
      <c r="BC29" s="12">
        <v>82</v>
      </c>
      <c r="BD29" s="8" t="str">
        <f t="shared" si="27"/>
        <v>A</v>
      </c>
      <c r="BE29" s="9">
        <f t="shared" si="28"/>
        <v>4</v>
      </c>
      <c r="BF29" s="8">
        <v>5</v>
      </c>
      <c r="BG29" s="8">
        <f t="shared" si="29"/>
        <v>20</v>
      </c>
      <c r="BH29" s="8">
        <v>80</v>
      </c>
      <c r="BI29" s="8" t="str">
        <f t="shared" si="36"/>
        <v>A</v>
      </c>
      <c r="BJ29" s="9">
        <f t="shared" si="30"/>
        <v>4</v>
      </c>
      <c r="BK29" s="141">
        <v>2</v>
      </c>
      <c r="BL29" s="8">
        <f t="shared" si="31"/>
        <v>8</v>
      </c>
      <c r="BM29" s="11">
        <f>N29+S29+X29+AC29+AM29+AH29</f>
        <v>65</v>
      </c>
      <c r="BN29" s="8">
        <f>AL29+AG29+AB29+W29+R29+M29</f>
        <v>20</v>
      </c>
      <c r="BO29" s="95">
        <f>(BM29/BN29)</f>
        <v>3.25</v>
      </c>
      <c r="BP29" s="11">
        <f t="shared" si="37"/>
        <v>68</v>
      </c>
      <c r="BQ29" s="10">
        <f t="shared" si="38"/>
        <v>18</v>
      </c>
      <c r="BR29" s="11">
        <f t="shared" si="32"/>
        <v>3.7777777777777777</v>
      </c>
      <c r="BS29" s="12">
        <f>BM29+BP29</f>
        <v>133</v>
      </c>
      <c r="BT29" s="11">
        <f>BN29+BQ29</f>
        <v>38</v>
      </c>
      <c r="BU29" s="11">
        <f t="shared" si="33"/>
        <v>3.5</v>
      </c>
      <c r="BV29" s="86" t="str">
        <f t="shared" si="34"/>
        <v>Sangat Memuaskan</v>
      </c>
      <c r="BW29" s="86" t="str">
        <f t="shared" si="35"/>
        <v>Highly Satisfactory</v>
      </c>
      <c r="BX29" s="92" t="s">
        <v>163</v>
      </c>
    </row>
    <row r="30" spans="1:76" x14ac:dyDescent="0.25">
      <c r="A30" s="7">
        <v>28</v>
      </c>
      <c r="B30" s="150" t="s">
        <v>55</v>
      </c>
      <c r="C30" s="7">
        <v>132414029</v>
      </c>
      <c r="D30" s="7" t="s">
        <v>40</v>
      </c>
      <c r="E30" s="7" t="s">
        <v>122</v>
      </c>
      <c r="F30" s="105" t="s">
        <v>123</v>
      </c>
      <c r="G30" s="7"/>
      <c r="H30" s="7"/>
      <c r="I30" s="7"/>
      <c r="J30" s="18">
        <v>75</v>
      </c>
      <c r="K30" s="19" t="str">
        <f t="shared" si="0"/>
        <v>B+</v>
      </c>
      <c r="L30" s="20">
        <f t="shared" si="1"/>
        <v>3.5</v>
      </c>
      <c r="M30" s="21">
        <v>2</v>
      </c>
      <c r="N30" s="22">
        <f t="shared" si="2"/>
        <v>7</v>
      </c>
      <c r="O30" s="23">
        <v>74</v>
      </c>
      <c r="P30" s="24" t="str">
        <f t="shared" si="3"/>
        <v>B</v>
      </c>
      <c r="Q30" s="25">
        <f t="shared" si="4"/>
        <v>3</v>
      </c>
      <c r="R30" s="26">
        <v>6</v>
      </c>
      <c r="S30" s="27">
        <f t="shared" si="17"/>
        <v>18</v>
      </c>
      <c r="T30" s="35">
        <v>75</v>
      </c>
      <c r="U30" s="36" t="str">
        <f t="shared" si="5"/>
        <v>B+</v>
      </c>
      <c r="V30" s="37">
        <f t="shared" si="18"/>
        <v>3.5</v>
      </c>
      <c r="W30" s="38">
        <f>3</f>
        <v>3</v>
      </c>
      <c r="X30" s="39">
        <f t="shared" si="19"/>
        <v>10.5</v>
      </c>
      <c r="Y30" s="32">
        <v>73</v>
      </c>
      <c r="Z30" s="34" t="str">
        <f t="shared" si="6"/>
        <v>B</v>
      </c>
      <c r="AA30" s="33">
        <f t="shared" si="7"/>
        <v>3</v>
      </c>
      <c r="AB30" s="34">
        <v>4</v>
      </c>
      <c r="AC30" s="40">
        <f t="shared" si="8"/>
        <v>12</v>
      </c>
      <c r="AD30" s="53">
        <v>76</v>
      </c>
      <c r="AE30" s="41" t="str">
        <f t="shared" si="9"/>
        <v>B+</v>
      </c>
      <c r="AF30" s="28">
        <f t="shared" si="10"/>
        <v>3.5</v>
      </c>
      <c r="AG30" s="29">
        <v>3</v>
      </c>
      <c r="AH30" s="30">
        <f t="shared" si="11"/>
        <v>10.5</v>
      </c>
      <c r="AI30" s="31">
        <v>77</v>
      </c>
      <c r="AJ30" s="3" t="str">
        <f t="shared" si="12"/>
        <v>B+</v>
      </c>
      <c r="AK30" s="4">
        <f t="shared" si="13"/>
        <v>3.5</v>
      </c>
      <c r="AL30" s="5">
        <v>2</v>
      </c>
      <c r="AM30" s="6">
        <f t="shared" si="20"/>
        <v>7</v>
      </c>
      <c r="AN30" s="12">
        <v>78</v>
      </c>
      <c r="AO30" s="8" t="str">
        <f t="shared" si="14"/>
        <v>B+</v>
      </c>
      <c r="AP30" s="9">
        <f t="shared" si="15"/>
        <v>3.5</v>
      </c>
      <c r="AQ30" s="8">
        <v>3</v>
      </c>
      <c r="AR30" s="8">
        <f t="shared" si="16"/>
        <v>10.5</v>
      </c>
      <c r="AS30" s="10">
        <v>75</v>
      </c>
      <c r="AT30" s="8" t="str">
        <f t="shared" si="21"/>
        <v>B+</v>
      </c>
      <c r="AU30" s="9">
        <f t="shared" si="22"/>
        <v>3.5</v>
      </c>
      <c r="AV30" s="141">
        <v>4</v>
      </c>
      <c r="AW30" s="8">
        <f t="shared" si="23"/>
        <v>14</v>
      </c>
      <c r="AX30" s="142">
        <v>75</v>
      </c>
      <c r="AY30" s="8" t="str">
        <f t="shared" si="24"/>
        <v>B+</v>
      </c>
      <c r="AZ30" s="9">
        <f t="shared" si="25"/>
        <v>3.5</v>
      </c>
      <c r="BA30" s="143">
        <v>4</v>
      </c>
      <c r="BB30" s="141">
        <f t="shared" si="26"/>
        <v>14</v>
      </c>
      <c r="BC30" s="12">
        <v>78</v>
      </c>
      <c r="BD30" s="8" t="str">
        <f t="shared" si="27"/>
        <v>B+</v>
      </c>
      <c r="BE30" s="9">
        <f t="shared" si="28"/>
        <v>3.5</v>
      </c>
      <c r="BF30" s="8">
        <v>5</v>
      </c>
      <c r="BG30" s="8">
        <f t="shared" si="29"/>
        <v>17.5</v>
      </c>
      <c r="BH30" s="145">
        <v>76</v>
      </c>
      <c r="BI30" s="8" t="str">
        <f t="shared" si="36"/>
        <v>B+</v>
      </c>
      <c r="BJ30" s="9">
        <f t="shared" si="30"/>
        <v>3.5</v>
      </c>
      <c r="BK30" s="141">
        <v>2</v>
      </c>
      <c r="BL30" s="8">
        <f t="shared" si="31"/>
        <v>7</v>
      </c>
      <c r="BM30" s="11">
        <f>N30+S30+X30+AC30+AM30+AH30</f>
        <v>65</v>
      </c>
      <c r="BN30" s="8">
        <f>AL30+AG30+AB30+W30+R30+M30</f>
        <v>20</v>
      </c>
      <c r="BO30" s="95">
        <f>(BM30/BN30)</f>
        <v>3.25</v>
      </c>
      <c r="BP30" s="11">
        <f t="shared" si="37"/>
        <v>63</v>
      </c>
      <c r="BQ30" s="10">
        <f t="shared" si="38"/>
        <v>18</v>
      </c>
      <c r="BR30" s="11">
        <f t="shared" si="32"/>
        <v>3.5</v>
      </c>
      <c r="BS30" s="12">
        <f>BM30+BP30</f>
        <v>128</v>
      </c>
      <c r="BT30" s="11">
        <f>BN30+BQ30</f>
        <v>38</v>
      </c>
      <c r="BU30" s="11">
        <f t="shared" si="33"/>
        <v>3.3684210526315788</v>
      </c>
      <c r="BV30" s="86" t="str">
        <f t="shared" si="34"/>
        <v>Sangat Memuaskan</v>
      </c>
      <c r="BW30" s="86" t="str">
        <f t="shared" si="35"/>
        <v>Highly Satisfactory</v>
      </c>
      <c r="BX30" s="92"/>
    </row>
    <row r="31" spans="1:76" x14ac:dyDescent="0.25">
      <c r="A31" s="7">
        <v>29</v>
      </c>
      <c r="B31" s="150" t="s">
        <v>56</v>
      </c>
      <c r="C31" s="7">
        <v>132414030</v>
      </c>
      <c r="D31" s="7" t="s">
        <v>40</v>
      </c>
      <c r="E31" s="7" t="s">
        <v>124</v>
      </c>
      <c r="F31" s="105" t="s">
        <v>125</v>
      </c>
      <c r="G31" s="7"/>
      <c r="H31" s="7"/>
      <c r="I31" s="7"/>
      <c r="J31" s="18">
        <v>77</v>
      </c>
      <c r="K31" s="19" t="str">
        <f t="shared" si="0"/>
        <v>B+</v>
      </c>
      <c r="L31" s="20">
        <f t="shared" si="1"/>
        <v>3.5</v>
      </c>
      <c r="M31" s="21">
        <v>2</v>
      </c>
      <c r="N31" s="22">
        <f t="shared" si="2"/>
        <v>7</v>
      </c>
      <c r="O31" s="23">
        <v>73</v>
      </c>
      <c r="P31" s="24" t="str">
        <f t="shared" si="3"/>
        <v>B</v>
      </c>
      <c r="Q31" s="25">
        <f t="shared" si="4"/>
        <v>3</v>
      </c>
      <c r="R31" s="26">
        <v>6</v>
      </c>
      <c r="S31" s="27">
        <f t="shared" si="17"/>
        <v>18</v>
      </c>
      <c r="T31" s="35">
        <v>75</v>
      </c>
      <c r="U31" s="36" t="str">
        <f t="shared" si="5"/>
        <v>B+</v>
      </c>
      <c r="V31" s="37">
        <f t="shared" si="18"/>
        <v>3.5</v>
      </c>
      <c r="W31" s="38">
        <f>3</f>
        <v>3</v>
      </c>
      <c r="X31" s="39">
        <f t="shared" si="19"/>
        <v>10.5</v>
      </c>
      <c r="Y31" s="32">
        <v>76</v>
      </c>
      <c r="Z31" s="34" t="str">
        <f t="shared" si="6"/>
        <v>B+</v>
      </c>
      <c r="AA31" s="33">
        <f t="shared" si="7"/>
        <v>3.5</v>
      </c>
      <c r="AB31" s="34">
        <v>4</v>
      </c>
      <c r="AC31" s="40">
        <f t="shared" si="8"/>
        <v>14</v>
      </c>
      <c r="AD31" s="53">
        <v>78</v>
      </c>
      <c r="AE31" s="41" t="str">
        <f t="shared" si="9"/>
        <v>B+</v>
      </c>
      <c r="AF31" s="28">
        <f t="shared" si="10"/>
        <v>3.5</v>
      </c>
      <c r="AG31" s="29">
        <v>3</v>
      </c>
      <c r="AH31" s="30">
        <f t="shared" si="11"/>
        <v>10.5</v>
      </c>
      <c r="AI31" s="31">
        <v>79</v>
      </c>
      <c r="AJ31" s="3" t="str">
        <f t="shared" si="12"/>
        <v>B+</v>
      </c>
      <c r="AK31" s="4">
        <f t="shared" si="13"/>
        <v>3.5</v>
      </c>
      <c r="AL31" s="5">
        <v>2</v>
      </c>
      <c r="AM31" s="6">
        <f t="shared" si="20"/>
        <v>7</v>
      </c>
      <c r="AN31" s="12">
        <v>83</v>
      </c>
      <c r="AO31" s="8" t="str">
        <f t="shared" si="14"/>
        <v>A</v>
      </c>
      <c r="AP31" s="9">
        <f t="shared" si="15"/>
        <v>4</v>
      </c>
      <c r="AQ31" s="8">
        <v>3</v>
      </c>
      <c r="AR31" s="8">
        <f t="shared" si="16"/>
        <v>12</v>
      </c>
      <c r="AS31" s="10">
        <v>78</v>
      </c>
      <c r="AT31" s="8" t="str">
        <f t="shared" si="21"/>
        <v>B+</v>
      </c>
      <c r="AU31" s="9">
        <f t="shared" si="22"/>
        <v>3.5</v>
      </c>
      <c r="AV31" s="141">
        <v>4</v>
      </c>
      <c r="AW31" s="8">
        <f t="shared" si="23"/>
        <v>14</v>
      </c>
      <c r="AX31" s="10">
        <v>83.5</v>
      </c>
      <c r="AY31" s="8" t="str">
        <f t="shared" si="24"/>
        <v>A</v>
      </c>
      <c r="AZ31" s="9">
        <f t="shared" si="25"/>
        <v>4</v>
      </c>
      <c r="BA31" s="143">
        <v>4</v>
      </c>
      <c r="BB31" s="141">
        <f t="shared" si="26"/>
        <v>16</v>
      </c>
      <c r="BC31" s="12">
        <v>83</v>
      </c>
      <c r="BD31" s="8" t="str">
        <f t="shared" si="27"/>
        <v>A</v>
      </c>
      <c r="BE31" s="9">
        <f t="shared" si="28"/>
        <v>4</v>
      </c>
      <c r="BF31" s="8">
        <v>5</v>
      </c>
      <c r="BG31" s="8">
        <f t="shared" si="29"/>
        <v>20</v>
      </c>
      <c r="BH31" s="8">
        <v>82</v>
      </c>
      <c r="BI31" s="8" t="str">
        <f t="shared" si="36"/>
        <v>A</v>
      </c>
      <c r="BJ31" s="9">
        <f t="shared" si="30"/>
        <v>4</v>
      </c>
      <c r="BK31" s="141">
        <v>2</v>
      </c>
      <c r="BL31" s="8">
        <f t="shared" si="31"/>
        <v>8</v>
      </c>
      <c r="BM31" s="11">
        <f>N31+S31+X31+AC31+AM31+AH31</f>
        <v>67</v>
      </c>
      <c r="BN31" s="8">
        <f>AL31+AG31+AB31+W31+R31+M31</f>
        <v>20</v>
      </c>
      <c r="BO31" s="95">
        <f>(BM31/BN31)</f>
        <v>3.35</v>
      </c>
      <c r="BP31" s="11">
        <f t="shared" si="37"/>
        <v>70</v>
      </c>
      <c r="BQ31" s="10">
        <f t="shared" si="38"/>
        <v>18</v>
      </c>
      <c r="BR31" s="11">
        <f t="shared" si="32"/>
        <v>3.8888888888888888</v>
      </c>
      <c r="BS31" s="12">
        <f>BM31+BP31</f>
        <v>137</v>
      </c>
      <c r="BT31" s="11">
        <f>BN31+BQ31</f>
        <v>38</v>
      </c>
      <c r="BU31" s="11">
        <f t="shared" si="33"/>
        <v>3.6052631578947367</v>
      </c>
      <c r="BV31" s="86" t="str">
        <f t="shared" si="34"/>
        <v>Cum Laude</v>
      </c>
      <c r="BW31" s="86" t="str">
        <f t="shared" si="35"/>
        <v>Excellent</v>
      </c>
      <c r="BX31" s="92"/>
    </row>
    <row r="32" spans="1:76" x14ac:dyDescent="0.25">
      <c r="A32" s="7">
        <v>30</v>
      </c>
      <c r="B32" s="150" t="s">
        <v>57</v>
      </c>
      <c r="C32" s="7">
        <v>132414031</v>
      </c>
      <c r="D32" s="7" t="s">
        <v>40</v>
      </c>
      <c r="E32" s="7"/>
      <c r="F32" s="105"/>
      <c r="G32" s="7"/>
      <c r="H32" s="7"/>
      <c r="I32" s="7"/>
      <c r="J32" s="18">
        <v>79</v>
      </c>
      <c r="K32" s="19" t="str">
        <f t="shared" si="0"/>
        <v>B+</v>
      </c>
      <c r="L32" s="20">
        <f t="shared" si="1"/>
        <v>3.5</v>
      </c>
      <c r="M32" s="21">
        <v>2</v>
      </c>
      <c r="N32" s="22">
        <f t="shared" si="2"/>
        <v>7</v>
      </c>
      <c r="O32" s="23">
        <v>77</v>
      </c>
      <c r="P32" s="24" t="str">
        <f t="shared" si="3"/>
        <v>B+</v>
      </c>
      <c r="Q32" s="25">
        <f t="shared" si="4"/>
        <v>3.5</v>
      </c>
      <c r="R32" s="26">
        <v>6</v>
      </c>
      <c r="S32" s="27">
        <f t="shared" si="17"/>
        <v>21</v>
      </c>
      <c r="T32" s="35">
        <v>75</v>
      </c>
      <c r="U32" s="36" t="str">
        <f t="shared" si="5"/>
        <v>B+</v>
      </c>
      <c r="V32" s="37">
        <f t="shared" si="18"/>
        <v>3.5</v>
      </c>
      <c r="W32" s="38">
        <f>3</f>
        <v>3</v>
      </c>
      <c r="X32" s="39">
        <f t="shared" si="19"/>
        <v>10.5</v>
      </c>
      <c r="Y32" s="32">
        <v>78</v>
      </c>
      <c r="Z32" s="34" t="str">
        <f t="shared" si="6"/>
        <v>B+</v>
      </c>
      <c r="AA32" s="33">
        <f t="shared" si="7"/>
        <v>3.5</v>
      </c>
      <c r="AB32" s="34">
        <v>4</v>
      </c>
      <c r="AC32" s="40">
        <f t="shared" si="8"/>
        <v>14</v>
      </c>
      <c r="AD32" s="53">
        <v>80</v>
      </c>
      <c r="AE32" s="41" t="str">
        <f t="shared" si="9"/>
        <v>A</v>
      </c>
      <c r="AF32" s="28">
        <f t="shared" si="10"/>
        <v>4</v>
      </c>
      <c r="AG32" s="29">
        <v>3</v>
      </c>
      <c r="AH32" s="30">
        <f t="shared" si="11"/>
        <v>12</v>
      </c>
      <c r="AI32" s="31">
        <v>80</v>
      </c>
      <c r="AJ32" s="3" t="str">
        <f t="shared" si="12"/>
        <v>A</v>
      </c>
      <c r="AK32" s="4">
        <f t="shared" si="13"/>
        <v>4</v>
      </c>
      <c r="AL32" s="5">
        <v>2</v>
      </c>
      <c r="AM32" s="6">
        <f t="shared" si="20"/>
        <v>8</v>
      </c>
      <c r="AN32" s="12">
        <v>85</v>
      </c>
      <c r="AO32" s="8" t="str">
        <f t="shared" si="14"/>
        <v>A</v>
      </c>
      <c r="AP32" s="9">
        <f t="shared" si="15"/>
        <v>4</v>
      </c>
      <c r="AQ32" s="8">
        <v>3</v>
      </c>
      <c r="AR32" s="8">
        <f t="shared" si="16"/>
        <v>12</v>
      </c>
      <c r="AS32" s="10">
        <v>82</v>
      </c>
      <c r="AT32" s="8" t="str">
        <f t="shared" si="21"/>
        <v>A</v>
      </c>
      <c r="AU32" s="9">
        <f t="shared" si="22"/>
        <v>4</v>
      </c>
      <c r="AV32" s="141">
        <v>4</v>
      </c>
      <c r="AW32" s="8">
        <f t="shared" si="23"/>
        <v>16</v>
      </c>
      <c r="AX32" s="142">
        <v>86</v>
      </c>
      <c r="AY32" s="8" t="str">
        <f t="shared" si="24"/>
        <v>A</v>
      </c>
      <c r="AZ32" s="9">
        <f t="shared" si="25"/>
        <v>4</v>
      </c>
      <c r="BA32" s="143">
        <v>4</v>
      </c>
      <c r="BB32" s="141">
        <f t="shared" si="26"/>
        <v>16</v>
      </c>
      <c r="BC32" s="12">
        <v>85</v>
      </c>
      <c r="BD32" s="8" t="str">
        <f t="shared" si="27"/>
        <v>A</v>
      </c>
      <c r="BE32" s="9">
        <f t="shared" si="28"/>
        <v>4</v>
      </c>
      <c r="BF32" s="8">
        <v>5</v>
      </c>
      <c r="BG32" s="8">
        <f t="shared" si="29"/>
        <v>20</v>
      </c>
      <c r="BH32" s="145">
        <v>76</v>
      </c>
      <c r="BI32" s="8" t="str">
        <f t="shared" si="36"/>
        <v>B+</v>
      </c>
      <c r="BJ32" s="9">
        <f t="shared" si="30"/>
        <v>3.5</v>
      </c>
      <c r="BK32" s="141">
        <v>2</v>
      </c>
      <c r="BL32" s="8">
        <f t="shared" si="31"/>
        <v>7</v>
      </c>
      <c r="BM32" s="11">
        <f>N32+S32+X32+AC32+AM32+AH32</f>
        <v>72.5</v>
      </c>
      <c r="BN32" s="8">
        <f>AL32+AG32+AB32+W32+R32+M32</f>
        <v>20</v>
      </c>
      <c r="BO32" s="95">
        <f>(BM32/BN32)</f>
        <v>3.625</v>
      </c>
      <c r="BP32" s="11">
        <f t="shared" si="37"/>
        <v>71</v>
      </c>
      <c r="BQ32" s="10">
        <f t="shared" si="38"/>
        <v>18</v>
      </c>
      <c r="BR32" s="11">
        <f t="shared" si="32"/>
        <v>3.9444444444444446</v>
      </c>
      <c r="BS32" s="12">
        <f>BM32+BP32</f>
        <v>143.5</v>
      </c>
      <c r="BT32" s="11">
        <f>BN32+BQ32</f>
        <v>38</v>
      </c>
      <c r="BU32" s="11">
        <f t="shared" si="33"/>
        <v>3.7763157894736841</v>
      </c>
      <c r="BV32" s="86" t="str">
        <f t="shared" si="34"/>
        <v>Cum Laude</v>
      </c>
      <c r="BW32" s="86" t="str">
        <f t="shared" si="35"/>
        <v>Excellent</v>
      </c>
      <c r="BX32" s="92"/>
    </row>
    <row r="33" spans="1:76" ht="30" x14ac:dyDescent="0.25">
      <c r="A33" s="7">
        <v>31</v>
      </c>
      <c r="B33" s="7" t="s">
        <v>58</v>
      </c>
      <c r="C33" s="7">
        <v>132414032</v>
      </c>
      <c r="D33" s="7" t="s">
        <v>40</v>
      </c>
      <c r="E33" s="7" t="s">
        <v>126</v>
      </c>
      <c r="F33" s="105" t="s">
        <v>127</v>
      </c>
      <c r="G33" s="7"/>
      <c r="H33" s="7"/>
      <c r="I33" s="7"/>
      <c r="J33" s="18">
        <v>80</v>
      </c>
      <c r="K33" s="19" t="str">
        <f t="shared" si="0"/>
        <v>A</v>
      </c>
      <c r="L33" s="20">
        <f t="shared" si="1"/>
        <v>4</v>
      </c>
      <c r="M33" s="21">
        <v>2</v>
      </c>
      <c r="N33" s="22">
        <f t="shared" si="2"/>
        <v>8</v>
      </c>
      <c r="O33" s="23">
        <v>78</v>
      </c>
      <c r="P33" s="24" t="str">
        <f t="shared" si="3"/>
        <v>B+</v>
      </c>
      <c r="Q33" s="25">
        <f t="shared" si="4"/>
        <v>3.5</v>
      </c>
      <c r="R33" s="26">
        <v>6</v>
      </c>
      <c r="S33" s="27">
        <f t="shared" si="17"/>
        <v>21</v>
      </c>
      <c r="T33" s="35">
        <v>78</v>
      </c>
      <c r="U33" s="36" t="str">
        <f t="shared" si="5"/>
        <v>B+</v>
      </c>
      <c r="V33" s="37">
        <f t="shared" si="18"/>
        <v>3.5</v>
      </c>
      <c r="W33" s="38">
        <f>3</f>
        <v>3</v>
      </c>
      <c r="X33" s="39">
        <f t="shared" si="19"/>
        <v>10.5</v>
      </c>
      <c r="Y33" s="32">
        <v>78</v>
      </c>
      <c r="Z33" s="34" t="str">
        <f t="shared" si="6"/>
        <v>B+</v>
      </c>
      <c r="AA33" s="33">
        <f t="shared" si="7"/>
        <v>3.5</v>
      </c>
      <c r="AB33" s="34">
        <v>4</v>
      </c>
      <c r="AC33" s="40">
        <f t="shared" si="8"/>
        <v>14</v>
      </c>
      <c r="AD33" s="53">
        <v>80</v>
      </c>
      <c r="AE33" s="41" t="str">
        <f t="shared" si="9"/>
        <v>A</v>
      </c>
      <c r="AF33" s="28">
        <f t="shared" si="10"/>
        <v>4</v>
      </c>
      <c r="AG33" s="29">
        <v>3</v>
      </c>
      <c r="AH33" s="30">
        <f t="shared" si="11"/>
        <v>12</v>
      </c>
      <c r="AI33" s="31">
        <v>80</v>
      </c>
      <c r="AJ33" s="3" t="str">
        <f t="shared" si="12"/>
        <v>A</v>
      </c>
      <c r="AK33" s="4">
        <f t="shared" si="13"/>
        <v>4</v>
      </c>
      <c r="AL33" s="5">
        <v>2</v>
      </c>
      <c r="AM33" s="6">
        <f t="shared" si="20"/>
        <v>8</v>
      </c>
      <c r="AN33" s="12">
        <v>85</v>
      </c>
      <c r="AO33" s="8" t="str">
        <f t="shared" si="14"/>
        <v>A</v>
      </c>
      <c r="AP33" s="9">
        <f t="shared" si="15"/>
        <v>4</v>
      </c>
      <c r="AQ33" s="8">
        <v>3</v>
      </c>
      <c r="AR33" s="8">
        <f t="shared" si="16"/>
        <v>12</v>
      </c>
      <c r="AS33" s="10">
        <v>83</v>
      </c>
      <c r="AT33" s="8" t="str">
        <f t="shared" si="21"/>
        <v>A</v>
      </c>
      <c r="AU33" s="9">
        <f t="shared" si="22"/>
        <v>4</v>
      </c>
      <c r="AV33" s="141">
        <v>4</v>
      </c>
      <c r="AW33" s="8">
        <f t="shared" si="23"/>
        <v>16</v>
      </c>
      <c r="AX33" s="142">
        <v>85</v>
      </c>
      <c r="AY33" s="8" t="str">
        <f t="shared" si="24"/>
        <v>A</v>
      </c>
      <c r="AZ33" s="9">
        <f t="shared" si="25"/>
        <v>4</v>
      </c>
      <c r="BA33" s="143">
        <v>4</v>
      </c>
      <c r="BB33" s="141">
        <f t="shared" si="26"/>
        <v>16</v>
      </c>
      <c r="BC33" s="12">
        <v>85</v>
      </c>
      <c r="BD33" s="8" t="str">
        <f t="shared" si="27"/>
        <v>A</v>
      </c>
      <c r="BE33" s="9">
        <f t="shared" si="28"/>
        <v>4</v>
      </c>
      <c r="BF33" s="8">
        <v>5</v>
      </c>
      <c r="BG33" s="8">
        <f t="shared" si="29"/>
        <v>20</v>
      </c>
      <c r="BH33" s="8">
        <v>84</v>
      </c>
      <c r="BI33" s="8" t="str">
        <f t="shared" si="36"/>
        <v>A</v>
      </c>
      <c r="BJ33" s="9">
        <f t="shared" si="30"/>
        <v>4</v>
      </c>
      <c r="BK33" s="141">
        <v>2</v>
      </c>
      <c r="BL33" s="8">
        <f t="shared" si="31"/>
        <v>8</v>
      </c>
      <c r="BM33" s="11">
        <f>N33+S33+X33+AC33+AM33+AH33</f>
        <v>73.5</v>
      </c>
      <c r="BN33" s="8">
        <f>AL33+AG33+AB33+W33+R33+M33</f>
        <v>20</v>
      </c>
      <c r="BO33" s="95">
        <f>(BM33/BN33)</f>
        <v>3.6749999999999998</v>
      </c>
      <c r="BP33" s="11">
        <f t="shared" si="37"/>
        <v>72</v>
      </c>
      <c r="BQ33" s="10">
        <f t="shared" si="38"/>
        <v>18</v>
      </c>
      <c r="BR33" s="11">
        <f t="shared" si="32"/>
        <v>4</v>
      </c>
      <c r="BS33" s="144">
        <f>BM33+BP33</f>
        <v>145.5</v>
      </c>
      <c r="BT33" s="11">
        <f>BN33+BQ33</f>
        <v>38</v>
      </c>
      <c r="BU33" s="11">
        <f t="shared" si="33"/>
        <v>3.8289473684210527</v>
      </c>
      <c r="BV33" s="86" t="str">
        <f t="shared" si="34"/>
        <v>Cum Laude</v>
      </c>
      <c r="BW33" s="86" t="str">
        <f t="shared" si="35"/>
        <v>Excellent</v>
      </c>
      <c r="BX33" s="92" t="s">
        <v>164</v>
      </c>
    </row>
    <row r="34" spans="1:76" x14ac:dyDescent="0.25">
      <c r="A34" s="7">
        <v>32</v>
      </c>
      <c r="B34" s="7" t="s">
        <v>59</v>
      </c>
      <c r="C34" s="7">
        <v>132414033</v>
      </c>
      <c r="D34" s="7" t="s">
        <v>40</v>
      </c>
      <c r="E34" s="7" t="s">
        <v>128</v>
      </c>
      <c r="F34" s="105" t="s">
        <v>129</v>
      </c>
      <c r="G34" s="7"/>
      <c r="H34" s="7"/>
      <c r="I34" s="7"/>
      <c r="J34" s="18">
        <v>75</v>
      </c>
      <c r="K34" s="19" t="str">
        <f t="shared" si="0"/>
        <v>B+</v>
      </c>
      <c r="L34" s="20">
        <f t="shared" si="1"/>
        <v>3.5</v>
      </c>
      <c r="M34" s="21">
        <v>2</v>
      </c>
      <c r="N34" s="22">
        <f t="shared" si="2"/>
        <v>7</v>
      </c>
      <c r="O34" s="23">
        <v>74</v>
      </c>
      <c r="P34" s="24" t="str">
        <f t="shared" si="3"/>
        <v>B</v>
      </c>
      <c r="Q34" s="25">
        <f t="shared" si="4"/>
        <v>3</v>
      </c>
      <c r="R34" s="26">
        <v>6</v>
      </c>
      <c r="S34" s="27">
        <f t="shared" si="17"/>
        <v>18</v>
      </c>
      <c r="T34" s="35">
        <v>74</v>
      </c>
      <c r="U34" s="36" t="str">
        <f t="shared" si="5"/>
        <v>B</v>
      </c>
      <c r="V34" s="37">
        <f t="shared" si="18"/>
        <v>3</v>
      </c>
      <c r="W34" s="38">
        <f>3</f>
        <v>3</v>
      </c>
      <c r="X34" s="39">
        <f t="shared" si="19"/>
        <v>9</v>
      </c>
      <c r="Y34" s="32">
        <v>75</v>
      </c>
      <c r="Z34" s="34" t="str">
        <f t="shared" si="6"/>
        <v>B+</v>
      </c>
      <c r="AA34" s="33">
        <f t="shared" si="7"/>
        <v>3.5</v>
      </c>
      <c r="AB34" s="34">
        <v>4</v>
      </c>
      <c r="AC34" s="40">
        <f t="shared" si="8"/>
        <v>14</v>
      </c>
      <c r="AD34" s="53">
        <v>78</v>
      </c>
      <c r="AE34" s="41" t="str">
        <f t="shared" si="9"/>
        <v>B+</v>
      </c>
      <c r="AF34" s="28">
        <f t="shared" si="10"/>
        <v>3.5</v>
      </c>
      <c r="AG34" s="29">
        <v>3</v>
      </c>
      <c r="AH34" s="30">
        <f t="shared" si="11"/>
        <v>10.5</v>
      </c>
      <c r="AI34" s="31">
        <v>77</v>
      </c>
      <c r="AJ34" s="3" t="str">
        <f t="shared" si="12"/>
        <v>B+</v>
      </c>
      <c r="AK34" s="4">
        <f t="shared" si="13"/>
        <v>3.5</v>
      </c>
      <c r="AL34" s="5">
        <v>2</v>
      </c>
      <c r="AM34" s="6">
        <f t="shared" si="20"/>
        <v>7</v>
      </c>
      <c r="AN34" s="12">
        <v>82</v>
      </c>
      <c r="AO34" s="8" t="str">
        <f t="shared" si="14"/>
        <v>A</v>
      </c>
      <c r="AP34" s="9">
        <f t="shared" si="15"/>
        <v>4</v>
      </c>
      <c r="AQ34" s="8">
        <v>3</v>
      </c>
      <c r="AR34" s="8">
        <f t="shared" si="16"/>
        <v>12</v>
      </c>
      <c r="AS34" s="10">
        <v>79</v>
      </c>
      <c r="AT34" s="8" t="str">
        <f t="shared" si="21"/>
        <v>B+</v>
      </c>
      <c r="AU34" s="9">
        <f t="shared" si="22"/>
        <v>3.5</v>
      </c>
      <c r="AV34" s="141">
        <v>4</v>
      </c>
      <c r="AW34" s="8">
        <f t="shared" si="23"/>
        <v>14</v>
      </c>
      <c r="AX34" s="142">
        <v>80</v>
      </c>
      <c r="AY34" s="8" t="str">
        <f t="shared" si="24"/>
        <v>A</v>
      </c>
      <c r="AZ34" s="9">
        <f t="shared" si="25"/>
        <v>4</v>
      </c>
      <c r="BA34" s="143">
        <v>4</v>
      </c>
      <c r="BB34" s="141">
        <f t="shared" si="26"/>
        <v>16</v>
      </c>
      <c r="BC34" s="12">
        <v>82</v>
      </c>
      <c r="BD34" s="8" t="str">
        <f t="shared" si="27"/>
        <v>A</v>
      </c>
      <c r="BE34" s="9">
        <f t="shared" si="28"/>
        <v>4</v>
      </c>
      <c r="BF34" s="8">
        <v>5</v>
      </c>
      <c r="BG34" s="8">
        <f t="shared" si="29"/>
        <v>20</v>
      </c>
      <c r="BH34" s="8">
        <v>81</v>
      </c>
      <c r="BI34" s="8" t="str">
        <f t="shared" si="36"/>
        <v>A</v>
      </c>
      <c r="BJ34" s="9">
        <f t="shared" si="30"/>
        <v>4</v>
      </c>
      <c r="BK34" s="141">
        <v>2</v>
      </c>
      <c r="BL34" s="8">
        <f t="shared" si="31"/>
        <v>8</v>
      </c>
      <c r="BM34" s="11">
        <f>N34+S34+X34+AC34+AM34+AH34</f>
        <v>65.5</v>
      </c>
      <c r="BN34" s="8">
        <f>AL34+AG34+AB34+W34+R34+M34</f>
        <v>20</v>
      </c>
      <c r="BO34" s="95">
        <f>(BM34/BN34)</f>
        <v>3.2749999999999999</v>
      </c>
      <c r="BP34" s="11">
        <f t="shared" si="37"/>
        <v>70</v>
      </c>
      <c r="BQ34" s="10">
        <f t="shared" si="38"/>
        <v>18</v>
      </c>
      <c r="BR34" s="11">
        <f t="shared" si="32"/>
        <v>3.8888888888888888</v>
      </c>
      <c r="BS34" s="12">
        <f>BM34+BP34</f>
        <v>135.5</v>
      </c>
      <c r="BT34" s="11">
        <f>BN34+BQ34</f>
        <v>38</v>
      </c>
      <c r="BU34" s="11">
        <f t="shared" si="33"/>
        <v>3.5657894736842106</v>
      </c>
      <c r="BV34" s="86" t="str">
        <f t="shared" si="34"/>
        <v>Cum Laude</v>
      </c>
      <c r="BW34" s="86" t="str">
        <f t="shared" si="35"/>
        <v>Excellent</v>
      </c>
      <c r="BX34" s="92" t="s">
        <v>165</v>
      </c>
    </row>
    <row r="35" spans="1:76" x14ac:dyDescent="0.25">
      <c r="A35" s="7">
        <v>33</v>
      </c>
      <c r="B35" s="150" t="s">
        <v>60</v>
      </c>
      <c r="C35" s="7">
        <v>132414034</v>
      </c>
      <c r="D35" s="7" t="s">
        <v>40</v>
      </c>
      <c r="E35" s="7"/>
      <c r="F35" s="105"/>
      <c r="G35" s="7"/>
      <c r="H35" s="7"/>
      <c r="I35" s="7"/>
      <c r="J35" s="18">
        <v>80</v>
      </c>
      <c r="K35" s="19" t="str">
        <f t="shared" si="0"/>
        <v>A</v>
      </c>
      <c r="L35" s="20">
        <f t="shared" si="1"/>
        <v>4</v>
      </c>
      <c r="M35" s="21">
        <v>2</v>
      </c>
      <c r="N35" s="22">
        <f t="shared" si="2"/>
        <v>8</v>
      </c>
      <c r="O35" s="23">
        <v>75</v>
      </c>
      <c r="P35" s="24" t="str">
        <f t="shared" si="3"/>
        <v>B+</v>
      </c>
      <c r="Q35" s="25">
        <f t="shared" si="4"/>
        <v>3.5</v>
      </c>
      <c r="R35" s="26">
        <v>6</v>
      </c>
      <c r="S35" s="27">
        <f t="shared" si="17"/>
        <v>21</v>
      </c>
      <c r="T35" s="35">
        <v>74</v>
      </c>
      <c r="U35" s="36" t="str">
        <f t="shared" si="5"/>
        <v>B</v>
      </c>
      <c r="V35" s="37">
        <f t="shared" si="18"/>
        <v>3</v>
      </c>
      <c r="W35" s="38">
        <f>3</f>
        <v>3</v>
      </c>
      <c r="X35" s="39">
        <f t="shared" si="19"/>
        <v>9</v>
      </c>
      <c r="Y35" s="32">
        <v>74</v>
      </c>
      <c r="Z35" s="34" t="str">
        <f t="shared" si="6"/>
        <v>B</v>
      </c>
      <c r="AA35" s="33">
        <f t="shared" si="7"/>
        <v>3</v>
      </c>
      <c r="AB35" s="34">
        <v>4</v>
      </c>
      <c r="AC35" s="40">
        <f t="shared" si="8"/>
        <v>12</v>
      </c>
      <c r="AD35" s="53">
        <v>80</v>
      </c>
      <c r="AE35" s="41" t="str">
        <f t="shared" si="9"/>
        <v>A</v>
      </c>
      <c r="AF35" s="28">
        <f t="shared" si="10"/>
        <v>4</v>
      </c>
      <c r="AG35" s="29">
        <v>3</v>
      </c>
      <c r="AH35" s="30">
        <f t="shared" si="11"/>
        <v>12</v>
      </c>
      <c r="AI35" s="31">
        <v>77</v>
      </c>
      <c r="AJ35" s="3" t="str">
        <f t="shared" si="12"/>
        <v>B+</v>
      </c>
      <c r="AK35" s="4">
        <f t="shared" si="13"/>
        <v>3.5</v>
      </c>
      <c r="AL35" s="5">
        <v>2</v>
      </c>
      <c r="AM35" s="6">
        <f t="shared" si="20"/>
        <v>7</v>
      </c>
      <c r="AN35" s="12">
        <v>81</v>
      </c>
      <c r="AO35" s="8" t="str">
        <f t="shared" si="14"/>
        <v>A</v>
      </c>
      <c r="AP35" s="9">
        <f t="shared" si="15"/>
        <v>4</v>
      </c>
      <c r="AQ35" s="8">
        <v>3</v>
      </c>
      <c r="AR35" s="8">
        <f t="shared" si="16"/>
        <v>12</v>
      </c>
      <c r="AS35" s="10">
        <v>78</v>
      </c>
      <c r="AT35" s="8" t="str">
        <f t="shared" si="21"/>
        <v>B+</v>
      </c>
      <c r="AU35" s="9">
        <f t="shared" si="22"/>
        <v>3.5</v>
      </c>
      <c r="AV35" s="141">
        <v>4</v>
      </c>
      <c r="AW35" s="8">
        <f t="shared" si="23"/>
        <v>14</v>
      </c>
      <c r="AX35" s="142">
        <v>82.1</v>
      </c>
      <c r="AY35" s="8" t="str">
        <f t="shared" si="24"/>
        <v>A</v>
      </c>
      <c r="AZ35" s="9">
        <f t="shared" si="25"/>
        <v>4</v>
      </c>
      <c r="BA35" s="143">
        <v>4</v>
      </c>
      <c r="BB35" s="141">
        <f t="shared" si="26"/>
        <v>16</v>
      </c>
      <c r="BC35" s="12">
        <v>81</v>
      </c>
      <c r="BD35" s="8" t="str">
        <f t="shared" si="27"/>
        <v>A</v>
      </c>
      <c r="BE35" s="9">
        <f t="shared" si="28"/>
        <v>4</v>
      </c>
      <c r="BF35" s="8">
        <v>5</v>
      </c>
      <c r="BG35" s="8">
        <f t="shared" si="29"/>
        <v>20</v>
      </c>
      <c r="BH35" s="145">
        <v>76</v>
      </c>
      <c r="BI35" s="8" t="str">
        <f t="shared" si="36"/>
        <v>B+</v>
      </c>
      <c r="BJ35" s="9">
        <f t="shared" si="30"/>
        <v>3.5</v>
      </c>
      <c r="BK35" s="141">
        <v>2</v>
      </c>
      <c r="BL35" s="8">
        <f t="shared" si="31"/>
        <v>7</v>
      </c>
      <c r="BM35" s="11">
        <f>N35+S35+X35+AC35+AM35+AH35</f>
        <v>69</v>
      </c>
      <c r="BN35" s="8">
        <f>AL35+AG35+AB35+W35+R35+M35</f>
        <v>20</v>
      </c>
      <c r="BO35" s="95">
        <f>(BM35/BN35)</f>
        <v>3.45</v>
      </c>
      <c r="BP35" s="11">
        <f t="shared" si="37"/>
        <v>69</v>
      </c>
      <c r="BQ35" s="10">
        <f t="shared" si="38"/>
        <v>18</v>
      </c>
      <c r="BR35" s="11">
        <f t="shared" si="32"/>
        <v>3.8333333333333335</v>
      </c>
      <c r="BS35" s="12">
        <f>BM35+BP35</f>
        <v>138</v>
      </c>
      <c r="BT35" s="11">
        <f>BN35+BQ35</f>
        <v>38</v>
      </c>
      <c r="BU35" s="11">
        <f t="shared" si="33"/>
        <v>3.6315789473684212</v>
      </c>
      <c r="BV35" s="86" t="str">
        <f t="shared" si="34"/>
        <v>Cum Laude</v>
      </c>
      <c r="BW35" s="86" t="str">
        <f t="shared" si="35"/>
        <v>Excellent</v>
      </c>
      <c r="BX35" s="92"/>
    </row>
    <row r="36" spans="1:76" x14ac:dyDescent="0.25">
      <c r="A36" s="7">
        <v>34</v>
      </c>
      <c r="B36" s="7" t="s">
        <v>61</v>
      </c>
      <c r="C36" s="7">
        <v>132414035</v>
      </c>
      <c r="D36" s="7" t="s">
        <v>40</v>
      </c>
      <c r="E36" s="7" t="s">
        <v>130</v>
      </c>
      <c r="F36" s="105" t="s">
        <v>131</v>
      </c>
      <c r="G36" s="7"/>
      <c r="H36" s="7"/>
      <c r="I36" s="7"/>
      <c r="J36" s="18">
        <v>74</v>
      </c>
      <c r="K36" s="19" t="str">
        <f t="shared" si="0"/>
        <v>B</v>
      </c>
      <c r="L36" s="20">
        <f t="shared" si="1"/>
        <v>3</v>
      </c>
      <c r="M36" s="21">
        <v>2</v>
      </c>
      <c r="N36" s="22">
        <f t="shared" si="2"/>
        <v>6</v>
      </c>
      <c r="O36" s="23">
        <v>73</v>
      </c>
      <c r="P36" s="24" t="str">
        <f t="shared" si="3"/>
        <v>B</v>
      </c>
      <c r="Q36" s="25">
        <f t="shared" si="4"/>
        <v>3</v>
      </c>
      <c r="R36" s="26">
        <v>6</v>
      </c>
      <c r="S36" s="27">
        <f t="shared" si="17"/>
        <v>18</v>
      </c>
      <c r="T36" s="35">
        <v>74</v>
      </c>
      <c r="U36" s="36" t="str">
        <f t="shared" si="5"/>
        <v>B</v>
      </c>
      <c r="V36" s="37">
        <f t="shared" si="18"/>
        <v>3</v>
      </c>
      <c r="W36" s="38">
        <f>3</f>
        <v>3</v>
      </c>
      <c r="X36" s="39">
        <f t="shared" si="19"/>
        <v>9</v>
      </c>
      <c r="Y36" s="32">
        <v>75</v>
      </c>
      <c r="Z36" s="34" t="str">
        <f t="shared" si="6"/>
        <v>B+</v>
      </c>
      <c r="AA36" s="33">
        <f t="shared" si="7"/>
        <v>3.5</v>
      </c>
      <c r="AB36" s="34">
        <v>4</v>
      </c>
      <c r="AC36" s="40">
        <f t="shared" si="8"/>
        <v>14</v>
      </c>
      <c r="AD36" s="53">
        <v>77</v>
      </c>
      <c r="AE36" s="41" t="str">
        <f t="shared" si="9"/>
        <v>B+</v>
      </c>
      <c r="AF36" s="28">
        <f t="shared" si="10"/>
        <v>3.5</v>
      </c>
      <c r="AG36" s="29">
        <v>3</v>
      </c>
      <c r="AH36" s="30">
        <f t="shared" si="11"/>
        <v>10.5</v>
      </c>
      <c r="AI36" s="31">
        <v>79</v>
      </c>
      <c r="AJ36" s="3" t="str">
        <f t="shared" si="12"/>
        <v>B+</v>
      </c>
      <c r="AK36" s="4">
        <f t="shared" si="13"/>
        <v>3.5</v>
      </c>
      <c r="AL36" s="5">
        <v>2</v>
      </c>
      <c r="AM36" s="6">
        <f t="shared" si="20"/>
        <v>7</v>
      </c>
      <c r="AN36" s="12">
        <v>81</v>
      </c>
      <c r="AO36" s="8" t="str">
        <f t="shared" si="14"/>
        <v>A</v>
      </c>
      <c r="AP36" s="9">
        <f t="shared" si="15"/>
        <v>4</v>
      </c>
      <c r="AQ36" s="8">
        <v>3</v>
      </c>
      <c r="AR36" s="8">
        <f t="shared" si="16"/>
        <v>12</v>
      </c>
      <c r="AS36" s="10">
        <v>78</v>
      </c>
      <c r="AT36" s="8" t="str">
        <f t="shared" si="21"/>
        <v>B+</v>
      </c>
      <c r="AU36" s="9">
        <f t="shared" si="22"/>
        <v>3.5</v>
      </c>
      <c r="AV36" s="141">
        <v>4</v>
      </c>
      <c r="AW36" s="8">
        <f t="shared" si="23"/>
        <v>14</v>
      </c>
      <c r="AX36" s="142">
        <v>80</v>
      </c>
      <c r="AY36" s="8" t="str">
        <f t="shared" si="24"/>
        <v>A</v>
      </c>
      <c r="AZ36" s="9">
        <f t="shared" si="25"/>
        <v>4</v>
      </c>
      <c r="BA36" s="143">
        <v>4</v>
      </c>
      <c r="BB36" s="141">
        <f t="shared" si="26"/>
        <v>16</v>
      </c>
      <c r="BC36" s="12">
        <v>81</v>
      </c>
      <c r="BD36" s="8" t="str">
        <f t="shared" si="27"/>
        <v>A</v>
      </c>
      <c r="BE36" s="9">
        <f t="shared" si="28"/>
        <v>4</v>
      </c>
      <c r="BF36" s="8">
        <v>5</v>
      </c>
      <c r="BG36" s="8">
        <f t="shared" si="29"/>
        <v>20</v>
      </c>
      <c r="BH36" s="145">
        <v>76</v>
      </c>
      <c r="BI36" s="8" t="str">
        <f t="shared" si="36"/>
        <v>B+</v>
      </c>
      <c r="BJ36" s="9">
        <f t="shared" si="30"/>
        <v>3.5</v>
      </c>
      <c r="BK36" s="141">
        <v>2</v>
      </c>
      <c r="BL36" s="8">
        <f t="shared" si="31"/>
        <v>7</v>
      </c>
      <c r="BM36" s="11">
        <f>N36+S36+X36+AC36+AM36+AH36</f>
        <v>64.5</v>
      </c>
      <c r="BN36" s="8">
        <f>AL36+AG36+AB36+W36+R36+M36</f>
        <v>20</v>
      </c>
      <c r="BO36" s="95">
        <f>(BM36/BN36)</f>
        <v>3.2250000000000001</v>
      </c>
      <c r="BP36" s="11">
        <f t="shared" si="37"/>
        <v>69</v>
      </c>
      <c r="BQ36" s="10">
        <f t="shared" si="38"/>
        <v>18</v>
      </c>
      <c r="BR36" s="11">
        <f t="shared" si="32"/>
        <v>3.8333333333333335</v>
      </c>
      <c r="BS36" s="12">
        <f>BM36+BP36</f>
        <v>133.5</v>
      </c>
      <c r="BT36" s="11">
        <f>BN36+BQ36</f>
        <v>38</v>
      </c>
      <c r="BU36" s="11">
        <f t="shared" si="33"/>
        <v>3.513157894736842</v>
      </c>
      <c r="BV36" s="86" t="str">
        <f t="shared" si="34"/>
        <v>Cum Laude</v>
      </c>
      <c r="BW36" s="86" t="str">
        <f t="shared" si="35"/>
        <v>Excellent</v>
      </c>
      <c r="BX36" s="92" t="s">
        <v>166</v>
      </c>
    </row>
    <row r="37" spans="1:76" ht="15.75" x14ac:dyDescent="0.25">
      <c r="A37" s="57">
        <v>35</v>
      </c>
      <c r="B37" s="57" t="s">
        <v>62</v>
      </c>
      <c r="C37" s="57">
        <v>132414036</v>
      </c>
      <c r="D37" s="57" t="s">
        <v>40</v>
      </c>
      <c r="E37" s="57"/>
      <c r="F37" s="107"/>
      <c r="G37" s="57"/>
      <c r="H37" s="57"/>
      <c r="I37" s="57"/>
      <c r="J37" s="58">
        <v>76</v>
      </c>
      <c r="K37" s="43" t="str">
        <f t="shared" si="0"/>
        <v>B+</v>
      </c>
      <c r="L37" s="59">
        <f t="shared" si="1"/>
        <v>3.5</v>
      </c>
      <c r="M37" s="60">
        <v>2</v>
      </c>
      <c r="N37" s="42">
        <f t="shared" si="2"/>
        <v>7</v>
      </c>
      <c r="O37" s="61">
        <v>74</v>
      </c>
      <c r="P37" s="46" t="str">
        <f t="shared" si="3"/>
        <v>B</v>
      </c>
      <c r="Q37" s="62">
        <f t="shared" si="4"/>
        <v>3</v>
      </c>
      <c r="R37" s="63">
        <v>6</v>
      </c>
      <c r="S37" s="45">
        <f t="shared" si="17"/>
        <v>18</v>
      </c>
      <c r="T37" s="64">
        <v>74</v>
      </c>
      <c r="U37" s="48" t="str">
        <f t="shared" si="5"/>
        <v>B</v>
      </c>
      <c r="V37" s="65">
        <f t="shared" si="18"/>
        <v>3</v>
      </c>
      <c r="W37" s="66">
        <f>3</f>
        <v>3</v>
      </c>
      <c r="X37" s="67">
        <f t="shared" si="19"/>
        <v>9</v>
      </c>
      <c r="Y37" s="68">
        <v>75</v>
      </c>
      <c r="Z37" s="49" t="str">
        <f t="shared" si="6"/>
        <v>B+</v>
      </c>
      <c r="AA37" s="69">
        <f t="shared" si="7"/>
        <v>3.5</v>
      </c>
      <c r="AB37" s="49">
        <v>4</v>
      </c>
      <c r="AC37" s="70">
        <f t="shared" si="8"/>
        <v>14</v>
      </c>
      <c r="AD37" s="71">
        <v>76</v>
      </c>
      <c r="AE37" s="72" t="str">
        <f t="shared" si="9"/>
        <v>B+</v>
      </c>
      <c r="AF37" s="73">
        <f t="shared" si="10"/>
        <v>3.5</v>
      </c>
      <c r="AG37" s="74">
        <v>3</v>
      </c>
      <c r="AH37" s="75">
        <f t="shared" si="11"/>
        <v>10.5</v>
      </c>
      <c r="AI37" s="76">
        <v>79</v>
      </c>
      <c r="AJ37" s="52" t="str">
        <f t="shared" si="12"/>
        <v>B+</v>
      </c>
      <c r="AK37" s="77">
        <f t="shared" si="13"/>
        <v>3.5</v>
      </c>
      <c r="AL37" s="78">
        <v>2</v>
      </c>
      <c r="AM37" s="79">
        <f t="shared" si="20"/>
        <v>7</v>
      </c>
      <c r="AN37" s="81">
        <v>0</v>
      </c>
      <c r="AO37" s="13" t="str">
        <f t="shared" si="14"/>
        <v>E</v>
      </c>
      <c r="AP37" s="82">
        <f t="shared" si="15"/>
        <v>0</v>
      </c>
      <c r="AQ37" s="13">
        <v>3</v>
      </c>
      <c r="AR37" s="13">
        <f t="shared" si="16"/>
        <v>0</v>
      </c>
      <c r="AS37" s="83">
        <v>0</v>
      </c>
      <c r="AT37" s="13" t="str">
        <f t="shared" si="21"/>
        <v>E</v>
      </c>
      <c r="AU37" s="82">
        <f t="shared" si="22"/>
        <v>0</v>
      </c>
      <c r="AV37" s="147">
        <v>4</v>
      </c>
      <c r="AW37" s="13">
        <f t="shared" si="23"/>
        <v>0</v>
      </c>
      <c r="AX37" s="148">
        <v>0</v>
      </c>
      <c r="AY37" s="13" t="str">
        <f t="shared" si="24"/>
        <v>E</v>
      </c>
      <c r="AZ37" s="82">
        <f t="shared" si="25"/>
        <v>0</v>
      </c>
      <c r="BA37" s="14">
        <v>4</v>
      </c>
      <c r="BB37" s="147">
        <f t="shared" si="26"/>
        <v>0</v>
      </c>
      <c r="BC37" s="81">
        <v>0</v>
      </c>
      <c r="BD37" s="13" t="str">
        <f t="shared" si="27"/>
        <v>E</v>
      </c>
      <c r="BE37" s="82">
        <f t="shared" si="28"/>
        <v>0</v>
      </c>
      <c r="BF37" s="13">
        <v>5</v>
      </c>
      <c r="BG37" s="13">
        <f t="shared" si="29"/>
        <v>0</v>
      </c>
      <c r="BH37" s="84">
        <v>0</v>
      </c>
      <c r="BI37" s="13" t="str">
        <f t="shared" si="36"/>
        <v>E</v>
      </c>
      <c r="BJ37" s="82">
        <f t="shared" si="30"/>
        <v>0</v>
      </c>
      <c r="BK37" s="147">
        <v>2</v>
      </c>
      <c r="BL37" s="13">
        <f t="shared" si="31"/>
        <v>0</v>
      </c>
      <c r="BM37" s="80">
        <f>N37+S37+X37+AC37+AM37+AH37</f>
        <v>65.5</v>
      </c>
      <c r="BN37" s="13">
        <f>AL37+AG37+AB37+W37+R37+M37</f>
        <v>20</v>
      </c>
      <c r="BO37" s="96">
        <f>(BM37/BN37)</f>
        <v>3.2749999999999999</v>
      </c>
      <c r="BP37" s="80">
        <f t="shared" si="37"/>
        <v>0</v>
      </c>
      <c r="BQ37" s="83">
        <f t="shared" si="38"/>
        <v>18</v>
      </c>
      <c r="BR37" s="80">
        <f t="shared" si="32"/>
        <v>0</v>
      </c>
      <c r="BS37" s="81">
        <f>BM37+BP37</f>
        <v>65.5</v>
      </c>
      <c r="BT37" s="80">
        <f>BN37+BQ37</f>
        <v>38</v>
      </c>
      <c r="BU37" s="80">
        <f t="shared" si="33"/>
        <v>1.7236842105263157</v>
      </c>
      <c r="BV37" s="86" t="str">
        <f t="shared" si="34"/>
        <v>GAGAL</v>
      </c>
      <c r="BW37" s="86" t="str">
        <f t="shared" si="35"/>
        <v>FAILED</v>
      </c>
      <c r="BX37" s="92"/>
    </row>
    <row r="38" spans="1:76" ht="30" x14ac:dyDescent="0.25">
      <c r="A38" s="7">
        <v>36</v>
      </c>
      <c r="B38" s="7" t="s">
        <v>63</v>
      </c>
      <c r="C38" s="7">
        <v>132414037</v>
      </c>
      <c r="D38" s="7" t="s">
        <v>40</v>
      </c>
      <c r="E38" s="7" t="s">
        <v>132</v>
      </c>
      <c r="F38" s="105" t="s">
        <v>133</v>
      </c>
      <c r="G38" s="7"/>
      <c r="H38" s="7"/>
      <c r="I38" s="7"/>
      <c r="J38" s="18">
        <v>78</v>
      </c>
      <c r="K38" s="19" t="str">
        <f t="shared" si="0"/>
        <v>B+</v>
      </c>
      <c r="L38" s="20">
        <f t="shared" si="1"/>
        <v>3.5</v>
      </c>
      <c r="M38" s="21">
        <v>2</v>
      </c>
      <c r="N38" s="22">
        <f t="shared" si="2"/>
        <v>7</v>
      </c>
      <c r="O38" s="23">
        <v>74</v>
      </c>
      <c r="P38" s="24" t="str">
        <f t="shared" si="3"/>
        <v>B</v>
      </c>
      <c r="Q38" s="25">
        <f t="shared" si="4"/>
        <v>3</v>
      </c>
      <c r="R38" s="26">
        <v>6</v>
      </c>
      <c r="S38" s="27">
        <f t="shared" si="17"/>
        <v>18</v>
      </c>
      <c r="T38" s="35">
        <v>75</v>
      </c>
      <c r="U38" s="36" t="str">
        <f t="shared" si="5"/>
        <v>B+</v>
      </c>
      <c r="V38" s="37">
        <f t="shared" si="18"/>
        <v>3.5</v>
      </c>
      <c r="W38" s="38">
        <f>3</f>
        <v>3</v>
      </c>
      <c r="X38" s="39">
        <f t="shared" si="19"/>
        <v>10.5</v>
      </c>
      <c r="Y38" s="32">
        <v>77</v>
      </c>
      <c r="Z38" s="34" t="str">
        <f t="shared" si="6"/>
        <v>B+</v>
      </c>
      <c r="AA38" s="33">
        <f t="shared" si="7"/>
        <v>3.5</v>
      </c>
      <c r="AB38" s="34">
        <v>4</v>
      </c>
      <c r="AC38" s="40">
        <f t="shared" si="8"/>
        <v>14</v>
      </c>
      <c r="AD38" s="53">
        <v>79</v>
      </c>
      <c r="AE38" s="41" t="str">
        <f t="shared" si="9"/>
        <v>B+</v>
      </c>
      <c r="AF38" s="28">
        <f t="shared" si="10"/>
        <v>3.5</v>
      </c>
      <c r="AG38" s="29">
        <v>3</v>
      </c>
      <c r="AH38" s="30">
        <f t="shared" si="11"/>
        <v>10.5</v>
      </c>
      <c r="AI38" s="31">
        <v>79</v>
      </c>
      <c r="AJ38" s="3" t="str">
        <f t="shared" si="12"/>
        <v>B+</v>
      </c>
      <c r="AK38" s="4">
        <f t="shared" si="13"/>
        <v>3.5</v>
      </c>
      <c r="AL38" s="5">
        <v>2</v>
      </c>
      <c r="AM38" s="6">
        <f t="shared" si="20"/>
        <v>7</v>
      </c>
      <c r="AN38" s="12">
        <v>82</v>
      </c>
      <c r="AO38" s="8" t="str">
        <f t="shared" si="14"/>
        <v>A</v>
      </c>
      <c r="AP38" s="9">
        <f t="shared" si="15"/>
        <v>4</v>
      </c>
      <c r="AQ38" s="8">
        <v>3</v>
      </c>
      <c r="AR38" s="8">
        <f t="shared" si="16"/>
        <v>12</v>
      </c>
      <c r="AS38" s="10">
        <v>80</v>
      </c>
      <c r="AT38" s="8" t="str">
        <f t="shared" si="21"/>
        <v>A</v>
      </c>
      <c r="AU38" s="9">
        <f t="shared" si="22"/>
        <v>4</v>
      </c>
      <c r="AV38" s="141">
        <v>4</v>
      </c>
      <c r="AW38" s="8">
        <f t="shared" si="23"/>
        <v>16</v>
      </c>
      <c r="AX38" s="10">
        <v>83.6</v>
      </c>
      <c r="AY38" s="8" t="str">
        <f t="shared" si="24"/>
        <v>A</v>
      </c>
      <c r="AZ38" s="9">
        <f t="shared" si="25"/>
        <v>4</v>
      </c>
      <c r="BA38" s="143">
        <v>4</v>
      </c>
      <c r="BB38" s="141">
        <f t="shared" si="26"/>
        <v>16</v>
      </c>
      <c r="BC38" s="12">
        <v>82</v>
      </c>
      <c r="BD38" s="8" t="str">
        <f t="shared" si="27"/>
        <v>A</v>
      </c>
      <c r="BE38" s="9">
        <f t="shared" si="28"/>
        <v>4</v>
      </c>
      <c r="BF38" s="8">
        <v>5</v>
      </c>
      <c r="BG38" s="8">
        <f t="shared" si="29"/>
        <v>20</v>
      </c>
      <c r="BH38" s="8">
        <v>82</v>
      </c>
      <c r="BI38" s="8" t="str">
        <f t="shared" si="36"/>
        <v>A</v>
      </c>
      <c r="BJ38" s="9">
        <f t="shared" si="30"/>
        <v>4</v>
      </c>
      <c r="BK38" s="141">
        <v>2</v>
      </c>
      <c r="BL38" s="8">
        <f t="shared" si="31"/>
        <v>8</v>
      </c>
      <c r="BM38" s="11">
        <f>N38+S38+X38+AC38+AM38+AH38</f>
        <v>67</v>
      </c>
      <c r="BN38" s="8">
        <f>AL38+AG38+AB38+W38+R38+M38</f>
        <v>20</v>
      </c>
      <c r="BO38" s="95">
        <f>(BM38/BN38)</f>
        <v>3.35</v>
      </c>
      <c r="BP38" s="11">
        <f t="shared" si="37"/>
        <v>72</v>
      </c>
      <c r="BQ38" s="10">
        <f t="shared" si="38"/>
        <v>18</v>
      </c>
      <c r="BR38" s="11">
        <f t="shared" si="32"/>
        <v>4</v>
      </c>
      <c r="BS38" s="12">
        <f>BM38+BP38</f>
        <v>139</v>
      </c>
      <c r="BT38" s="11">
        <f>BN38+BQ38</f>
        <v>38</v>
      </c>
      <c r="BU38" s="11">
        <f t="shared" si="33"/>
        <v>3.6578947368421053</v>
      </c>
      <c r="BV38" s="86" t="str">
        <f t="shared" si="34"/>
        <v>Cum Laude</v>
      </c>
      <c r="BW38" s="86" t="str">
        <f t="shared" si="35"/>
        <v>Excellent</v>
      </c>
      <c r="BX38" s="92" t="s">
        <v>167</v>
      </c>
    </row>
    <row r="39" spans="1:76" x14ac:dyDescent="0.25">
      <c r="A39" s="7">
        <v>37</v>
      </c>
      <c r="B39" s="7" t="s">
        <v>64</v>
      </c>
      <c r="C39" s="7">
        <v>132414038</v>
      </c>
      <c r="D39" s="7" t="s">
        <v>40</v>
      </c>
      <c r="E39" s="7" t="s">
        <v>101</v>
      </c>
      <c r="F39" s="105" t="s">
        <v>134</v>
      </c>
      <c r="G39" s="7"/>
      <c r="H39" s="7"/>
      <c r="I39" s="7"/>
      <c r="J39" s="18">
        <v>80</v>
      </c>
      <c r="K39" s="19" t="str">
        <f t="shared" si="0"/>
        <v>A</v>
      </c>
      <c r="L39" s="20">
        <f t="shared" si="1"/>
        <v>4</v>
      </c>
      <c r="M39" s="21">
        <v>2</v>
      </c>
      <c r="N39" s="22">
        <f t="shared" si="2"/>
        <v>8</v>
      </c>
      <c r="O39" s="23">
        <v>74</v>
      </c>
      <c r="P39" s="24" t="str">
        <f t="shared" si="3"/>
        <v>B</v>
      </c>
      <c r="Q39" s="25">
        <f t="shared" si="4"/>
        <v>3</v>
      </c>
      <c r="R39" s="26">
        <v>6</v>
      </c>
      <c r="S39" s="27">
        <f t="shared" si="17"/>
        <v>18</v>
      </c>
      <c r="T39" s="35">
        <v>75</v>
      </c>
      <c r="U39" s="36" t="str">
        <f t="shared" si="5"/>
        <v>B+</v>
      </c>
      <c r="V39" s="37">
        <f t="shared" si="18"/>
        <v>3.5</v>
      </c>
      <c r="W39" s="38">
        <f>3</f>
        <v>3</v>
      </c>
      <c r="X39" s="39">
        <f t="shared" si="19"/>
        <v>10.5</v>
      </c>
      <c r="Y39" s="32">
        <v>74</v>
      </c>
      <c r="Z39" s="34" t="str">
        <f t="shared" si="6"/>
        <v>B</v>
      </c>
      <c r="AA39" s="33">
        <f t="shared" si="7"/>
        <v>3</v>
      </c>
      <c r="AB39" s="34">
        <v>4</v>
      </c>
      <c r="AC39" s="40">
        <f t="shared" si="8"/>
        <v>12</v>
      </c>
      <c r="AD39" s="53">
        <v>76</v>
      </c>
      <c r="AE39" s="41" t="str">
        <f t="shared" si="9"/>
        <v>B+</v>
      </c>
      <c r="AF39" s="28">
        <f t="shared" si="10"/>
        <v>3.5</v>
      </c>
      <c r="AG39" s="29">
        <v>3</v>
      </c>
      <c r="AH39" s="30">
        <f t="shared" si="11"/>
        <v>10.5</v>
      </c>
      <c r="AI39" s="31">
        <v>78</v>
      </c>
      <c r="AJ39" s="3" t="str">
        <f t="shared" si="12"/>
        <v>B+</v>
      </c>
      <c r="AK39" s="4">
        <f t="shared" si="13"/>
        <v>3.5</v>
      </c>
      <c r="AL39" s="5">
        <v>2</v>
      </c>
      <c r="AM39" s="6">
        <f t="shared" si="20"/>
        <v>7</v>
      </c>
      <c r="AN39" s="12">
        <v>83</v>
      </c>
      <c r="AO39" s="8" t="str">
        <f t="shared" si="14"/>
        <v>A</v>
      </c>
      <c r="AP39" s="9">
        <f t="shared" si="15"/>
        <v>4</v>
      </c>
      <c r="AQ39" s="8">
        <v>3</v>
      </c>
      <c r="AR39" s="8">
        <f t="shared" si="16"/>
        <v>12</v>
      </c>
      <c r="AS39" s="10">
        <v>79</v>
      </c>
      <c r="AT39" s="8" t="str">
        <f t="shared" si="21"/>
        <v>B+</v>
      </c>
      <c r="AU39" s="9">
        <f t="shared" si="22"/>
        <v>3.5</v>
      </c>
      <c r="AV39" s="141">
        <v>4</v>
      </c>
      <c r="AW39" s="8">
        <f t="shared" si="23"/>
        <v>14</v>
      </c>
      <c r="AX39" s="142">
        <v>82.1</v>
      </c>
      <c r="AY39" s="8" t="str">
        <f t="shared" si="24"/>
        <v>A</v>
      </c>
      <c r="AZ39" s="9">
        <f t="shared" si="25"/>
        <v>4</v>
      </c>
      <c r="BA39" s="143">
        <v>4</v>
      </c>
      <c r="BB39" s="141">
        <f t="shared" si="26"/>
        <v>16</v>
      </c>
      <c r="BC39" s="12">
        <v>83</v>
      </c>
      <c r="BD39" s="8" t="str">
        <f t="shared" si="27"/>
        <v>A</v>
      </c>
      <c r="BE39" s="9">
        <f t="shared" si="28"/>
        <v>4</v>
      </c>
      <c r="BF39" s="8">
        <v>5</v>
      </c>
      <c r="BG39" s="8">
        <f t="shared" si="29"/>
        <v>20</v>
      </c>
      <c r="BH39" s="8">
        <v>81</v>
      </c>
      <c r="BI39" s="8" t="str">
        <f t="shared" si="36"/>
        <v>A</v>
      </c>
      <c r="BJ39" s="9">
        <f t="shared" si="30"/>
        <v>4</v>
      </c>
      <c r="BK39" s="141">
        <v>2</v>
      </c>
      <c r="BL39" s="8">
        <f t="shared" si="31"/>
        <v>8</v>
      </c>
      <c r="BM39" s="11">
        <f>N39+S39+X39+AC39+AM39+AH39</f>
        <v>66</v>
      </c>
      <c r="BN39" s="8">
        <f>AL39+AG39+AB39+W39+R39+M39</f>
        <v>20</v>
      </c>
      <c r="BO39" s="95">
        <f>(BM39/BN39)</f>
        <v>3.3</v>
      </c>
      <c r="BP39" s="11">
        <f t="shared" si="37"/>
        <v>70</v>
      </c>
      <c r="BQ39" s="10">
        <f t="shared" si="38"/>
        <v>18</v>
      </c>
      <c r="BR39" s="11">
        <f t="shared" si="32"/>
        <v>3.8888888888888888</v>
      </c>
      <c r="BS39" s="12">
        <f>BM39+BP39</f>
        <v>136</v>
      </c>
      <c r="BT39" s="11">
        <f>BN39+BQ39</f>
        <v>38</v>
      </c>
      <c r="BU39" s="11">
        <f t="shared" si="33"/>
        <v>3.5789473684210527</v>
      </c>
      <c r="BV39" s="86" t="str">
        <f t="shared" si="34"/>
        <v>Cum Laude</v>
      </c>
      <c r="BW39" s="86" t="str">
        <f t="shared" si="35"/>
        <v>Excellent</v>
      </c>
      <c r="BX39" s="92" t="s">
        <v>168</v>
      </c>
    </row>
    <row r="40" spans="1:76" ht="39.75" customHeight="1" x14ac:dyDescent="0.25">
      <c r="A40" s="7">
        <v>38</v>
      </c>
      <c r="B40" s="151" t="s">
        <v>65</v>
      </c>
      <c r="C40" s="17">
        <v>132414039</v>
      </c>
      <c r="D40" s="7" t="s">
        <v>40</v>
      </c>
      <c r="E40" s="7" t="s">
        <v>105</v>
      </c>
      <c r="F40" s="105" t="s">
        <v>135</v>
      </c>
      <c r="G40" s="7"/>
      <c r="H40" s="7"/>
      <c r="I40" s="7"/>
      <c r="J40" s="18">
        <v>74</v>
      </c>
      <c r="K40" s="19" t="str">
        <f t="shared" si="0"/>
        <v>B</v>
      </c>
      <c r="L40" s="20">
        <f t="shared" si="1"/>
        <v>3</v>
      </c>
      <c r="M40" s="21">
        <v>2</v>
      </c>
      <c r="N40" s="22">
        <f t="shared" si="2"/>
        <v>6</v>
      </c>
      <c r="O40" s="23">
        <v>73</v>
      </c>
      <c r="P40" s="24" t="str">
        <f t="shared" si="3"/>
        <v>B</v>
      </c>
      <c r="Q40" s="25">
        <f t="shared" si="4"/>
        <v>3</v>
      </c>
      <c r="R40" s="26">
        <v>6</v>
      </c>
      <c r="S40" s="27">
        <f t="shared" si="17"/>
        <v>18</v>
      </c>
      <c r="T40" s="35">
        <v>75</v>
      </c>
      <c r="U40" s="36" t="str">
        <f t="shared" si="5"/>
        <v>B+</v>
      </c>
      <c r="V40" s="37">
        <f t="shared" si="18"/>
        <v>3.5</v>
      </c>
      <c r="W40" s="38">
        <f>3</f>
        <v>3</v>
      </c>
      <c r="X40" s="39">
        <f t="shared" si="19"/>
        <v>10.5</v>
      </c>
      <c r="Y40" s="32">
        <v>73</v>
      </c>
      <c r="Z40" s="34" t="str">
        <f t="shared" si="6"/>
        <v>B</v>
      </c>
      <c r="AA40" s="33">
        <f t="shared" si="7"/>
        <v>3</v>
      </c>
      <c r="AB40" s="34">
        <v>4</v>
      </c>
      <c r="AC40" s="40">
        <f t="shared" si="8"/>
        <v>12</v>
      </c>
      <c r="AD40" s="53">
        <v>75</v>
      </c>
      <c r="AE40" s="41" t="str">
        <f t="shared" si="9"/>
        <v>B+</v>
      </c>
      <c r="AF40" s="28">
        <f t="shared" si="10"/>
        <v>3.5</v>
      </c>
      <c r="AG40" s="29">
        <v>3</v>
      </c>
      <c r="AH40" s="30">
        <f t="shared" si="11"/>
        <v>10.5</v>
      </c>
      <c r="AI40" s="31">
        <v>76</v>
      </c>
      <c r="AJ40" s="3" t="str">
        <f t="shared" si="12"/>
        <v>B+</v>
      </c>
      <c r="AK40" s="4">
        <f t="shared" si="13"/>
        <v>3.5</v>
      </c>
      <c r="AL40" s="5">
        <v>2</v>
      </c>
      <c r="AM40" s="6">
        <f t="shared" si="20"/>
        <v>7</v>
      </c>
      <c r="AN40" s="12">
        <v>79</v>
      </c>
      <c r="AO40" s="8" t="str">
        <f t="shared" si="14"/>
        <v>B+</v>
      </c>
      <c r="AP40" s="9">
        <f t="shared" si="15"/>
        <v>3.5</v>
      </c>
      <c r="AQ40" s="8">
        <v>3</v>
      </c>
      <c r="AR40" s="8">
        <f t="shared" si="16"/>
        <v>10.5</v>
      </c>
      <c r="AS40" s="10">
        <v>75</v>
      </c>
      <c r="AT40" s="8" t="str">
        <f t="shared" si="21"/>
        <v>B+</v>
      </c>
      <c r="AU40" s="9">
        <f t="shared" si="22"/>
        <v>3.5</v>
      </c>
      <c r="AV40" s="141">
        <v>4</v>
      </c>
      <c r="AW40" s="8">
        <f t="shared" si="23"/>
        <v>14</v>
      </c>
      <c r="AX40" s="110">
        <v>75</v>
      </c>
      <c r="AY40" s="8" t="str">
        <f t="shared" si="24"/>
        <v>B+</v>
      </c>
      <c r="AZ40" s="9">
        <f t="shared" si="25"/>
        <v>3.5</v>
      </c>
      <c r="BA40" s="143">
        <v>4</v>
      </c>
      <c r="BB40" s="141">
        <f t="shared" si="26"/>
        <v>14</v>
      </c>
      <c r="BC40" s="12">
        <v>80</v>
      </c>
      <c r="BD40" s="8" t="str">
        <f t="shared" si="27"/>
        <v>A</v>
      </c>
      <c r="BE40" s="9">
        <f t="shared" si="28"/>
        <v>4</v>
      </c>
      <c r="BF40" s="8">
        <v>5</v>
      </c>
      <c r="BG40" s="8">
        <f t="shared" si="29"/>
        <v>20</v>
      </c>
      <c r="BH40" s="8">
        <v>80</v>
      </c>
      <c r="BI40" s="8" t="str">
        <f t="shared" si="36"/>
        <v>A</v>
      </c>
      <c r="BJ40" s="9">
        <f t="shared" si="30"/>
        <v>4</v>
      </c>
      <c r="BK40" s="141">
        <v>2</v>
      </c>
      <c r="BL40" s="8">
        <f t="shared" si="31"/>
        <v>8</v>
      </c>
      <c r="BM40" s="11">
        <f>N40+S40+X40+AC40+AM40+AH40</f>
        <v>64</v>
      </c>
      <c r="BN40" s="8">
        <f>AL40+AG40+AB40+W40+R40+M40</f>
        <v>20</v>
      </c>
      <c r="BO40" s="95">
        <f>(BM40/BN40)</f>
        <v>3.2</v>
      </c>
      <c r="BP40" s="11">
        <f t="shared" si="37"/>
        <v>66.5</v>
      </c>
      <c r="BQ40" s="10">
        <f t="shared" si="38"/>
        <v>18</v>
      </c>
      <c r="BR40" s="11">
        <f t="shared" si="32"/>
        <v>3.6944444444444446</v>
      </c>
      <c r="BS40" s="12">
        <f>BM40+BP40</f>
        <v>130.5</v>
      </c>
      <c r="BT40" s="11">
        <f>BN40+BQ40</f>
        <v>38</v>
      </c>
      <c r="BU40" s="11">
        <f t="shared" si="33"/>
        <v>3.4342105263157894</v>
      </c>
      <c r="BV40" s="86" t="str">
        <f t="shared" si="34"/>
        <v>Sangat Memuaskan</v>
      </c>
      <c r="BW40" s="86" t="str">
        <f t="shared" si="35"/>
        <v>Highly Satisfactory</v>
      </c>
      <c r="BX40" s="92"/>
    </row>
    <row r="41" spans="1:76" x14ac:dyDescent="0.25">
      <c r="A41" s="7">
        <v>39</v>
      </c>
      <c r="B41" s="17" t="s">
        <v>66</v>
      </c>
      <c r="C41" s="17">
        <v>132414040</v>
      </c>
      <c r="D41" s="7" t="s">
        <v>40</v>
      </c>
      <c r="E41" s="7" t="s">
        <v>103</v>
      </c>
      <c r="F41" s="105" t="s">
        <v>136</v>
      </c>
      <c r="G41" s="7"/>
      <c r="H41" s="7"/>
      <c r="I41" s="7"/>
      <c r="J41" s="18">
        <v>74</v>
      </c>
      <c r="K41" s="19" t="str">
        <f t="shared" si="0"/>
        <v>B</v>
      </c>
      <c r="L41" s="20">
        <f t="shared" si="1"/>
        <v>3</v>
      </c>
      <c r="M41" s="21">
        <v>2</v>
      </c>
      <c r="N41" s="22">
        <f t="shared" si="2"/>
        <v>6</v>
      </c>
      <c r="O41" s="23">
        <v>75</v>
      </c>
      <c r="P41" s="24" t="str">
        <f t="shared" si="3"/>
        <v>B+</v>
      </c>
      <c r="Q41" s="25">
        <f t="shared" si="4"/>
        <v>3.5</v>
      </c>
      <c r="R41" s="26">
        <v>6</v>
      </c>
      <c r="S41" s="27">
        <f t="shared" si="17"/>
        <v>21</v>
      </c>
      <c r="T41" s="35">
        <v>75</v>
      </c>
      <c r="U41" s="36" t="str">
        <f t="shared" si="5"/>
        <v>B+</v>
      </c>
      <c r="V41" s="37">
        <f t="shared" si="18"/>
        <v>3.5</v>
      </c>
      <c r="W41" s="38">
        <f>3</f>
        <v>3</v>
      </c>
      <c r="X41" s="39">
        <f t="shared" si="19"/>
        <v>10.5</v>
      </c>
      <c r="Y41" s="32">
        <v>73</v>
      </c>
      <c r="Z41" s="34" t="str">
        <f t="shared" si="6"/>
        <v>B</v>
      </c>
      <c r="AA41" s="33">
        <f t="shared" si="7"/>
        <v>3</v>
      </c>
      <c r="AB41" s="34">
        <v>4</v>
      </c>
      <c r="AC41" s="40">
        <f t="shared" si="8"/>
        <v>12</v>
      </c>
      <c r="AD41" s="53">
        <v>80</v>
      </c>
      <c r="AE41" s="41" t="str">
        <f t="shared" si="9"/>
        <v>A</v>
      </c>
      <c r="AF41" s="28">
        <f t="shared" si="10"/>
        <v>4</v>
      </c>
      <c r="AG41" s="29">
        <v>3</v>
      </c>
      <c r="AH41" s="30">
        <f t="shared" si="11"/>
        <v>12</v>
      </c>
      <c r="AI41" s="31">
        <v>80</v>
      </c>
      <c r="AJ41" s="3" t="str">
        <f t="shared" si="12"/>
        <v>A</v>
      </c>
      <c r="AK41" s="4">
        <f t="shared" si="13"/>
        <v>4</v>
      </c>
      <c r="AL41" s="5">
        <v>2</v>
      </c>
      <c r="AM41" s="6">
        <f t="shared" si="20"/>
        <v>8</v>
      </c>
      <c r="AN41" s="12">
        <v>84</v>
      </c>
      <c r="AO41" s="8" t="str">
        <f t="shared" si="14"/>
        <v>A</v>
      </c>
      <c r="AP41" s="9">
        <f t="shared" si="15"/>
        <v>4</v>
      </c>
      <c r="AQ41" s="8">
        <v>3</v>
      </c>
      <c r="AR41" s="8">
        <f t="shared" si="16"/>
        <v>12</v>
      </c>
      <c r="AS41" s="10">
        <v>78</v>
      </c>
      <c r="AT41" s="8" t="str">
        <f t="shared" si="21"/>
        <v>B+</v>
      </c>
      <c r="AU41" s="9">
        <f t="shared" si="22"/>
        <v>3.5</v>
      </c>
      <c r="AV41" s="141">
        <v>4</v>
      </c>
      <c r="AW41" s="8">
        <f t="shared" si="23"/>
        <v>14</v>
      </c>
      <c r="AX41" s="146">
        <v>75</v>
      </c>
      <c r="AY41" s="8" t="str">
        <f t="shared" si="24"/>
        <v>B+</v>
      </c>
      <c r="AZ41" s="9">
        <f t="shared" si="25"/>
        <v>3.5</v>
      </c>
      <c r="BA41" s="143">
        <v>4</v>
      </c>
      <c r="BB41" s="141">
        <f t="shared" si="26"/>
        <v>14</v>
      </c>
      <c r="BC41" s="12">
        <v>84</v>
      </c>
      <c r="BD41" s="8" t="str">
        <f t="shared" si="27"/>
        <v>A</v>
      </c>
      <c r="BE41" s="9">
        <f t="shared" si="28"/>
        <v>4</v>
      </c>
      <c r="BF41" s="8">
        <v>5</v>
      </c>
      <c r="BG41" s="8">
        <f t="shared" si="29"/>
        <v>20</v>
      </c>
      <c r="BH41" s="8">
        <v>82</v>
      </c>
      <c r="BI41" s="8" t="str">
        <f t="shared" si="36"/>
        <v>A</v>
      </c>
      <c r="BJ41" s="9">
        <f t="shared" si="30"/>
        <v>4</v>
      </c>
      <c r="BK41" s="141">
        <v>2</v>
      </c>
      <c r="BL41" s="8">
        <f t="shared" si="31"/>
        <v>8</v>
      </c>
      <c r="BM41" s="11">
        <f>N41+S41+X41+AC41+AM41+AH41</f>
        <v>69.5</v>
      </c>
      <c r="BN41" s="8">
        <f>AL41+AG41+AB41+W41+R41+M41</f>
        <v>20</v>
      </c>
      <c r="BO41" s="95">
        <f>(BM41/BN41)</f>
        <v>3.4750000000000001</v>
      </c>
      <c r="BP41" s="11">
        <f t="shared" si="37"/>
        <v>68</v>
      </c>
      <c r="BQ41" s="10">
        <f t="shared" si="38"/>
        <v>18</v>
      </c>
      <c r="BR41" s="11">
        <f t="shared" si="32"/>
        <v>3.7777777777777777</v>
      </c>
      <c r="BS41" s="12">
        <f>BM41+BP41</f>
        <v>137.5</v>
      </c>
      <c r="BT41" s="11">
        <f>BN41+BQ41</f>
        <v>38</v>
      </c>
      <c r="BU41" s="11">
        <f t="shared" si="33"/>
        <v>3.6184210526315788</v>
      </c>
      <c r="BV41" s="86" t="str">
        <f t="shared" si="34"/>
        <v>Cum Laude</v>
      </c>
      <c r="BW41" s="86" t="str">
        <f t="shared" si="35"/>
        <v>Excellent</v>
      </c>
      <c r="BX41" s="92" t="s">
        <v>169</v>
      </c>
    </row>
    <row r="42" spans="1:76" ht="30" x14ac:dyDescent="0.25">
      <c r="A42" s="7">
        <v>40</v>
      </c>
      <c r="B42" s="151" t="s">
        <v>67</v>
      </c>
      <c r="C42" s="17">
        <v>132414041</v>
      </c>
      <c r="D42" s="7" t="s">
        <v>40</v>
      </c>
      <c r="E42" s="7"/>
      <c r="F42" s="105"/>
      <c r="G42" s="7"/>
      <c r="H42" s="7"/>
      <c r="I42" s="7"/>
      <c r="J42" s="18">
        <v>75</v>
      </c>
      <c r="K42" s="19" t="str">
        <f t="shared" si="0"/>
        <v>B+</v>
      </c>
      <c r="L42" s="20">
        <f t="shared" si="1"/>
        <v>3.5</v>
      </c>
      <c r="M42" s="21">
        <v>2</v>
      </c>
      <c r="N42" s="22">
        <f t="shared" si="2"/>
        <v>7</v>
      </c>
      <c r="O42" s="23">
        <v>74</v>
      </c>
      <c r="P42" s="24" t="str">
        <f t="shared" si="3"/>
        <v>B</v>
      </c>
      <c r="Q42" s="25">
        <f t="shared" si="4"/>
        <v>3</v>
      </c>
      <c r="R42" s="26">
        <v>6</v>
      </c>
      <c r="S42" s="27">
        <f t="shared" si="17"/>
        <v>18</v>
      </c>
      <c r="T42" s="35">
        <v>75</v>
      </c>
      <c r="U42" s="36" t="str">
        <f t="shared" si="5"/>
        <v>B+</v>
      </c>
      <c r="V42" s="37">
        <f t="shared" si="18"/>
        <v>3.5</v>
      </c>
      <c r="W42" s="38">
        <f>3</f>
        <v>3</v>
      </c>
      <c r="X42" s="39">
        <f t="shared" si="19"/>
        <v>10.5</v>
      </c>
      <c r="Y42" s="32">
        <v>73</v>
      </c>
      <c r="Z42" s="34" t="str">
        <f t="shared" si="6"/>
        <v>B</v>
      </c>
      <c r="AA42" s="33">
        <f t="shared" si="7"/>
        <v>3</v>
      </c>
      <c r="AB42" s="34">
        <v>4</v>
      </c>
      <c r="AC42" s="40">
        <f t="shared" si="8"/>
        <v>12</v>
      </c>
      <c r="AD42" s="53">
        <v>77</v>
      </c>
      <c r="AE42" s="41" t="str">
        <f t="shared" si="9"/>
        <v>B+</v>
      </c>
      <c r="AF42" s="28">
        <f t="shared" si="10"/>
        <v>3.5</v>
      </c>
      <c r="AG42" s="29">
        <v>3</v>
      </c>
      <c r="AH42" s="30">
        <f t="shared" si="11"/>
        <v>10.5</v>
      </c>
      <c r="AI42" s="31">
        <v>77</v>
      </c>
      <c r="AJ42" s="3" t="str">
        <f t="shared" si="12"/>
        <v>B+</v>
      </c>
      <c r="AK42" s="4">
        <f t="shared" si="13"/>
        <v>3.5</v>
      </c>
      <c r="AL42" s="5">
        <v>2</v>
      </c>
      <c r="AM42" s="6">
        <f t="shared" si="20"/>
        <v>7</v>
      </c>
      <c r="AN42" s="12">
        <v>81</v>
      </c>
      <c r="AO42" s="8" t="str">
        <f t="shared" si="14"/>
        <v>A</v>
      </c>
      <c r="AP42" s="9">
        <f t="shared" si="15"/>
        <v>4</v>
      </c>
      <c r="AQ42" s="8">
        <v>3</v>
      </c>
      <c r="AR42" s="8">
        <f t="shared" si="16"/>
        <v>12</v>
      </c>
      <c r="AS42" s="10">
        <v>79</v>
      </c>
      <c r="AT42" s="8" t="str">
        <f t="shared" si="21"/>
        <v>B+</v>
      </c>
      <c r="AU42" s="9">
        <f t="shared" si="22"/>
        <v>3.5</v>
      </c>
      <c r="AV42" s="141">
        <v>4</v>
      </c>
      <c r="AW42" s="8">
        <f t="shared" si="23"/>
        <v>14</v>
      </c>
      <c r="AX42" s="142">
        <v>76.900000000000006</v>
      </c>
      <c r="AY42" s="8" t="str">
        <f t="shared" si="24"/>
        <v>B+</v>
      </c>
      <c r="AZ42" s="9">
        <f t="shared" si="25"/>
        <v>3.5</v>
      </c>
      <c r="BA42" s="143">
        <v>4</v>
      </c>
      <c r="BB42" s="141">
        <f t="shared" si="26"/>
        <v>14</v>
      </c>
      <c r="BC42" s="12">
        <v>81</v>
      </c>
      <c r="BD42" s="8" t="str">
        <f t="shared" si="27"/>
        <v>A</v>
      </c>
      <c r="BE42" s="9">
        <f t="shared" si="28"/>
        <v>4</v>
      </c>
      <c r="BF42" s="8">
        <v>5</v>
      </c>
      <c r="BG42" s="8">
        <f t="shared" si="29"/>
        <v>20</v>
      </c>
      <c r="BH42" s="145">
        <v>76</v>
      </c>
      <c r="BI42" s="8" t="str">
        <f t="shared" si="36"/>
        <v>B+</v>
      </c>
      <c r="BJ42" s="9">
        <f t="shared" si="30"/>
        <v>3.5</v>
      </c>
      <c r="BK42" s="141">
        <v>2</v>
      </c>
      <c r="BL42" s="8">
        <f t="shared" si="31"/>
        <v>7</v>
      </c>
      <c r="BM42" s="11">
        <f>N42+S42+X42+AC42+AM42+AH42</f>
        <v>65</v>
      </c>
      <c r="BN42" s="8">
        <f>AL42+AG42+AB42+W42+R42+M42</f>
        <v>20</v>
      </c>
      <c r="BO42" s="95">
        <f>(BM42/BN42)</f>
        <v>3.25</v>
      </c>
      <c r="BP42" s="11">
        <f t="shared" si="37"/>
        <v>67</v>
      </c>
      <c r="BQ42" s="10">
        <f t="shared" si="38"/>
        <v>18</v>
      </c>
      <c r="BR42" s="11">
        <f t="shared" si="32"/>
        <v>3.7222222222222223</v>
      </c>
      <c r="BS42" s="12">
        <f>BM42+BP42</f>
        <v>132</v>
      </c>
      <c r="BT42" s="11">
        <f>BN42+BQ42</f>
        <v>38</v>
      </c>
      <c r="BU42" s="11">
        <f t="shared" si="33"/>
        <v>3.4736842105263159</v>
      </c>
      <c r="BV42" s="86" t="str">
        <f t="shared" si="34"/>
        <v>Sangat Memuaskan</v>
      </c>
      <c r="BW42" s="86" t="str">
        <f t="shared" si="35"/>
        <v>Highly Satisfactory</v>
      </c>
      <c r="BX42" s="92"/>
    </row>
    <row r="43" spans="1:76" ht="30" x14ac:dyDescent="0.25">
      <c r="A43" s="7">
        <v>41</v>
      </c>
      <c r="B43" s="17" t="s">
        <v>68</v>
      </c>
      <c r="C43" s="17">
        <v>132414042</v>
      </c>
      <c r="D43" s="7" t="s">
        <v>40</v>
      </c>
      <c r="E43" s="7" t="s">
        <v>137</v>
      </c>
      <c r="F43" s="105" t="s">
        <v>138</v>
      </c>
      <c r="G43" s="7"/>
      <c r="H43" s="7"/>
      <c r="I43" s="7"/>
      <c r="J43" s="18">
        <v>75</v>
      </c>
      <c r="K43" s="19" t="str">
        <f t="shared" si="0"/>
        <v>B+</v>
      </c>
      <c r="L43" s="20">
        <f t="shared" si="1"/>
        <v>3.5</v>
      </c>
      <c r="M43" s="21">
        <v>2</v>
      </c>
      <c r="N43" s="22">
        <f t="shared" si="2"/>
        <v>7</v>
      </c>
      <c r="O43" s="23">
        <v>74</v>
      </c>
      <c r="P43" s="24" t="str">
        <f t="shared" si="3"/>
        <v>B</v>
      </c>
      <c r="Q43" s="25">
        <f t="shared" si="4"/>
        <v>3</v>
      </c>
      <c r="R43" s="26">
        <v>6</v>
      </c>
      <c r="S43" s="27">
        <f t="shared" si="17"/>
        <v>18</v>
      </c>
      <c r="T43" s="35">
        <v>75</v>
      </c>
      <c r="U43" s="36" t="str">
        <f t="shared" si="5"/>
        <v>B+</v>
      </c>
      <c r="V43" s="37">
        <f t="shared" si="18"/>
        <v>3.5</v>
      </c>
      <c r="W43" s="38">
        <f>3</f>
        <v>3</v>
      </c>
      <c r="X43" s="39">
        <f t="shared" si="19"/>
        <v>10.5</v>
      </c>
      <c r="Y43" s="32">
        <v>75</v>
      </c>
      <c r="Z43" s="34" t="str">
        <f t="shared" si="6"/>
        <v>B+</v>
      </c>
      <c r="AA43" s="33">
        <f t="shared" si="7"/>
        <v>3.5</v>
      </c>
      <c r="AB43" s="34">
        <v>4</v>
      </c>
      <c r="AC43" s="40">
        <f t="shared" si="8"/>
        <v>14</v>
      </c>
      <c r="AD43" s="53">
        <v>76</v>
      </c>
      <c r="AE43" s="41" t="str">
        <f t="shared" si="9"/>
        <v>B+</v>
      </c>
      <c r="AF43" s="28">
        <f t="shared" si="10"/>
        <v>3.5</v>
      </c>
      <c r="AG43" s="29">
        <v>3</v>
      </c>
      <c r="AH43" s="30">
        <f t="shared" si="11"/>
        <v>10.5</v>
      </c>
      <c r="AI43" s="31">
        <v>77</v>
      </c>
      <c r="AJ43" s="3" t="str">
        <f t="shared" si="12"/>
        <v>B+</v>
      </c>
      <c r="AK43" s="4">
        <f t="shared" si="13"/>
        <v>3.5</v>
      </c>
      <c r="AL43" s="5">
        <v>2</v>
      </c>
      <c r="AM43" s="6">
        <f t="shared" si="20"/>
        <v>7</v>
      </c>
      <c r="AN43" s="12">
        <v>79</v>
      </c>
      <c r="AO43" s="8" t="str">
        <f t="shared" si="14"/>
        <v>B+</v>
      </c>
      <c r="AP43" s="9">
        <f t="shared" si="15"/>
        <v>3.5</v>
      </c>
      <c r="AQ43" s="8">
        <v>3</v>
      </c>
      <c r="AR43" s="8">
        <f t="shared" si="16"/>
        <v>10.5</v>
      </c>
      <c r="AS43" s="10">
        <v>78</v>
      </c>
      <c r="AT43" s="8" t="str">
        <f t="shared" si="21"/>
        <v>B+</v>
      </c>
      <c r="AU43" s="9">
        <f t="shared" si="22"/>
        <v>3.5</v>
      </c>
      <c r="AV43" s="141">
        <v>4</v>
      </c>
      <c r="AW43" s="8">
        <f t="shared" si="23"/>
        <v>14</v>
      </c>
      <c r="AX43" s="146">
        <v>75</v>
      </c>
      <c r="AY43" s="8" t="str">
        <f t="shared" si="24"/>
        <v>B+</v>
      </c>
      <c r="AZ43" s="9">
        <f t="shared" si="25"/>
        <v>3.5</v>
      </c>
      <c r="BA43" s="143">
        <v>4</v>
      </c>
      <c r="BB43" s="141">
        <f t="shared" si="26"/>
        <v>14</v>
      </c>
      <c r="BC43" s="12">
        <v>80</v>
      </c>
      <c r="BD43" s="8" t="str">
        <f t="shared" si="27"/>
        <v>A</v>
      </c>
      <c r="BE43" s="9">
        <f t="shared" si="28"/>
        <v>4</v>
      </c>
      <c r="BF43" s="8">
        <v>5</v>
      </c>
      <c r="BG43" s="8">
        <f t="shared" si="29"/>
        <v>20</v>
      </c>
      <c r="BH43" s="8">
        <v>80</v>
      </c>
      <c r="BI43" s="8" t="str">
        <f t="shared" si="36"/>
        <v>A</v>
      </c>
      <c r="BJ43" s="9">
        <f t="shared" si="30"/>
        <v>4</v>
      </c>
      <c r="BK43" s="141">
        <v>2</v>
      </c>
      <c r="BL43" s="8">
        <f t="shared" si="31"/>
        <v>8</v>
      </c>
      <c r="BM43" s="11">
        <f>N43+S43+X43+AC43+AM43+AH43</f>
        <v>67</v>
      </c>
      <c r="BN43" s="8">
        <f>AL43+AG43+AB43+W43+R43+M43</f>
        <v>20</v>
      </c>
      <c r="BO43" s="95">
        <f>(BM43/BN43)</f>
        <v>3.35</v>
      </c>
      <c r="BP43" s="11">
        <f t="shared" si="37"/>
        <v>66.5</v>
      </c>
      <c r="BQ43" s="10">
        <f t="shared" si="38"/>
        <v>18</v>
      </c>
      <c r="BR43" s="11">
        <f t="shared" si="32"/>
        <v>3.6944444444444446</v>
      </c>
      <c r="BS43" s="12">
        <f>BM43+BP43</f>
        <v>133.5</v>
      </c>
      <c r="BT43" s="11">
        <f>BN43+BQ43</f>
        <v>38</v>
      </c>
      <c r="BU43" s="11">
        <f t="shared" si="33"/>
        <v>3.513157894736842</v>
      </c>
      <c r="BV43" s="86" t="str">
        <f t="shared" si="34"/>
        <v>Cum Laude</v>
      </c>
      <c r="BW43" s="86" t="str">
        <f t="shared" si="35"/>
        <v>Excellent</v>
      </c>
      <c r="BX43" s="92" t="s">
        <v>170</v>
      </c>
    </row>
    <row r="44" spans="1:76" ht="15.75" x14ac:dyDescent="0.25">
      <c r="B44" s="1"/>
      <c r="C44" s="1"/>
      <c r="D44" s="1"/>
      <c r="J44" s="2"/>
      <c r="K44" s="1"/>
      <c r="L44" s="1"/>
      <c r="M44" s="1"/>
      <c r="N44" s="1"/>
      <c r="O44" s="2"/>
      <c r="P44" s="1"/>
      <c r="Q44" s="1"/>
      <c r="R44" s="1"/>
      <c r="S44" s="1"/>
      <c r="T44" s="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54"/>
      <c r="AX44" s="1"/>
      <c r="AY44" s="1"/>
      <c r="AZ44" s="1"/>
      <c r="BA44" s="1"/>
      <c r="BB44" s="1"/>
      <c r="BC44" s="1"/>
      <c r="BD44" s="1"/>
      <c r="BE44" s="1"/>
      <c r="BF44" s="1"/>
      <c r="BG44" s="54"/>
      <c r="BH44" s="1"/>
      <c r="BI44" s="1"/>
      <c r="BJ44" s="1"/>
      <c r="BK44" s="1"/>
      <c r="BL44" s="1"/>
      <c r="BM44" s="1"/>
      <c r="BN44" s="1"/>
      <c r="BO44" s="97"/>
      <c r="BP44" s="1"/>
      <c r="BQ44" s="1"/>
      <c r="BR44" s="55"/>
      <c r="BS44" s="16"/>
      <c r="BT44" s="1"/>
      <c r="BU44" s="56"/>
    </row>
    <row r="45" spans="1:76" x14ac:dyDescent="0.25">
      <c r="B45" s="85"/>
      <c r="C45" s="85"/>
    </row>
    <row r="46" spans="1:76" x14ac:dyDescent="0.25">
      <c r="B46" s="85"/>
      <c r="C46" s="85"/>
    </row>
    <row r="47" spans="1:76" x14ac:dyDescent="0.25">
      <c r="B47" s="85"/>
      <c r="C47" s="85"/>
    </row>
    <row r="48" spans="1:76" x14ac:dyDescent="0.25">
      <c r="B48" s="85"/>
      <c r="C48" s="85"/>
    </row>
    <row r="49" spans="2:3" x14ac:dyDescent="0.25">
      <c r="B49" s="85"/>
      <c r="C49" s="85"/>
    </row>
    <row r="50" spans="2:3" x14ac:dyDescent="0.25">
      <c r="B50" s="85"/>
      <c r="C50" s="85"/>
    </row>
    <row r="51" spans="2:3" x14ac:dyDescent="0.25">
      <c r="B51" s="85"/>
      <c r="C51" s="85"/>
    </row>
    <row r="52" spans="2:3" x14ac:dyDescent="0.25">
      <c r="B52" s="85"/>
      <c r="C52" s="85"/>
    </row>
    <row r="53" spans="2:3" x14ac:dyDescent="0.25">
      <c r="B53" s="85"/>
      <c r="C53" s="85"/>
    </row>
    <row r="54" spans="2:3" x14ac:dyDescent="0.25">
      <c r="B54" s="85"/>
      <c r="C54" s="85"/>
    </row>
    <row r="55" spans="2:3" x14ac:dyDescent="0.25">
      <c r="B55" s="85"/>
      <c r="C55" s="85"/>
    </row>
    <row r="56" spans="2:3" x14ac:dyDescent="0.25">
      <c r="B56" s="85"/>
      <c r="C56" s="85"/>
    </row>
    <row r="57" spans="2:3" x14ac:dyDescent="0.25">
      <c r="B57" s="85"/>
      <c r="C57" s="85"/>
    </row>
    <row r="58" spans="2:3" x14ac:dyDescent="0.25">
      <c r="B58" s="85"/>
      <c r="C58" s="85"/>
    </row>
    <row r="59" spans="2:3" x14ac:dyDescent="0.25">
      <c r="B59" s="85"/>
      <c r="C59" s="85"/>
    </row>
  </sheetData>
  <mergeCells count="30">
    <mergeCell ref="BV1:BV2"/>
    <mergeCell ref="BW1:BW2"/>
    <mergeCell ref="BX1:BX2"/>
    <mergeCell ref="H1:H2"/>
    <mergeCell ref="BR1:BR2"/>
    <mergeCell ref="BU1:BU2"/>
    <mergeCell ref="AX1:BB1"/>
    <mergeCell ref="BC1:BG1"/>
    <mergeCell ref="BH1:BL1"/>
    <mergeCell ref="BP1:BP2"/>
    <mergeCell ref="BQ1:BQ2"/>
    <mergeCell ref="BM1:BM2"/>
    <mergeCell ref="BN1:BN2"/>
    <mergeCell ref="BO1:BO2"/>
    <mergeCell ref="AN1:AR1"/>
    <mergeCell ref="AS1:AW1"/>
    <mergeCell ref="O1:S1"/>
    <mergeCell ref="T1:X1"/>
    <mergeCell ref="Y1:AC1"/>
    <mergeCell ref="AD1:AH1"/>
    <mergeCell ref="AI1:AM1"/>
    <mergeCell ref="A1:A2"/>
    <mergeCell ref="B1:B2"/>
    <mergeCell ref="C1:C2"/>
    <mergeCell ref="D1:D2"/>
    <mergeCell ref="J1:N1"/>
    <mergeCell ref="I1:I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2025-11-30T06:37:21Z</dcterms:created>
  <dcterms:modified xsi:type="dcterms:W3CDTF">2025-11-30T09:07:59Z</dcterms:modified>
</cp:coreProperties>
</file>