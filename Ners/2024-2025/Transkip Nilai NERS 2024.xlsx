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Ners\2024-2025\"/>
    </mc:Choice>
  </mc:AlternateContent>
  <xr:revisionPtr revIDLastSave="0" documentId="13_ncr:1_{7C87C64B-6978-45EB-8A6E-A2993BC5E678}" xr6:coauthVersionLast="47" xr6:coauthVersionMax="47" xr10:uidLastSave="{00000000-0000-0000-0000-000000000000}"/>
  <bookViews>
    <workbookView xWindow="0" yWindow="360" windowWidth="29040" windowHeight="15720" xr2:uid="{334A25BB-288C-4A5C-B9BF-5A8A0F233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34" i="1" l="1"/>
  <c r="BH34" i="1"/>
  <c r="BI34" i="1" s="1"/>
  <c r="BK34" i="1" s="1"/>
  <c r="BC34" i="1"/>
  <c r="BD34" i="1" s="1"/>
  <c r="BF34" i="1" s="1"/>
  <c r="AX34" i="1"/>
  <c r="AY34" i="1" s="1"/>
  <c r="BA34" i="1" s="1"/>
  <c r="AS34" i="1"/>
  <c r="AT34" i="1" s="1"/>
  <c r="AV34" i="1" s="1"/>
  <c r="AN34" i="1"/>
  <c r="AO34" i="1" s="1"/>
  <c r="AQ34" i="1" s="1"/>
  <c r="AI34" i="1"/>
  <c r="AJ34" i="1" s="1"/>
  <c r="AL34" i="1" s="1"/>
  <c r="AD34" i="1"/>
  <c r="AE34" i="1" s="1"/>
  <c r="AG34" i="1" s="1"/>
  <c r="Y34" i="1"/>
  <c r="Z34" i="1" s="1"/>
  <c r="AB34" i="1" s="1"/>
  <c r="V34" i="1"/>
  <c r="BM34" i="1" s="1"/>
  <c r="T34" i="1"/>
  <c r="U34" i="1" s="1"/>
  <c r="O34" i="1"/>
  <c r="P34" i="1" s="1"/>
  <c r="R34" i="1" s="1"/>
  <c r="J34" i="1"/>
  <c r="K34" i="1" s="1"/>
  <c r="M34" i="1" s="1"/>
  <c r="BP33" i="1"/>
  <c r="BH33" i="1"/>
  <c r="BI33" i="1" s="1"/>
  <c r="BK33" i="1" s="1"/>
  <c r="BC33" i="1"/>
  <c r="BD33" i="1" s="1"/>
  <c r="BF33" i="1" s="1"/>
  <c r="AX33" i="1"/>
  <c r="AY33" i="1" s="1"/>
  <c r="BA33" i="1" s="1"/>
  <c r="AS33" i="1"/>
  <c r="AT33" i="1" s="1"/>
  <c r="AV33" i="1" s="1"/>
  <c r="AN33" i="1"/>
  <c r="AO33" i="1" s="1"/>
  <c r="AQ33" i="1" s="1"/>
  <c r="AI33" i="1"/>
  <c r="AJ33" i="1" s="1"/>
  <c r="AL33" i="1" s="1"/>
  <c r="AD33" i="1"/>
  <c r="AE33" i="1" s="1"/>
  <c r="AG33" i="1" s="1"/>
  <c r="Y33" i="1"/>
  <c r="Z33" i="1" s="1"/>
  <c r="AB33" i="1" s="1"/>
  <c r="V33" i="1"/>
  <c r="BM33" i="1" s="1"/>
  <c r="T33" i="1"/>
  <c r="U33" i="1" s="1"/>
  <c r="O33" i="1"/>
  <c r="P33" i="1" s="1"/>
  <c r="R33" i="1" s="1"/>
  <c r="J33" i="1"/>
  <c r="K33" i="1" s="1"/>
  <c r="M33" i="1" s="1"/>
  <c r="BP32" i="1"/>
  <c r="BH32" i="1"/>
  <c r="BI32" i="1" s="1"/>
  <c r="BK32" i="1" s="1"/>
  <c r="BC32" i="1"/>
  <c r="BD32" i="1" s="1"/>
  <c r="BF32" i="1" s="1"/>
  <c r="AX32" i="1"/>
  <c r="AY32" i="1" s="1"/>
  <c r="BA32" i="1" s="1"/>
  <c r="AS32" i="1"/>
  <c r="AT32" i="1" s="1"/>
  <c r="AV32" i="1" s="1"/>
  <c r="AN32" i="1"/>
  <c r="AO32" i="1" s="1"/>
  <c r="AQ32" i="1" s="1"/>
  <c r="AI32" i="1"/>
  <c r="AJ32" i="1" s="1"/>
  <c r="AL32" i="1" s="1"/>
  <c r="AD32" i="1"/>
  <c r="AE32" i="1" s="1"/>
  <c r="AG32" i="1" s="1"/>
  <c r="Y32" i="1"/>
  <c r="Z32" i="1" s="1"/>
  <c r="AB32" i="1" s="1"/>
  <c r="V32" i="1"/>
  <c r="BM32" i="1" s="1"/>
  <c r="T32" i="1"/>
  <c r="U32" i="1" s="1"/>
  <c r="O32" i="1"/>
  <c r="P32" i="1" s="1"/>
  <c r="R32" i="1" s="1"/>
  <c r="J32" i="1"/>
  <c r="K32" i="1" s="1"/>
  <c r="M32" i="1" s="1"/>
  <c r="BP31" i="1"/>
  <c r="BH31" i="1"/>
  <c r="BI31" i="1" s="1"/>
  <c r="BK31" i="1" s="1"/>
  <c r="BC31" i="1"/>
  <c r="BD31" i="1" s="1"/>
  <c r="BF31" i="1" s="1"/>
  <c r="AX31" i="1"/>
  <c r="AY31" i="1" s="1"/>
  <c r="BA31" i="1" s="1"/>
  <c r="AS31" i="1"/>
  <c r="AT31" i="1" s="1"/>
  <c r="AV31" i="1" s="1"/>
  <c r="AN31" i="1"/>
  <c r="AO31" i="1" s="1"/>
  <c r="AQ31" i="1" s="1"/>
  <c r="AI31" i="1"/>
  <c r="AJ31" i="1" s="1"/>
  <c r="AL31" i="1" s="1"/>
  <c r="AD31" i="1"/>
  <c r="AE31" i="1" s="1"/>
  <c r="AG31" i="1" s="1"/>
  <c r="Y31" i="1"/>
  <c r="Z31" i="1" s="1"/>
  <c r="AB31" i="1" s="1"/>
  <c r="V31" i="1"/>
  <c r="BM31" i="1" s="1"/>
  <c r="T31" i="1"/>
  <c r="U31" i="1" s="1"/>
  <c r="O31" i="1"/>
  <c r="P31" i="1" s="1"/>
  <c r="R31" i="1" s="1"/>
  <c r="J31" i="1"/>
  <c r="K31" i="1" s="1"/>
  <c r="M31" i="1" s="1"/>
  <c r="BP30" i="1"/>
  <c r="BH30" i="1"/>
  <c r="BI30" i="1" s="1"/>
  <c r="BK30" i="1" s="1"/>
  <c r="BC30" i="1"/>
  <c r="BD30" i="1" s="1"/>
  <c r="BF30" i="1" s="1"/>
  <c r="AX30" i="1"/>
  <c r="AY30" i="1" s="1"/>
  <c r="BA30" i="1" s="1"/>
  <c r="AS30" i="1"/>
  <c r="AT30" i="1" s="1"/>
  <c r="AV30" i="1" s="1"/>
  <c r="AN30" i="1"/>
  <c r="AO30" i="1" s="1"/>
  <c r="AQ30" i="1" s="1"/>
  <c r="AI30" i="1"/>
  <c r="AJ30" i="1" s="1"/>
  <c r="AL30" i="1" s="1"/>
  <c r="AD30" i="1"/>
  <c r="AE30" i="1" s="1"/>
  <c r="AG30" i="1" s="1"/>
  <c r="Y30" i="1"/>
  <c r="Z30" i="1" s="1"/>
  <c r="AB30" i="1" s="1"/>
  <c r="V30" i="1"/>
  <c r="BM30" i="1" s="1"/>
  <c r="T30" i="1"/>
  <c r="U30" i="1" s="1"/>
  <c r="O30" i="1"/>
  <c r="P30" i="1" s="1"/>
  <c r="R30" i="1" s="1"/>
  <c r="J30" i="1"/>
  <c r="K30" i="1" s="1"/>
  <c r="M30" i="1" s="1"/>
  <c r="BP29" i="1"/>
  <c r="BH29" i="1"/>
  <c r="BI29" i="1" s="1"/>
  <c r="BK29" i="1" s="1"/>
  <c r="BC29" i="1"/>
  <c r="BD29" i="1" s="1"/>
  <c r="BF29" i="1" s="1"/>
  <c r="AX29" i="1"/>
  <c r="AY29" i="1" s="1"/>
  <c r="BA29" i="1" s="1"/>
  <c r="AS29" i="1"/>
  <c r="AT29" i="1" s="1"/>
  <c r="AV29" i="1" s="1"/>
  <c r="AN29" i="1"/>
  <c r="AO29" i="1" s="1"/>
  <c r="AQ29" i="1" s="1"/>
  <c r="AI29" i="1"/>
  <c r="AJ29" i="1" s="1"/>
  <c r="AL29" i="1" s="1"/>
  <c r="AD29" i="1"/>
  <c r="AE29" i="1" s="1"/>
  <c r="AG29" i="1" s="1"/>
  <c r="Y29" i="1"/>
  <c r="Z29" i="1" s="1"/>
  <c r="AB29" i="1" s="1"/>
  <c r="V29" i="1"/>
  <c r="BM29" i="1" s="1"/>
  <c r="T29" i="1"/>
  <c r="U29" i="1" s="1"/>
  <c r="O29" i="1"/>
  <c r="P29" i="1" s="1"/>
  <c r="R29" i="1" s="1"/>
  <c r="J29" i="1"/>
  <c r="K29" i="1" s="1"/>
  <c r="M29" i="1" s="1"/>
  <c r="BP28" i="1"/>
  <c r="BH28" i="1"/>
  <c r="BI28" i="1" s="1"/>
  <c r="BK28" i="1" s="1"/>
  <c r="BC28" i="1"/>
  <c r="BD28" i="1" s="1"/>
  <c r="BF28" i="1" s="1"/>
  <c r="AX28" i="1"/>
  <c r="AY28" i="1" s="1"/>
  <c r="BA28" i="1" s="1"/>
  <c r="AS28" i="1"/>
  <c r="AT28" i="1" s="1"/>
  <c r="AV28" i="1" s="1"/>
  <c r="AN28" i="1"/>
  <c r="AO28" i="1" s="1"/>
  <c r="AQ28" i="1" s="1"/>
  <c r="AI28" i="1"/>
  <c r="AJ28" i="1" s="1"/>
  <c r="AL28" i="1" s="1"/>
  <c r="AD28" i="1"/>
  <c r="AE28" i="1" s="1"/>
  <c r="AG28" i="1" s="1"/>
  <c r="Y28" i="1"/>
  <c r="Z28" i="1" s="1"/>
  <c r="AB28" i="1" s="1"/>
  <c r="V28" i="1"/>
  <c r="BM28" i="1" s="1"/>
  <c r="T28" i="1"/>
  <c r="U28" i="1" s="1"/>
  <c r="O28" i="1"/>
  <c r="P28" i="1" s="1"/>
  <c r="R28" i="1" s="1"/>
  <c r="J28" i="1"/>
  <c r="K28" i="1" s="1"/>
  <c r="M28" i="1" s="1"/>
  <c r="BP27" i="1"/>
  <c r="BH27" i="1"/>
  <c r="BI27" i="1" s="1"/>
  <c r="BK27" i="1" s="1"/>
  <c r="BC27" i="1"/>
  <c r="BD27" i="1" s="1"/>
  <c r="BF27" i="1" s="1"/>
  <c r="AX27" i="1"/>
  <c r="AY27" i="1" s="1"/>
  <c r="BA27" i="1" s="1"/>
  <c r="AS27" i="1"/>
  <c r="AT27" i="1" s="1"/>
  <c r="AV27" i="1" s="1"/>
  <c r="AN27" i="1"/>
  <c r="AO27" i="1" s="1"/>
  <c r="AQ27" i="1" s="1"/>
  <c r="AI27" i="1"/>
  <c r="AJ27" i="1" s="1"/>
  <c r="AL27" i="1" s="1"/>
  <c r="AD27" i="1"/>
  <c r="AE27" i="1" s="1"/>
  <c r="AG27" i="1" s="1"/>
  <c r="Y27" i="1"/>
  <c r="Z27" i="1" s="1"/>
  <c r="AB27" i="1" s="1"/>
  <c r="V27" i="1"/>
  <c r="BM27" i="1" s="1"/>
  <c r="T27" i="1"/>
  <c r="U27" i="1" s="1"/>
  <c r="O27" i="1"/>
  <c r="P27" i="1" s="1"/>
  <c r="R27" i="1" s="1"/>
  <c r="J27" i="1"/>
  <c r="K27" i="1" s="1"/>
  <c r="M27" i="1" s="1"/>
  <c r="BP26" i="1"/>
  <c r="BH26" i="1"/>
  <c r="BI26" i="1" s="1"/>
  <c r="BK26" i="1" s="1"/>
  <c r="BC26" i="1"/>
  <c r="BD26" i="1" s="1"/>
  <c r="BF26" i="1" s="1"/>
  <c r="AX26" i="1"/>
  <c r="AY26" i="1" s="1"/>
  <c r="BA26" i="1" s="1"/>
  <c r="AS26" i="1"/>
  <c r="AT26" i="1" s="1"/>
  <c r="AV26" i="1" s="1"/>
  <c r="AN26" i="1"/>
  <c r="AO26" i="1" s="1"/>
  <c r="AQ26" i="1" s="1"/>
  <c r="AI26" i="1"/>
  <c r="AJ26" i="1" s="1"/>
  <c r="AL26" i="1" s="1"/>
  <c r="AD26" i="1"/>
  <c r="AE26" i="1" s="1"/>
  <c r="AG26" i="1" s="1"/>
  <c r="Y26" i="1"/>
  <c r="Z26" i="1" s="1"/>
  <c r="AB26" i="1" s="1"/>
  <c r="V26" i="1"/>
  <c r="BM26" i="1" s="1"/>
  <c r="T26" i="1"/>
  <c r="U26" i="1" s="1"/>
  <c r="O26" i="1"/>
  <c r="P26" i="1" s="1"/>
  <c r="R26" i="1" s="1"/>
  <c r="J26" i="1"/>
  <c r="K26" i="1" s="1"/>
  <c r="M26" i="1" s="1"/>
  <c r="BP25" i="1"/>
  <c r="BH25" i="1"/>
  <c r="BI25" i="1" s="1"/>
  <c r="BK25" i="1" s="1"/>
  <c r="BC25" i="1"/>
  <c r="BD25" i="1" s="1"/>
  <c r="BF25" i="1" s="1"/>
  <c r="AX25" i="1"/>
  <c r="AY25" i="1" s="1"/>
  <c r="BA25" i="1" s="1"/>
  <c r="AS25" i="1"/>
  <c r="AT25" i="1" s="1"/>
  <c r="AV25" i="1" s="1"/>
  <c r="AN25" i="1"/>
  <c r="AO25" i="1" s="1"/>
  <c r="AQ25" i="1" s="1"/>
  <c r="AI25" i="1"/>
  <c r="AJ25" i="1" s="1"/>
  <c r="AL25" i="1" s="1"/>
  <c r="AD25" i="1"/>
  <c r="AE25" i="1" s="1"/>
  <c r="AG25" i="1" s="1"/>
  <c r="Y25" i="1"/>
  <c r="Z25" i="1" s="1"/>
  <c r="AB25" i="1" s="1"/>
  <c r="V25" i="1"/>
  <c r="BM25" i="1" s="1"/>
  <c r="T25" i="1"/>
  <c r="U25" i="1" s="1"/>
  <c r="O25" i="1"/>
  <c r="P25" i="1" s="1"/>
  <c r="R25" i="1" s="1"/>
  <c r="J25" i="1"/>
  <c r="K25" i="1" s="1"/>
  <c r="M25" i="1" s="1"/>
  <c r="BP24" i="1"/>
  <c r="BH24" i="1"/>
  <c r="BI24" i="1" s="1"/>
  <c r="BK24" i="1" s="1"/>
  <c r="BC24" i="1"/>
  <c r="BD24" i="1" s="1"/>
  <c r="BF24" i="1" s="1"/>
  <c r="AX24" i="1"/>
  <c r="AY24" i="1" s="1"/>
  <c r="BA24" i="1" s="1"/>
  <c r="AS24" i="1"/>
  <c r="AT24" i="1" s="1"/>
  <c r="AV24" i="1" s="1"/>
  <c r="AN24" i="1"/>
  <c r="AO24" i="1" s="1"/>
  <c r="AQ24" i="1" s="1"/>
  <c r="AI24" i="1"/>
  <c r="AJ24" i="1" s="1"/>
  <c r="AL24" i="1" s="1"/>
  <c r="AD24" i="1"/>
  <c r="AE24" i="1" s="1"/>
  <c r="AG24" i="1" s="1"/>
  <c r="Y24" i="1"/>
  <c r="Z24" i="1" s="1"/>
  <c r="AB24" i="1" s="1"/>
  <c r="V24" i="1"/>
  <c r="BM24" i="1" s="1"/>
  <c r="T24" i="1"/>
  <c r="U24" i="1" s="1"/>
  <c r="O24" i="1"/>
  <c r="P24" i="1" s="1"/>
  <c r="R24" i="1" s="1"/>
  <c r="J24" i="1"/>
  <c r="K24" i="1" s="1"/>
  <c r="M24" i="1" s="1"/>
  <c r="BP23" i="1"/>
  <c r="BH23" i="1"/>
  <c r="BI23" i="1" s="1"/>
  <c r="BK23" i="1" s="1"/>
  <c r="BC23" i="1"/>
  <c r="BD23" i="1" s="1"/>
  <c r="BF23" i="1" s="1"/>
  <c r="AX23" i="1"/>
  <c r="AY23" i="1" s="1"/>
  <c r="BA23" i="1" s="1"/>
  <c r="AS23" i="1"/>
  <c r="AT23" i="1" s="1"/>
  <c r="AV23" i="1" s="1"/>
  <c r="AN23" i="1"/>
  <c r="AO23" i="1" s="1"/>
  <c r="AQ23" i="1" s="1"/>
  <c r="AI23" i="1"/>
  <c r="AJ23" i="1" s="1"/>
  <c r="AL23" i="1" s="1"/>
  <c r="AD23" i="1"/>
  <c r="AE23" i="1" s="1"/>
  <c r="AG23" i="1" s="1"/>
  <c r="Y23" i="1"/>
  <c r="Z23" i="1" s="1"/>
  <c r="AB23" i="1" s="1"/>
  <c r="V23" i="1"/>
  <c r="BM23" i="1" s="1"/>
  <c r="T23" i="1"/>
  <c r="U23" i="1" s="1"/>
  <c r="O23" i="1"/>
  <c r="P23" i="1" s="1"/>
  <c r="R23" i="1" s="1"/>
  <c r="J23" i="1"/>
  <c r="K23" i="1" s="1"/>
  <c r="M23" i="1" s="1"/>
  <c r="BP22" i="1"/>
  <c r="BH22" i="1"/>
  <c r="BI22" i="1" s="1"/>
  <c r="BK22" i="1" s="1"/>
  <c r="BC22" i="1"/>
  <c r="BD22" i="1" s="1"/>
  <c r="BF22" i="1" s="1"/>
  <c r="AX22" i="1"/>
  <c r="AY22" i="1" s="1"/>
  <c r="BA22" i="1" s="1"/>
  <c r="AS22" i="1"/>
  <c r="AT22" i="1" s="1"/>
  <c r="AV22" i="1" s="1"/>
  <c r="AN22" i="1"/>
  <c r="AO22" i="1" s="1"/>
  <c r="AQ22" i="1" s="1"/>
  <c r="AI22" i="1"/>
  <c r="AJ22" i="1" s="1"/>
  <c r="AL22" i="1" s="1"/>
  <c r="AD22" i="1"/>
  <c r="AE22" i="1" s="1"/>
  <c r="AG22" i="1" s="1"/>
  <c r="Y22" i="1"/>
  <c r="Z22" i="1" s="1"/>
  <c r="AB22" i="1" s="1"/>
  <c r="V22" i="1"/>
  <c r="BM22" i="1" s="1"/>
  <c r="T22" i="1"/>
  <c r="U22" i="1" s="1"/>
  <c r="O22" i="1"/>
  <c r="P22" i="1" s="1"/>
  <c r="R22" i="1" s="1"/>
  <c r="J22" i="1"/>
  <c r="K22" i="1" s="1"/>
  <c r="M22" i="1" s="1"/>
  <c r="BP21" i="1"/>
  <c r="BH21" i="1"/>
  <c r="BI21" i="1" s="1"/>
  <c r="BK21" i="1" s="1"/>
  <c r="BC21" i="1"/>
  <c r="BD21" i="1" s="1"/>
  <c r="BF21" i="1" s="1"/>
  <c r="AX21" i="1"/>
  <c r="AY21" i="1" s="1"/>
  <c r="BA21" i="1" s="1"/>
  <c r="AS21" i="1"/>
  <c r="AT21" i="1" s="1"/>
  <c r="AV21" i="1" s="1"/>
  <c r="AN21" i="1"/>
  <c r="AO21" i="1" s="1"/>
  <c r="AQ21" i="1" s="1"/>
  <c r="AI21" i="1"/>
  <c r="AJ21" i="1" s="1"/>
  <c r="AL21" i="1" s="1"/>
  <c r="AD21" i="1"/>
  <c r="AE21" i="1" s="1"/>
  <c r="AG21" i="1" s="1"/>
  <c r="Y21" i="1"/>
  <c r="Z21" i="1" s="1"/>
  <c r="AB21" i="1" s="1"/>
  <c r="V21" i="1"/>
  <c r="BM21" i="1" s="1"/>
  <c r="T21" i="1"/>
  <c r="U21" i="1" s="1"/>
  <c r="O21" i="1"/>
  <c r="P21" i="1" s="1"/>
  <c r="R21" i="1" s="1"/>
  <c r="J21" i="1"/>
  <c r="K21" i="1" s="1"/>
  <c r="M21" i="1" s="1"/>
  <c r="BP20" i="1"/>
  <c r="BH20" i="1"/>
  <c r="BI20" i="1" s="1"/>
  <c r="BK20" i="1" s="1"/>
  <c r="BC20" i="1"/>
  <c r="BD20" i="1" s="1"/>
  <c r="BF20" i="1" s="1"/>
  <c r="AX20" i="1"/>
  <c r="AY20" i="1" s="1"/>
  <c r="BA20" i="1" s="1"/>
  <c r="AS20" i="1"/>
  <c r="AT20" i="1" s="1"/>
  <c r="AV20" i="1" s="1"/>
  <c r="AN20" i="1"/>
  <c r="AO20" i="1" s="1"/>
  <c r="AQ20" i="1" s="1"/>
  <c r="AI20" i="1"/>
  <c r="AJ20" i="1" s="1"/>
  <c r="AL20" i="1" s="1"/>
  <c r="AD20" i="1"/>
  <c r="AE20" i="1" s="1"/>
  <c r="AG20" i="1" s="1"/>
  <c r="Y20" i="1"/>
  <c r="Z20" i="1" s="1"/>
  <c r="AB20" i="1" s="1"/>
  <c r="V20" i="1"/>
  <c r="BM20" i="1" s="1"/>
  <c r="T20" i="1"/>
  <c r="U20" i="1" s="1"/>
  <c r="O20" i="1"/>
  <c r="P20" i="1" s="1"/>
  <c r="R20" i="1" s="1"/>
  <c r="J20" i="1"/>
  <c r="K20" i="1" s="1"/>
  <c r="M20" i="1" s="1"/>
  <c r="BP19" i="1"/>
  <c r="BH19" i="1"/>
  <c r="BI19" i="1" s="1"/>
  <c r="BK19" i="1" s="1"/>
  <c r="BC19" i="1"/>
  <c r="BD19" i="1" s="1"/>
  <c r="BF19" i="1" s="1"/>
  <c r="AX19" i="1"/>
  <c r="AY19" i="1" s="1"/>
  <c r="BA19" i="1" s="1"/>
  <c r="AS19" i="1"/>
  <c r="AT19" i="1" s="1"/>
  <c r="AV19" i="1" s="1"/>
  <c r="AN19" i="1"/>
  <c r="AO19" i="1" s="1"/>
  <c r="AQ19" i="1" s="1"/>
  <c r="AI19" i="1"/>
  <c r="AJ19" i="1" s="1"/>
  <c r="AL19" i="1" s="1"/>
  <c r="AD19" i="1"/>
  <c r="AE19" i="1" s="1"/>
  <c r="AG19" i="1" s="1"/>
  <c r="Y19" i="1"/>
  <c r="Z19" i="1" s="1"/>
  <c r="AB19" i="1" s="1"/>
  <c r="V19" i="1"/>
  <c r="BM19" i="1" s="1"/>
  <c r="T19" i="1"/>
  <c r="U19" i="1" s="1"/>
  <c r="O19" i="1"/>
  <c r="P19" i="1" s="1"/>
  <c r="R19" i="1" s="1"/>
  <c r="J19" i="1"/>
  <c r="K19" i="1" s="1"/>
  <c r="M19" i="1" s="1"/>
  <c r="BP18" i="1"/>
  <c r="BH18" i="1"/>
  <c r="BI18" i="1" s="1"/>
  <c r="BK18" i="1" s="1"/>
  <c r="BC18" i="1"/>
  <c r="BD18" i="1" s="1"/>
  <c r="BF18" i="1" s="1"/>
  <c r="AX18" i="1"/>
  <c r="AY18" i="1" s="1"/>
  <c r="BA18" i="1" s="1"/>
  <c r="AS18" i="1"/>
  <c r="AT18" i="1" s="1"/>
  <c r="AV18" i="1" s="1"/>
  <c r="AN18" i="1"/>
  <c r="AO18" i="1" s="1"/>
  <c r="AQ18" i="1" s="1"/>
  <c r="AI18" i="1"/>
  <c r="AJ18" i="1" s="1"/>
  <c r="AL18" i="1" s="1"/>
  <c r="AD18" i="1"/>
  <c r="AE18" i="1" s="1"/>
  <c r="AG18" i="1" s="1"/>
  <c r="Y18" i="1"/>
  <c r="Z18" i="1" s="1"/>
  <c r="AB18" i="1" s="1"/>
  <c r="V18" i="1"/>
  <c r="BM18" i="1" s="1"/>
  <c r="T18" i="1"/>
  <c r="U18" i="1" s="1"/>
  <c r="O18" i="1"/>
  <c r="P18" i="1" s="1"/>
  <c r="R18" i="1" s="1"/>
  <c r="J18" i="1"/>
  <c r="K18" i="1" s="1"/>
  <c r="M18" i="1" s="1"/>
  <c r="BP17" i="1"/>
  <c r="BH17" i="1"/>
  <c r="BI17" i="1" s="1"/>
  <c r="BK17" i="1" s="1"/>
  <c r="BC17" i="1"/>
  <c r="BD17" i="1" s="1"/>
  <c r="BF17" i="1" s="1"/>
  <c r="AX17" i="1"/>
  <c r="AY17" i="1" s="1"/>
  <c r="BA17" i="1" s="1"/>
  <c r="AS17" i="1"/>
  <c r="AT17" i="1" s="1"/>
  <c r="AV17" i="1" s="1"/>
  <c r="AN17" i="1"/>
  <c r="AO17" i="1" s="1"/>
  <c r="AQ17" i="1" s="1"/>
  <c r="AI17" i="1"/>
  <c r="AJ17" i="1" s="1"/>
  <c r="AL17" i="1" s="1"/>
  <c r="AD17" i="1"/>
  <c r="AE17" i="1" s="1"/>
  <c r="AG17" i="1" s="1"/>
  <c r="Y17" i="1"/>
  <c r="Z17" i="1" s="1"/>
  <c r="AB17" i="1" s="1"/>
  <c r="V17" i="1"/>
  <c r="BM17" i="1" s="1"/>
  <c r="T17" i="1"/>
  <c r="U17" i="1" s="1"/>
  <c r="O17" i="1"/>
  <c r="P17" i="1" s="1"/>
  <c r="R17" i="1" s="1"/>
  <c r="J17" i="1"/>
  <c r="K17" i="1" s="1"/>
  <c r="M17" i="1" s="1"/>
  <c r="BP16" i="1"/>
  <c r="BH16" i="1"/>
  <c r="BI16" i="1" s="1"/>
  <c r="BK16" i="1" s="1"/>
  <c r="BC16" i="1"/>
  <c r="BD16" i="1" s="1"/>
  <c r="BF16" i="1" s="1"/>
  <c r="AX16" i="1"/>
  <c r="AY16" i="1" s="1"/>
  <c r="BA16" i="1" s="1"/>
  <c r="AS16" i="1"/>
  <c r="AT16" i="1" s="1"/>
  <c r="AV16" i="1" s="1"/>
  <c r="AN16" i="1"/>
  <c r="AO16" i="1" s="1"/>
  <c r="AQ16" i="1" s="1"/>
  <c r="AI16" i="1"/>
  <c r="AJ16" i="1" s="1"/>
  <c r="AL16" i="1" s="1"/>
  <c r="AD16" i="1"/>
  <c r="AE16" i="1" s="1"/>
  <c r="AG16" i="1" s="1"/>
  <c r="Y16" i="1"/>
  <c r="Z16" i="1" s="1"/>
  <c r="AB16" i="1" s="1"/>
  <c r="V16" i="1"/>
  <c r="BM16" i="1" s="1"/>
  <c r="T16" i="1"/>
  <c r="U16" i="1" s="1"/>
  <c r="O16" i="1"/>
  <c r="P16" i="1" s="1"/>
  <c r="R16" i="1" s="1"/>
  <c r="J16" i="1"/>
  <c r="K16" i="1" s="1"/>
  <c r="M16" i="1" s="1"/>
  <c r="BP15" i="1"/>
  <c r="BH15" i="1"/>
  <c r="BI15" i="1" s="1"/>
  <c r="BK15" i="1" s="1"/>
  <c r="BC15" i="1"/>
  <c r="BD15" i="1" s="1"/>
  <c r="BF15" i="1" s="1"/>
  <c r="AX15" i="1"/>
  <c r="AY15" i="1" s="1"/>
  <c r="BA15" i="1" s="1"/>
  <c r="AS15" i="1"/>
  <c r="AT15" i="1" s="1"/>
  <c r="AV15" i="1" s="1"/>
  <c r="AN15" i="1"/>
  <c r="AO15" i="1" s="1"/>
  <c r="AQ15" i="1" s="1"/>
  <c r="AI15" i="1"/>
  <c r="AJ15" i="1" s="1"/>
  <c r="AL15" i="1" s="1"/>
  <c r="AD15" i="1"/>
  <c r="AE15" i="1" s="1"/>
  <c r="AG15" i="1" s="1"/>
  <c r="Y15" i="1"/>
  <c r="Z15" i="1" s="1"/>
  <c r="AB15" i="1" s="1"/>
  <c r="V15" i="1"/>
  <c r="BM15" i="1" s="1"/>
  <c r="T15" i="1"/>
  <c r="U15" i="1" s="1"/>
  <c r="O15" i="1"/>
  <c r="P15" i="1" s="1"/>
  <c r="R15" i="1" s="1"/>
  <c r="J15" i="1"/>
  <c r="K15" i="1" s="1"/>
  <c r="M15" i="1" s="1"/>
  <c r="BP14" i="1"/>
  <c r="BH14" i="1"/>
  <c r="BI14" i="1" s="1"/>
  <c r="BK14" i="1" s="1"/>
  <c r="BC14" i="1"/>
  <c r="BD14" i="1" s="1"/>
  <c r="BF14" i="1" s="1"/>
  <c r="AX14" i="1"/>
  <c r="AY14" i="1" s="1"/>
  <c r="BA14" i="1" s="1"/>
  <c r="AS14" i="1"/>
  <c r="AT14" i="1" s="1"/>
  <c r="AV14" i="1" s="1"/>
  <c r="AN14" i="1"/>
  <c r="AO14" i="1" s="1"/>
  <c r="AQ14" i="1" s="1"/>
  <c r="AI14" i="1"/>
  <c r="AJ14" i="1" s="1"/>
  <c r="AL14" i="1" s="1"/>
  <c r="AD14" i="1"/>
  <c r="AE14" i="1" s="1"/>
  <c r="AG14" i="1" s="1"/>
  <c r="Y14" i="1"/>
  <c r="Z14" i="1" s="1"/>
  <c r="AB14" i="1" s="1"/>
  <c r="V14" i="1"/>
  <c r="BM14" i="1" s="1"/>
  <c r="T14" i="1"/>
  <c r="U14" i="1" s="1"/>
  <c r="O14" i="1"/>
  <c r="P14" i="1" s="1"/>
  <c r="R14" i="1" s="1"/>
  <c r="J14" i="1"/>
  <c r="K14" i="1" s="1"/>
  <c r="M14" i="1" s="1"/>
  <c r="BP13" i="1"/>
  <c r="BH13" i="1"/>
  <c r="BI13" i="1" s="1"/>
  <c r="BK13" i="1" s="1"/>
  <c r="BC13" i="1"/>
  <c r="BD13" i="1" s="1"/>
  <c r="BF13" i="1" s="1"/>
  <c r="AX13" i="1"/>
  <c r="AY13" i="1" s="1"/>
  <c r="BA13" i="1" s="1"/>
  <c r="AS13" i="1"/>
  <c r="AT13" i="1" s="1"/>
  <c r="AV13" i="1" s="1"/>
  <c r="AN13" i="1"/>
  <c r="AO13" i="1" s="1"/>
  <c r="AQ13" i="1" s="1"/>
  <c r="AI13" i="1"/>
  <c r="AJ13" i="1" s="1"/>
  <c r="AL13" i="1" s="1"/>
  <c r="AD13" i="1"/>
  <c r="AE13" i="1" s="1"/>
  <c r="AG13" i="1" s="1"/>
  <c r="Y13" i="1"/>
  <c r="Z13" i="1" s="1"/>
  <c r="AB13" i="1" s="1"/>
  <c r="V13" i="1"/>
  <c r="BM13" i="1" s="1"/>
  <c r="T13" i="1"/>
  <c r="U13" i="1" s="1"/>
  <c r="O13" i="1"/>
  <c r="P13" i="1" s="1"/>
  <c r="R13" i="1" s="1"/>
  <c r="J13" i="1"/>
  <c r="K13" i="1" s="1"/>
  <c r="M13" i="1" s="1"/>
  <c r="BP12" i="1"/>
  <c r="BH12" i="1"/>
  <c r="BI12" i="1" s="1"/>
  <c r="BK12" i="1" s="1"/>
  <c r="BC12" i="1"/>
  <c r="BD12" i="1" s="1"/>
  <c r="BF12" i="1" s="1"/>
  <c r="AX12" i="1"/>
  <c r="AY12" i="1" s="1"/>
  <c r="BA12" i="1" s="1"/>
  <c r="AS12" i="1"/>
  <c r="AT12" i="1" s="1"/>
  <c r="AV12" i="1" s="1"/>
  <c r="AN12" i="1"/>
  <c r="AO12" i="1" s="1"/>
  <c r="AQ12" i="1" s="1"/>
  <c r="AI12" i="1"/>
  <c r="AJ12" i="1" s="1"/>
  <c r="AL12" i="1" s="1"/>
  <c r="AD12" i="1"/>
  <c r="AE12" i="1" s="1"/>
  <c r="AG12" i="1" s="1"/>
  <c r="Y12" i="1"/>
  <c r="Z12" i="1" s="1"/>
  <c r="AB12" i="1" s="1"/>
  <c r="V12" i="1"/>
  <c r="BM12" i="1" s="1"/>
  <c r="T12" i="1"/>
  <c r="U12" i="1" s="1"/>
  <c r="O12" i="1"/>
  <c r="P12" i="1" s="1"/>
  <c r="R12" i="1" s="1"/>
  <c r="J12" i="1"/>
  <c r="K12" i="1" s="1"/>
  <c r="M12" i="1" s="1"/>
  <c r="BP11" i="1"/>
  <c r="BH11" i="1"/>
  <c r="BI11" i="1" s="1"/>
  <c r="BK11" i="1" s="1"/>
  <c r="BC11" i="1"/>
  <c r="BD11" i="1" s="1"/>
  <c r="BF11" i="1" s="1"/>
  <c r="AX11" i="1"/>
  <c r="AY11" i="1" s="1"/>
  <c r="BA11" i="1" s="1"/>
  <c r="AS11" i="1"/>
  <c r="AT11" i="1" s="1"/>
  <c r="AV11" i="1" s="1"/>
  <c r="AN11" i="1"/>
  <c r="AO11" i="1" s="1"/>
  <c r="AQ11" i="1" s="1"/>
  <c r="AI11" i="1"/>
  <c r="AJ11" i="1" s="1"/>
  <c r="AL11" i="1" s="1"/>
  <c r="AD11" i="1"/>
  <c r="AE11" i="1" s="1"/>
  <c r="AG11" i="1" s="1"/>
  <c r="Y11" i="1"/>
  <c r="Z11" i="1" s="1"/>
  <c r="AB11" i="1" s="1"/>
  <c r="V11" i="1"/>
  <c r="BM11" i="1" s="1"/>
  <c r="T11" i="1"/>
  <c r="U11" i="1" s="1"/>
  <c r="O11" i="1"/>
  <c r="P11" i="1" s="1"/>
  <c r="R11" i="1" s="1"/>
  <c r="J11" i="1"/>
  <c r="K11" i="1" s="1"/>
  <c r="M11" i="1" s="1"/>
  <c r="BP10" i="1"/>
  <c r="BH10" i="1"/>
  <c r="BI10" i="1" s="1"/>
  <c r="BK10" i="1" s="1"/>
  <c r="BC10" i="1"/>
  <c r="BD10" i="1" s="1"/>
  <c r="BF10" i="1" s="1"/>
  <c r="AX10" i="1"/>
  <c r="AY10" i="1" s="1"/>
  <c r="BA10" i="1" s="1"/>
  <c r="AS10" i="1"/>
  <c r="AT10" i="1" s="1"/>
  <c r="AV10" i="1" s="1"/>
  <c r="AN10" i="1"/>
  <c r="AO10" i="1" s="1"/>
  <c r="AQ10" i="1" s="1"/>
  <c r="AI10" i="1"/>
  <c r="AJ10" i="1" s="1"/>
  <c r="AL10" i="1" s="1"/>
  <c r="AD10" i="1"/>
  <c r="AE10" i="1" s="1"/>
  <c r="AG10" i="1" s="1"/>
  <c r="Y10" i="1"/>
  <c r="Z10" i="1" s="1"/>
  <c r="AB10" i="1" s="1"/>
  <c r="V10" i="1"/>
  <c r="BM10" i="1" s="1"/>
  <c r="T10" i="1"/>
  <c r="U10" i="1" s="1"/>
  <c r="O10" i="1"/>
  <c r="P10" i="1" s="1"/>
  <c r="R10" i="1" s="1"/>
  <c r="J10" i="1"/>
  <c r="K10" i="1" s="1"/>
  <c r="M10" i="1" s="1"/>
  <c r="BP9" i="1"/>
  <c r="BH9" i="1"/>
  <c r="BI9" i="1" s="1"/>
  <c r="BK9" i="1" s="1"/>
  <c r="BC9" i="1"/>
  <c r="BD9" i="1" s="1"/>
  <c r="BF9" i="1" s="1"/>
  <c r="AX9" i="1"/>
  <c r="AY9" i="1" s="1"/>
  <c r="BA9" i="1" s="1"/>
  <c r="AS9" i="1"/>
  <c r="AT9" i="1" s="1"/>
  <c r="AV9" i="1" s="1"/>
  <c r="AN9" i="1"/>
  <c r="AO9" i="1" s="1"/>
  <c r="AQ9" i="1" s="1"/>
  <c r="AI9" i="1"/>
  <c r="AJ9" i="1" s="1"/>
  <c r="AL9" i="1" s="1"/>
  <c r="AD9" i="1"/>
  <c r="AE9" i="1" s="1"/>
  <c r="AG9" i="1" s="1"/>
  <c r="Y9" i="1"/>
  <c r="Z9" i="1" s="1"/>
  <c r="AB9" i="1" s="1"/>
  <c r="V9" i="1"/>
  <c r="BM9" i="1" s="1"/>
  <c r="T9" i="1"/>
  <c r="U9" i="1" s="1"/>
  <c r="O9" i="1"/>
  <c r="P9" i="1" s="1"/>
  <c r="R9" i="1" s="1"/>
  <c r="J9" i="1"/>
  <c r="K9" i="1" s="1"/>
  <c r="M9" i="1" s="1"/>
  <c r="BP8" i="1"/>
  <c r="BH8" i="1"/>
  <c r="BI8" i="1" s="1"/>
  <c r="BK8" i="1" s="1"/>
  <c r="BC8" i="1"/>
  <c r="BD8" i="1" s="1"/>
  <c r="BF8" i="1" s="1"/>
  <c r="AX8" i="1"/>
  <c r="AY8" i="1" s="1"/>
  <c r="BA8" i="1" s="1"/>
  <c r="AS8" i="1"/>
  <c r="AT8" i="1" s="1"/>
  <c r="AV8" i="1" s="1"/>
  <c r="AN8" i="1"/>
  <c r="AO8" i="1" s="1"/>
  <c r="AQ8" i="1" s="1"/>
  <c r="AI8" i="1"/>
  <c r="AJ8" i="1" s="1"/>
  <c r="AL8" i="1" s="1"/>
  <c r="AD8" i="1"/>
  <c r="AE8" i="1" s="1"/>
  <c r="AG8" i="1" s="1"/>
  <c r="Y8" i="1"/>
  <c r="Z8" i="1" s="1"/>
  <c r="AB8" i="1" s="1"/>
  <c r="V8" i="1"/>
  <c r="BM8" i="1" s="1"/>
  <c r="T8" i="1"/>
  <c r="U8" i="1" s="1"/>
  <c r="O8" i="1"/>
  <c r="P8" i="1" s="1"/>
  <c r="R8" i="1" s="1"/>
  <c r="J8" i="1"/>
  <c r="K8" i="1" s="1"/>
  <c r="M8" i="1" s="1"/>
  <c r="BP7" i="1"/>
  <c r="BH7" i="1"/>
  <c r="BI7" i="1" s="1"/>
  <c r="BK7" i="1" s="1"/>
  <c r="BC7" i="1"/>
  <c r="BD7" i="1" s="1"/>
  <c r="BF7" i="1" s="1"/>
  <c r="AX7" i="1"/>
  <c r="AY7" i="1" s="1"/>
  <c r="BA7" i="1" s="1"/>
  <c r="AS7" i="1"/>
  <c r="AT7" i="1" s="1"/>
  <c r="AV7" i="1" s="1"/>
  <c r="AN7" i="1"/>
  <c r="AO7" i="1" s="1"/>
  <c r="AQ7" i="1" s="1"/>
  <c r="AI7" i="1"/>
  <c r="AJ7" i="1" s="1"/>
  <c r="AL7" i="1" s="1"/>
  <c r="AD7" i="1"/>
  <c r="AE7" i="1" s="1"/>
  <c r="AG7" i="1" s="1"/>
  <c r="Y7" i="1"/>
  <c r="Z7" i="1" s="1"/>
  <c r="AB7" i="1" s="1"/>
  <c r="V7" i="1"/>
  <c r="BM7" i="1" s="1"/>
  <c r="T7" i="1"/>
  <c r="U7" i="1" s="1"/>
  <c r="O7" i="1"/>
  <c r="P7" i="1" s="1"/>
  <c r="R7" i="1" s="1"/>
  <c r="J7" i="1"/>
  <c r="K7" i="1" s="1"/>
  <c r="M7" i="1" s="1"/>
  <c r="BP6" i="1"/>
  <c r="BH6" i="1"/>
  <c r="BI6" i="1" s="1"/>
  <c r="BK6" i="1" s="1"/>
  <c r="BC6" i="1"/>
  <c r="BD6" i="1" s="1"/>
  <c r="BF6" i="1" s="1"/>
  <c r="AX6" i="1"/>
  <c r="AY6" i="1" s="1"/>
  <c r="BA6" i="1" s="1"/>
  <c r="AS6" i="1"/>
  <c r="AT6" i="1" s="1"/>
  <c r="AV6" i="1" s="1"/>
  <c r="AN6" i="1"/>
  <c r="AO6" i="1" s="1"/>
  <c r="AQ6" i="1" s="1"/>
  <c r="AI6" i="1"/>
  <c r="AJ6" i="1" s="1"/>
  <c r="AL6" i="1" s="1"/>
  <c r="AD6" i="1"/>
  <c r="AE6" i="1" s="1"/>
  <c r="AG6" i="1" s="1"/>
  <c r="Y6" i="1"/>
  <c r="Z6" i="1" s="1"/>
  <c r="AB6" i="1" s="1"/>
  <c r="V6" i="1"/>
  <c r="BM6" i="1" s="1"/>
  <c r="T6" i="1"/>
  <c r="U6" i="1" s="1"/>
  <c r="O6" i="1"/>
  <c r="P6" i="1" s="1"/>
  <c r="R6" i="1" s="1"/>
  <c r="J6" i="1"/>
  <c r="K6" i="1" s="1"/>
  <c r="M6" i="1" s="1"/>
  <c r="BP5" i="1"/>
  <c r="BH5" i="1"/>
  <c r="BI5" i="1" s="1"/>
  <c r="BK5" i="1" s="1"/>
  <c r="BC5" i="1"/>
  <c r="BD5" i="1" s="1"/>
  <c r="BF5" i="1" s="1"/>
  <c r="AX5" i="1"/>
  <c r="AY5" i="1" s="1"/>
  <c r="BA5" i="1" s="1"/>
  <c r="AS5" i="1"/>
  <c r="AT5" i="1" s="1"/>
  <c r="AV5" i="1" s="1"/>
  <c r="AN5" i="1"/>
  <c r="AO5" i="1" s="1"/>
  <c r="AQ5" i="1" s="1"/>
  <c r="AI5" i="1"/>
  <c r="AJ5" i="1" s="1"/>
  <c r="AL5" i="1" s="1"/>
  <c r="AD5" i="1"/>
  <c r="AE5" i="1" s="1"/>
  <c r="AG5" i="1" s="1"/>
  <c r="Y5" i="1"/>
  <c r="Z5" i="1" s="1"/>
  <c r="AB5" i="1" s="1"/>
  <c r="V5" i="1"/>
  <c r="BM5" i="1" s="1"/>
  <c r="T5" i="1"/>
  <c r="U5" i="1" s="1"/>
  <c r="O5" i="1"/>
  <c r="P5" i="1" s="1"/>
  <c r="R5" i="1" s="1"/>
  <c r="J5" i="1"/>
  <c r="K5" i="1" s="1"/>
  <c r="M5" i="1" s="1"/>
  <c r="BP4" i="1"/>
  <c r="BH4" i="1"/>
  <c r="BI4" i="1" s="1"/>
  <c r="BK4" i="1" s="1"/>
  <c r="BC4" i="1"/>
  <c r="BD4" i="1" s="1"/>
  <c r="BF4" i="1" s="1"/>
  <c r="AX4" i="1"/>
  <c r="AY4" i="1" s="1"/>
  <c r="BA4" i="1" s="1"/>
  <c r="AS4" i="1"/>
  <c r="AT4" i="1" s="1"/>
  <c r="AV4" i="1" s="1"/>
  <c r="AN4" i="1"/>
  <c r="AO4" i="1" s="1"/>
  <c r="AQ4" i="1" s="1"/>
  <c r="AI4" i="1"/>
  <c r="AJ4" i="1" s="1"/>
  <c r="AL4" i="1" s="1"/>
  <c r="AD4" i="1"/>
  <c r="AE4" i="1" s="1"/>
  <c r="AG4" i="1" s="1"/>
  <c r="Y4" i="1"/>
  <c r="Z4" i="1" s="1"/>
  <c r="AB4" i="1" s="1"/>
  <c r="V4" i="1"/>
  <c r="BM4" i="1" s="1"/>
  <c r="T4" i="1"/>
  <c r="U4" i="1" s="1"/>
  <c r="O4" i="1"/>
  <c r="P4" i="1" s="1"/>
  <c r="R4" i="1" s="1"/>
  <c r="J4" i="1"/>
  <c r="K4" i="1" s="1"/>
  <c r="M4" i="1" s="1"/>
  <c r="BP3" i="1"/>
  <c r="BH3" i="1"/>
  <c r="BI3" i="1" s="1"/>
  <c r="BK3" i="1" s="1"/>
  <c r="BC3" i="1"/>
  <c r="BD3" i="1" s="1"/>
  <c r="BF3" i="1" s="1"/>
  <c r="AX3" i="1"/>
  <c r="AY3" i="1" s="1"/>
  <c r="BA3" i="1" s="1"/>
  <c r="AS3" i="1"/>
  <c r="AT3" i="1" s="1"/>
  <c r="AV3" i="1" s="1"/>
  <c r="AN3" i="1"/>
  <c r="AO3" i="1" s="1"/>
  <c r="AQ3" i="1" s="1"/>
  <c r="AI3" i="1"/>
  <c r="AJ3" i="1" s="1"/>
  <c r="AL3" i="1" s="1"/>
  <c r="AD3" i="1"/>
  <c r="AE3" i="1" s="1"/>
  <c r="AG3" i="1" s="1"/>
  <c r="Y3" i="1"/>
  <c r="Z3" i="1" s="1"/>
  <c r="AB3" i="1" s="1"/>
  <c r="V3" i="1"/>
  <c r="BM3" i="1" s="1"/>
  <c r="T3" i="1"/>
  <c r="U3" i="1" s="1"/>
  <c r="O3" i="1"/>
  <c r="P3" i="1" s="1"/>
  <c r="R3" i="1" s="1"/>
  <c r="J3" i="1"/>
  <c r="K3" i="1" s="1"/>
  <c r="M3" i="1" s="1"/>
  <c r="W11" i="1" l="1"/>
  <c r="BL11" i="1" s="1"/>
  <c r="W7" i="1"/>
  <c r="BL7" i="1" s="1"/>
  <c r="W32" i="1"/>
  <c r="BL32" i="1" s="1"/>
  <c r="W3" i="1"/>
  <c r="BL3" i="1" s="1"/>
  <c r="W21" i="1"/>
  <c r="BL21" i="1" s="1"/>
  <c r="BN21" i="1" s="1"/>
  <c r="BS4" i="1"/>
  <c r="W20" i="1"/>
  <c r="BL20" i="1" s="1"/>
  <c r="W9" i="1"/>
  <c r="BL9" i="1" s="1"/>
  <c r="W19" i="1"/>
  <c r="BL19" i="1" s="1"/>
  <c r="W4" i="1"/>
  <c r="BL4" i="1" s="1"/>
  <c r="BS14" i="1"/>
  <c r="W34" i="1"/>
  <c r="BL34" i="1" s="1"/>
  <c r="W16" i="1"/>
  <c r="BL16" i="1" s="1"/>
  <c r="BN16" i="1" s="1"/>
  <c r="W23" i="1"/>
  <c r="BL23" i="1" s="1"/>
  <c r="BN23" i="1" s="1"/>
  <c r="W29" i="1"/>
  <c r="BL29" i="1" s="1"/>
  <c r="W6" i="1"/>
  <c r="BL6" i="1" s="1"/>
  <c r="BS23" i="1"/>
  <c r="W25" i="1"/>
  <c r="BL25" i="1" s="1"/>
  <c r="BS5" i="1"/>
  <c r="W12" i="1"/>
  <c r="BL12" i="1" s="1"/>
  <c r="W18" i="1"/>
  <c r="BL18" i="1" s="1"/>
  <c r="W33" i="1"/>
  <c r="BL33" i="1" s="1"/>
  <c r="W14" i="1"/>
  <c r="BL14" i="1" s="1"/>
  <c r="BN14" i="1" s="1"/>
  <c r="W22" i="1"/>
  <c r="BL22" i="1" s="1"/>
  <c r="BS32" i="1"/>
  <c r="BO13" i="1"/>
  <c r="BQ13" i="1" s="1"/>
  <c r="BS18" i="1"/>
  <c r="W24" i="1"/>
  <c r="BL24" i="1" s="1"/>
  <c r="W31" i="1"/>
  <c r="BL31" i="1" s="1"/>
  <c r="BN31" i="1" s="1"/>
  <c r="BS17" i="1"/>
  <c r="W27" i="1"/>
  <c r="BL27" i="1" s="1"/>
  <c r="W5" i="1"/>
  <c r="BL5" i="1" s="1"/>
  <c r="W26" i="1"/>
  <c r="BL26" i="1" s="1"/>
  <c r="BS29" i="1"/>
  <c r="W8" i="1"/>
  <c r="BL8" i="1" s="1"/>
  <c r="BS26" i="1"/>
  <c r="BO11" i="1"/>
  <c r="BQ11" i="1" s="1"/>
  <c r="BS31" i="1"/>
  <c r="BS13" i="1"/>
  <c r="W15" i="1"/>
  <c r="BL15" i="1" s="1"/>
  <c r="BS16" i="1"/>
  <c r="BS15" i="1"/>
  <c r="BS24" i="1"/>
  <c r="BS25" i="1"/>
  <c r="BS11" i="1"/>
  <c r="BS8" i="1"/>
  <c r="BS12" i="1"/>
  <c r="BS20" i="1"/>
  <c r="W30" i="1"/>
  <c r="BL30" i="1" s="1"/>
  <c r="W17" i="1"/>
  <c r="BL17" i="1" s="1"/>
  <c r="BS30" i="1"/>
  <c r="BS9" i="1"/>
  <c r="BS10" i="1"/>
  <c r="BS34" i="1"/>
  <c r="BO7" i="1"/>
  <c r="BQ7" i="1" s="1"/>
  <c r="BO34" i="1"/>
  <c r="BQ34" i="1" s="1"/>
  <c r="BO18" i="1"/>
  <c r="BQ18" i="1" s="1"/>
  <c r="BS27" i="1"/>
  <c r="BS21" i="1"/>
  <c r="BS22" i="1"/>
  <c r="BO12" i="1"/>
  <c r="BQ12" i="1" s="1"/>
  <c r="BS3" i="1"/>
  <c r="W28" i="1"/>
  <c r="BL28" i="1" s="1"/>
  <c r="BS33" i="1"/>
  <c r="BO27" i="1"/>
  <c r="BQ27" i="1" s="1"/>
  <c r="BO6" i="1"/>
  <c r="BQ6" i="1" s="1"/>
  <c r="BO10" i="1"/>
  <c r="BQ10" i="1" s="1"/>
  <c r="BO21" i="1"/>
  <c r="BQ21" i="1" s="1"/>
  <c r="W10" i="1"/>
  <c r="BL10" i="1" s="1"/>
  <c r="BO23" i="1"/>
  <c r="BQ23" i="1" s="1"/>
  <c r="BO19" i="1"/>
  <c r="BQ19" i="1" s="1"/>
  <c r="BO31" i="1"/>
  <c r="BQ31" i="1" s="1"/>
  <c r="W13" i="1"/>
  <c r="BL13" i="1" s="1"/>
  <c r="BO32" i="1"/>
  <c r="BQ32" i="1" s="1"/>
  <c r="BO8" i="1"/>
  <c r="BQ8" i="1" s="1"/>
  <c r="BO15" i="1"/>
  <c r="BQ15" i="1" s="1"/>
  <c r="BO16" i="1"/>
  <c r="BQ16" i="1" s="1"/>
  <c r="BO28" i="1"/>
  <c r="BQ28" i="1" s="1"/>
  <c r="BO5" i="1"/>
  <c r="BQ5" i="1" s="1"/>
  <c r="BO9" i="1"/>
  <c r="BQ9" i="1" s="1"/>
  <c r="BO26" i="1"/>
  <c r="BQ26" i="1" s="1"/>
  <c r="BO17" i="1"/>
  <c r="BQ17" i="1" s="1"/>
  <c r="BO24" i="1"/>
  <c r="BQ24" i="1" s="1"/>
  <c r="BO3" i="1"/>
  <c r="BQ3" i="1" s="1"/>
  <c r="BO25" i="1"/>
  <c r="BQ25" i="1" s="1"/>
  <c r="BO22" i="1"/>
  <c r="BQ22" i="1" s="1"/>
  <c r="BO20" i="1"/>
  <c r="BQ20" i="1" s="1"/>
  <c r="BS7" i="1"/>
  <c r="BO30" i="1"/>
  <c r="BQ30" i="1" s="1"/>
  <c r="BO33" i="1"/>
  <c r="BQ33" i="1" s="1"/>
  <c r="BO14" i="1"/>
  <c r="BQ14" i="1" s="1"/>
  <c r="BS6" i="1"/>
  <c r="BO29" i="1"/>
  <c r="BQ29" i="1" s="1"/>
  <c r="BS28" i="1"/>
  <c r="BO4" i="1"/>
  <c r="BQ4" i="1" s="1"/>
  <c r="BS19" i="1"/>
  <c r="BR11" i="1" l="1"/>
  <c r="BT11" i="1" s="1"/>
  <c r="BR27" i="1"/>
  <c r="BT27" i="1" s="1"/>
  <c r="BN27" i="1"/>
  <c r="BR12" i="1"/>
  <c r="BT12" i="1" s="1"/>
  <c r="BR31" i="1"/>
  <c r="BT31" i="1" s="1"/>
  <c r="BR21" i="1"/>
  <c r="BR28" i="1"/>
  <c r="BT28" i="1" s="1"/>
  <c r="BN28" i="1"/>
  <c r="BN11" i="1"/>
  <c r="BN12" i="1"/>
  <c r="BT21" i="1"/>
  <c r="BR29" i="1"/>
  <c r="BT29" i="1" s="1"/>
  <c r="BN29" i="1"/>
  <c r="BR22" i="1"/>
  <c r="BT22" i="1" s="1"/>
  <c r="BN22" i="1"/>
  <c r="BN19" i="1"/>
  <c r="BR19" i="1"/>
  <c r="BT19" i="1" s="1"/>
  <c r="BR14" i="1"/>
  <c r="BT14" i="1" s="1"/>
  <c r="BN9" i="1"/>
  <c r="BR9" i="1"/>
  <c r="BT9" i="1" s="1"/>
  <c r="BR4" i="1"/>
  <c r="BT4" i="1" s="1"/>
  <c r="BN4" i="1"/>
  <c r="BN7" i="1"/>
  <c r="BR7" i="1"/>
  <c r="BT7" i="1" s="1"/>
  <c r="BR5" i="1"/>
  <c r="BT5" i="1" s="1"/>
  <c r="BN5" i="1"/>
  <c r="BR30" i="1"/>
  <c r="BT30" i="1" s="1"/>
  <c r="BN30" i="1"/>
  <c r="BN32" i="1"/>
  <c r="BR32" i="1"/>
  <c r="BT32" i="1" s="1"/>
  <c r="BR26" i="1"/>
  <c r="BT26" i="1" s="1"/>
  <c r="BN26" i="1"/>
  <c r="BR34" i="1"/>
  <c r="BT34" i="1" s="1"/>
  <c r="BN34" i="1"/>
  <c r="BR10" i="1"/>
  <c r="BT10" i="1" s="1"/>
  <c r="BN10" i="1"/>
  <c r="BN25" i="1"/>
  <c r="BR25" i="1"/>
  <c r="BT25" i="1" s="1"/>
  <c r="BN8" i="1"/>
  <c r="BR8" i="1"/>
  <c r="BT8" i="1" s="1"/>
  <c r="BR33" i="1"/>
  <c r="BT33" i="1" s="1"/>
  <c r="BN33" i="1"/>
  <c r="BN24" i="1"/>
  <c r="BR24" i="1"/>
  <c r="BT24" i="1" s="1"/>
  <c r="BR17" i="1"/>
  <c r="BT17" i="1" s="1"/>
  <c r="BN17" i="1"/>
  <c r="BR23" i="1"/>
  <c r="BT23" i="1" s="1"/>
  <c r="BN6" i="1"/>
  <c r="BR6" i="1"/>
  <c r="BT6" i="1" s="1"/>
  <c r="BR15" i="1"/>
  <c r="BT15" i="1" s="1"/>
  <c r="BN15" i="1"/>
  <c r="BN18" i="1"/>
  <c r="BR18" i="1"/>
  <c r="BT18" i="1" s="1"/>
  <c r="BN13" i="1"/>
  <c r="BR13" i="1"/>
  <c r="BT13" i="1" s="1"/>
  <c r="BR20" i="1"/>
  <c r="BT20" i="1" s="1"/>
  <c r="BN20" i="1"/>
  <c r="BN3" i="1"/>
  <c r="BR3" i="1"/>
  <c r="BT3" i="1" s="1"/>
  <c r="BR16" i="1"/>
  <c r="BT16" i="1" s="1"/>
  <c r="BV21" i="1" l="1"/>
  <c r="BU21" i="1"/>
  <c r="BV18" i="1"/>
  <c r="BU18" i="1"/>
  <c r="BU28" i="1"/>
  <c r="BV28" i="1"/>
  <c r="BV13" i="1"/>
  <c r="BU13" i="1"/>
  <c r="BV5" i="1"/>
  <c r="BU5" i="1"/>
  <c r="BV7" i="1"/>
  <c r="BU7" i="1"/>
  <c r="BV29" i="1"/>
  <c r="BU29" i="1"/>
  <c r="BV33" i="1"/>
  <c r="BU33" i="1"/>
  <c r="BV8" i="1"/>
  <c r="BU8" i="1"/>
  <c r="BV4" i="1"/>
  <c r="BU4" i="1"/>
  <c r="BV25" i="1"/>
  <c r="BU25" i="1"/>
  <c r="BV9" i="1"/>
  <c r="BU9" i="1"/>
  <c r="BV10" i="1"/>
  <c r="BU10" i="1"/>
  <c r="BV15" i="1"/>
  <c r="BU15" i="1"/>
  <c r="BV14" i="1"/>
  <c r="BU14" i="1"/>
  <c r="BV6" i="1"/>
  <c r="BU6" i="1"/>
  <c r="BV34" i="1"/>
  <c r="BU34" i="1"/>
  <c r="BV31" i="1"/>
  <c r="BU31" i="1"/>
  <c r="BV23" i="1"/>
  <c r="BU23" i="1"/>
  <c r="BV26" i="1"/>
  <c r="BU26" i="1"/>
  <c r="BU19" i="1"/>
  <c r="BV19" i="1"/>
  <c r="BV12" i="1"/>
  <c r="BU12" i="1"/>
  <c r="BU16" i="1"/>
  <c r="BV16" i="1"/>
  <c r="BU32" i="1"/>
  <c r="BV32" i="1"/>
  <c r="BV3" i="1"/>
  <c r="BU3" i="1"/>
  <c r="BV17" i="1"/>
  <c r="BU17" i="1"/>
  <c r="BV27" i="1"/>
  <c r="BU27" i="1"/>
  <c r="BV24" i="1"/>
  <c r="BU24" i="1"/>
  <c r="BV11" i="1"/>
  <c r="BU11" i="1"/>
  <c r="BU30" i="1"/>
  <c r="BV30" i="1"/>
  <c r="BU20" i="1"/>
  <c r="BV20" i="1"/>
  <c r="BV22" i="1"/>
  <c r="BU22" i="1"/>
</calcChain>
</file>

<file path=xl/sharedStrings.xml><?xml version="1.0" encoding="utf-8"?>
<sst xmlns="http://schemas.openxmlformats.org/spreadsheetml/2006/main" count="312" uniqueCount="192">
  <si>
    <t>NO</t>
  </si>
  <si>
    <t>NAMA MAHASISWA</t>
  </si>
  <si>
    <t>NIM</t>
  </si>
  <si>
    <t>PROGRAM</t>
  </si>
  <si>
    <t>PPKDP</t>
  </si>
  <si>
    <t>PPKMB</t>
  </si>
  <si>
    <t>PPKA</t>
  </si>
  <si>
    <t>PPKM</t>
  </si>
  <si>
    <t>PPKKJ</t>
  </si>
  <si>
    <t>PPKML</t>
  </si>
  <si>
    <t>JN</t>
  </si>
  <si>
    <t>JB</t>
  </si>
  <si>
    <t>IPS</t>
  </si>
  <si>
    <t>PPKG</t>
  </si>
  <si>
    <t>PPKGK</t>
  </si>
  <si>
    <t>PPMK</t>
  </si>
  <si>
    <t>PPKKK</t>
  </si>
  <si>
    <t>KARYA ILMIAH AKHIR (KIAN)</t>
  </si>
  <si>
    <t>TOTAL</t>
  </si>
  <si>
    <t>I.P.K</t>
  </si>
  <si>
    <t>NILAI</t>
  </si>
  <si>
    <t>LMB</t>
  </si>
  <si>
    <t>MUTU</t>
  </si>
  <si>
    <t>SKS</t>
  </si>
  <si>
    <t>JML</t>
  </si>
  <si>
    <t>BOBOT</t>
  </si>
  <si>
    <t>Non Reguler</t>
  </si>
  <si>
    <t>Reguler</t>
  </si>
  <si>
    <t>Tempat Lahir</t>
  </si>
  <si>
    <t>Tanggal Lahir</t>
  </si>
  <si>
    <t>No Transkip</t>
  </si>
  <si>
    <t>IPS1</t>
  </si>
  <si>
    <t>Tanggal Lulus</t>
  </si>
  <si>
    <t>Predikat</t>
  </si>
  <si>
    <t>Predikat Inggris</t>
  </si>
  <si>
    <t>Judul</t>
  </si>
  <si>
    <t>Tanjung Uban</t>
  </si>
  <si>
    <t>07 Desember 1993</t>
  </si>
  <si>
    <t>Khairiah Mandah</t>
  </si>
  <si>
    <t>16 Juni 1999</t>
  </si>
  <si>
    <t>Payalaman</t>
  </si>
  <si>
    <t>27 Desember 1981</t>
  </si>
  <si>
    <t>Purwa Negara</t>
  </si>
  <si>
    <t>Jambi</t>
  </si>
  <si>
    <t>27 Oktober 1997</t>
  </si>
  <si>
    <t>Pemangkat</t>
  </si>
  <si>
    <t>12 Desember 1990</t>
  </si>
  <si>
    <t>P. Siantar</t>
  </si>
  <si>
    <t>08 Februari 1985</t>
  </si>
  <si>
    <t>Toapaya</t>
  </si>
  <si>
    <t>04 mei 1990</t>
  </si>
  <si>
    <t>Pangkil</t>
  </si>
  <si>
    <t>12 Desember 1996</t>
  </si>
  <si>
    <t>Kemaman</t>
  </si>
  <si>
    <t>Tembilahan</t>
  </si>
  <si>
    <t>05 April 1982</t>
  </si>
  <si>
    <t>Malang Rapat</t>
  </si>
  <si>
    <t>20 Juni 2001</t>
  </si>
  <si>
    <t>Kijang</t>
  </si>
  <si>
    <t>21 Juli 2002</t>
  </si>
  <si>
    <t>Tarempa</t>
  </si>
  <si>
    <t>12 Maret 2002</t>
  </si>
  <si>
    <t>Tanjungpinang</t>
  </si>
  <si>
    <t>17 Juli 2002</t>
  </si>
  <si>
    <t>Parit Kenipan</t>
  </si>
  <si>
    <t>08 Maret 2002</t>
  </si>
  <si>
    <t>Pekanbaru</t>
  </si>
  <si>
    <t>20 Mei 2003</t>
  </si>
  <si>
    <t>18 Februari 2002</t>
  </si>
  <si>
    <t>Dabo Singkep</t>
  </si>
  <si>
    <t>01 Februari 2003</t>
  </si>
  <si>
    <t>10 Januari 1997</t>
  </si>
  <si>
    <t>Teluk Kecik Kundur</t>
  </si>
  <si>
    <t>20 april 2002</t>
  </si>
  <si>
    <t>30 April 2001</t>
  </si>
  <si>
    <t>P. Mentebung</t>
  </si>
  <si>
    <t>02 November 2000</t>
  </si>
  <si>
    <t>Sungai Buluh</t>
  </si>
  <si>
    <t>05 mei 2002</t>
  </si>
  <si>
    <t>Tanjung Balai Karimun</t>
  </si>
  <si>
    <t>02 April 2002</t>
  </si>
  <si>
    <t>Putik</t>
  </si>
  <si>
    <t>25 Agustus 2000</t>
  </si>
  <si>
    <t>Penuba</t>
  </si>
  <si>
    <t>21 April 2001</t>
  </si>
  <si>
    <t>Teluk Uma Karimun</t>
  </si>
  <si>
    <t>10 September 2002</t>
  </si>
  <si>
    <t>10 Juni 2002</t>
  </si>
  <si>
    <t>02 November 2001</t>
  </si>
  <si>
    <t>Tanjunng Balai Karimum</t>
  </si>
  <si>
    <t>23 Mei 2002</t>
  </si>
  <si>
    <t>Asuhan Keperawatan Nyeri Pada Tn. R Dengan Kanker Paru Dan Penerapan Terapi Murottal Al-Quran Di Ruang Alamanda Rsud Kabupaten Bintan Tahun 2025</t>
  </si>
  <si>
    <t>Asuhan Keperawatan Hipertermi Pada An.A Dengan Kejang Demam Dan Penerapan Tepid Water Sponge Di Ruang Subi Kecil Di Rumkital Dr. Midiyato Suratani Tanjungpinang Tahun 2024</t>
  </si>
  <si>
    <t>Asuhan Keperawatan Nyeri Akut Pada Ny. A Dengan Postpartum Spontan Dan Penerapan Massage Effleurage Di Ruangan Bougenville Rsud Raja Ahmad Tabib Tanjungpinang Tahun 2024</t>
  </si>
  <si>
    <t>Asuhan Keperawatan Nyeri Akut Pada Tn. E S Dengan Gout Arthritis Dan Penerapan Kompres Hangat Jahe Merah Di Rumah Bahagia Embung Fatimah Dinas Sosial Kota Tanjungpinang Tahun 2025</t>
  </si>
  <si>
    <t>Asuhan Keperawatan Gangguan Mobilitas Fisik Pada Ny. P Dengan Stroke Non Haemoragic Dan Penerapan Rom (Range Of Motion) Pasif Di Ruang Melati Rsud Raja Ahmad Thabib Provinsi Kepulauan Riau</t>
  </si>
  <si>
    <t>Asuhan Keperawatan Nyeri Akut Pada Ny. N Dengan Post Ops Kolesistektomi Dan Penerapan Teknik Genggam Jari Di Ruang Mangkai Rumkital Dr. Midiyato Suratani Tanjungpinang Tahun 2024</t>
  </si>
  <si>
    <t>Asuhan Keperawatan Nyeri Akut Pada Ny. J Dengan Post Operasi Sectio Caesarea Dan Penerapan Mobilisasi Dini Di Rsud Kabupaten Bintan Tahun 2024</t>
  </si>
  <si>
    <t>Asuhan Keperawatan Pola Nafas Tidak Efektif Pada Tn. L Dengan Penyakit Paru Obstruksi Kronis (PPOK) Dan Penerapan Teknik Pursed Lip Breathing Di Igd Rsud Kabupaten Bintan Tahun 2025</t>
  </si>
  <si>
    <t>Asuhan Keperawatan Hipertermia Pada An.F Dengan Dengue Hemorrhagic Fever Dan Penerapan Kompres Dengan Aloevera Di Ruang Gardenia RSUD Kabupaten Bintan Tahun 2024</t>
  </si>
  <si>
    <t>Asuhan Keperawatan Manajemen Kesehatan Tidak Efektif Pada Keluarga Tn. M Dengan Hipertensi Dan Penerapan Senam Hipertensi Di Wilayah Kerja Puskesmas Kampung Bugis Tahun 2025</t>
  </si>
  <si>
    <t>Asuhan Keperawatan Gangguan Mobilitas Fisik Pada Tn. A Dengan Post Op Orif Fraktur Femur Dan Penerapan Range Of Motion (Rom) Di Ruang Senoa Rumkital Dr. Midiyato Suratani Tanjungpinang</t>
  </si>
  <si>
    <t>Asuhan Keperawatan Nyeri Akut Pada Ny. S Dengan Post Op Fraktur Clavicula Dan Penerapan Cold Pack Di Ruang Senoa Rumkital Dr. Midiyato Suratani Tanjungpinang</t>
  </si>
  <si>
    <t>Asuhan Keperawatan Gangguan Mobilitas Fisik Pada Ny.L Dengan Post Operasi Laparatomy Tumor Hati Dan Penerapan Mobilisasi Dini Di Ruang Senoa Rsal Dr Midiyato Suratani Tanjungpinang</t>
  </si>
  <si>
    <t>Asuhan Keperawatan Keletihan Pada Ny.Z Dengan Chronic Kidney Disease Dan Penerapan Terapi Pijat Kaki Di Icu Rumkital Dr. Midiyato Suratani Tanjungpinang Tahun 2025</t>
  </si>
  <si>
    <t>Asuhan Keperawatan Risiko Perfusi Selebral Tidak Efektif Pada Ny.M Dengan Hipertensi Dan Penerapan Slow Back Massage Di Ruang Dahlia Raja Ahmad Thabib Tanjungpinang</t>
  </si>
  <si>
    <t>Asuhan Keperawatan Nyeri Akut Pada Ny.T Dengan Post Sectio Caesarea Ketuban Pecah Dini (Kpd) Dan Penerapan Relaksasi Genggam Jari Di Ruangan Sebetul Rumkital Dr. Midiyato Suratani Tanjungpinang</t>
  </si>
  <si>
    <t>Asuhan Keperawatan Nyeri Akut Pada Tn.H Dengan Post Operasi Hernia Inguinalis Dan Penerapan Aromaterapi Lemon Di Ruang Senoa Rumkital Dr. Midiyato Suratani Tanjungpinang</t>
  </si>
  <si>
    <t>Asuhan Keperawatan Gangguan Persepsi Sensori Halusinasi Pendengaran Pada Tn.M Dengan Skizofrenia Paranoid Dan Penerapan Terapi Thought Stopping Di Ruang Mandau 2 Rsj Tampan Pekanbaru Tahun 2025</t>
  </si>
  <si>
    <t>Asuhan Keperawatan Nyeri Akut Pada Ny.P Dengan Post Sectio Caesarea Cephalopelvic Disproportion (Cpd) Dan Penerapan Aromaterapi Lavender Di Ruang Sebetul Rumkital Dr. Midiyato Suratani Tanjungpinang</t>
  </si>
  <si>
    <t>Asuhan Keperawatan Nyeri Pada Tn.D Dengan Rhematoid Athritis Dan Penerapan Kompres Air Jahe Di Di Rumah Bahagia Bintan</t>
  </si>
  <si>
    <t>Asuhan Keperawatan Nyeri Akut Pada Tn.S Dengan Post Operasi Hernia Dan Penerapan Terapi Musik Di Ruang Senoa Dr. Rsal Midiyato Suratani Tanjungpinang</t>
  </si>
  <si>
    <t>Asuhan Keperawatan Nyeri Akut Pada Tn.S Dengan Gastritis Dan Penerapan Rebusan Air Kunyit Di Rumah Bahagia Bintan Tahun 2025</t>
  </si>
  <si>
    <t>Asuhan Keperawatan Menyusui Tidak Efektif Pada Ny.L Dengan Post Sectio Caesare Ketuban Pecah Dini (Kpd) Dan Penerapan Massege Oksitosin Di Ruang Boungenvill Raja Ahmad Tabib Provinsi Kepulauan Riau</t>
  </si>
  <si>
    <t>Asuhan Keperawatan Hipervolemia Pada Ny.K Dengan Chronic Kidney Disease (Ckd) Dan Penerapan Ankle Pump Exercise Dan Elevasi Kaki Di Ruang Dahlia Rsud Raja Ahmad Thabib Tanjungpinang Tahun 2025</t>
  </si>
  <si>
    <t>Asuhan Keperawatan Bersihan Jalan Nafas Tidak Efektif Pada Tn. S Dengan Ppok Dan Penerapan Teknik Clapping Di Ruang Dahlia Rsud Raja Ahmad Thabib Kota Tanjung Pinang</t>
  </si>
  <si>
    <t>Asuhan Keperawatan Bersihan Jalan Nafas Tidak Efektif Pada An.H Bronkopneumonia Dan Penerapan Terapi Uap Minyak Kayu Putih Di Ruangan Anyelir Rumah Sakit Raja Ahmad Thabib Provinsi Kepulauan Riau</t>
  </si>
  <si>
    <t>Asuhan Keperawatan Bersihan Jalan Napas Tidak Efektif Pada Ny.N Dengan Ppok Eksaserbasi Dan Penerapan Active Cycle Of Breathing Technique Di Igd Rsud Raja Ahmad Thabib Provinsi Kepri Tahun 2025</t>
  </si>
  <si>
    <t>Asuhan Keperawatan Gangguan Persepsi Sensori Pada Tn.B Dengan Halusinasi Pendengaran Dan Penerapan Terapi Gambar Di Ruang Mandau 2 Rsj Tampan Pekanbaru</t>
  </si>
  <si>
    <t>Asuhan Keperawatan Ansietas Pada An.S Dengan Kejang Demam dan Penerapan Terapi Mewarnai Di Ruang Subi Kecil Rumkital DR,Midiyanto Suratani Tanjung Pinang</t>
  </si>
  <si>
    <t>7 November 2025</t>
  </si>
  <si>
    <t>686 / 14 / XI / 2025</t>
  </si>
  <si>
    <t>687 / 14 / XI / 2025</t>
  </si>
  <si>
    <t>688 / 14 / XI / 2025</t>
  </si>
  <si>
    <t>689 / 14 / XI / 2025</t>
  </si>
  <si>
    <t>690 / 14 / XI / 2025</t>
  </si>
  <si>
    <t>691 / 14 / XI / 2025</t>
  </si>
  <si>
    <t>692 / 14 / XI / 2025</t>
  </si>
  <si>
    <t>693 / 14 / XI / 2025</t>
  </si>
  <si>
    <t>694 / 14 / XI / 2025</t>
  </si>
  <si>
    <t>695 / 14 / XI / 2025</t>
  </si>
  <si>
    <t>697 / 14 / XI / 2025</t>
  </si>
  <si>
    <t>698 / 14 / XI / 2025</t>
  </si>
  <si>
    <t>699 / 14 / XI / 2025</t>
  </si>
  <si>
    <t>700 / 14 / XI / 2025</t>
  </si>
  <si>
    <t>701 / 14 / XI / 2025</t>
  </si>
  <si>
    <t>702 / 14 / XI / 2025</t>
  </si>
  <si>
    <t>703 / 14 / XI / 2025</t>
  </si>
  <si>
    <t>704 / 14 / XI / 2025</t>
  </si>
  <si>
    <t>705 / 14 / XI / 2025</t>
  </si>
  <si>
    <t>706 / 14 / XI / 2025</t>
  </si>
  <si>
    <t>707 / 14 / XI / 2025</t>
  </si>
  <si>
    <t>709 / 14 / XI / 2025</t>
  </si>
  <si>
    <t>710 / 14 / XI / 2025</t>
  </si>
  <si>
    <t>711 / 14 / XI / 2025</t>
  </si>
  <si>
    <t>712 / 14 / XI / 2025</t>
  </si>
  <si>
    <t>716 / 14 / XI / 2025</t>
  </si>
  <si>
    <t>717 / 14 / XI / 2025</t>
  </si>
  <si>
    <t>719 / 14 / XI / 2025</t>
  </si>
  <si>
    <t>721 / 14 / XI / 2025</t>
  </si>
  <si>
    <t>722 / 14 / XI / 2025</t>
  </si>
  <si>
    <t>724 / 14 / XI / 2025</t>
  </si>
  <si>
    <t>726 / 14 / XI / 2025</t>
  </si>
  <si>
    <t>Maulina Husna</t>
  </si>
  <si>
    <t>Ahmad Saifuddin Azhary</t>
  </si>
  <si>
    <t>Yusnita Fiandari</t>
  </si>
  <si>
    <t>Yugi Amaliandini</t>
  </si>
  <si>
    <t>Yolanda Putri Jotama</t>
  </si>
  <si>
    <t>Trisna Wati</t>
  </si>
  <si>
    <t>Suryan Nurmasyitah</t>
  </si>
  <si>
    <t>Rima Alfiana</t>
  </si>
  <si>
    <t>Putri Yani</t>
  </si>
  <si>
    <t>Putri Apricilia Nurlis</t>
  </si>
  <si>
    <t>Putri</t>
  </si>
  <si>
    <t>Nureza Rahmadani</t>
  </si>
  <si>
    <t>Jeny Afriani</t>
  </si>
  <si>
    <t>Ivy Hani Anggita</t>
  </si>
  <si>
    <t>Ghina Kalbiah</t>
  </si>
  <si>
    <t>Endang Ayu Lestari</t>
  </si>
  <si>
    <t>Dewi Yuhanda</t>
  </si>
  <si>
    <t>Clara Egidya Mariyadi</t>
  </si>
  <si>
    <t>Ayu Putri Ananda</t>
  </si>
  <si>
    <t>Andi Rizka Juniawati</t>
  </si>
  <si>
    <t>Andek Sukhairi Indrawan</t>
  </si>
  <si>
    <t>Maimunah</t>
  </si>
  <si>
    <t>Seli Susanti</t>
  </si>
  <si>
    <t>Rizki Azmazatin</t>
  </si>
  <si>
    <t>Rika Erviana</t>
  </si>
  <si>
    <t>Renta Febrywati Silalahi</t>
  </si>
  <si>
    <t>Lili Wahyuni</t>
  </si>
  <si>
    <t>Fadhilah Mufarrichah</t>
  </si>
  <si>
    <t>Eka Afriani</t>
  </si>
  <si>
    <t>Efika</t>
  </si>
  <si>
    <t>Astrid Julantika</t>
  </si>
  <si>
    <t>Alini Kelesy Wulandari</t>
  </si>
  <si>
    <t>10 Mei 1995</t>
  </si>
  <si>
    <t>03 September 1995</t>
  </si>
  <si>
    <t>Gemuruh Kundur Barat</t>
  </si>
  <si>
    <t>16 Agustus 2002</t>
  </si>
  <si>
    <t>Asuhan Keperawatan Gangguan Persepsi Sensori: Halusinasi Pendengaran Pada Tn.K Dengan skizofrenia Pada Penerapan Terapi Okupasi Di RSJ Tampan Riau</t>
  </si>
  <si>
    <t>Asuhan Keperawatan Nyeri Akut Pada Ny. S Dengan Post Sectio Caesarea Ketuban Pecah Dini (KPD) Dan Penerapan Aromaterapi Bitter Orange Di Ruang Sebetul Rumkital Dr. Midiyato Suratani Tanjungpinang Tahun 2025</t>
  </si>
  <si>
    <t>Asuhan Keperawatan Gangguan Integeritas Kulit Pada An.A Dengan Luka Bakar Dan Penerapan Aloevera Di Paviliun Cindai Rsud Encik Maryam Kabupatern 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</si>
</sst>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CAF0"/>
        <bgColor indexed="64"/>
      </patternFill>
    </fill>
    <fill>
      <patternFill patternType="solid">
        <fgColor rgb="FFA9F5FD"/>
        <bgColor indexed="64"/>
      </patternFill>
    </fill>
    <fill>
      <patternFill patternType="solid">
        <fgColor rgb="FFDAECBA"/>
        <bgColor indexed="64"/>
      </patternFill>
    </fill>
    <fill>
      <patternFill patternType="solid">
        <fgColor rgb="FFD8DE5C"/>
        <bgColor indexed="64"/>
      </patternFill>
    </fill>
    <fill>
      <patternFill patternType="solid">
        <fgColor rgb="FFEECED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7E8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90">
    <xf numFmtId="0" fontId="0" fillId="0" borderId="0" xfId="0"/>
    <xf numFmtId="1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4" fillId="5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7" fillId="13" borderId="1" xfId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" fontId="7" fillId="13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4" fillId="15" borderId="1" xfId="0" applyNumberFormat="1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2" fontId="7" fillId="16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15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0" borderId="1" xfId="0" applyBorder="1"/>
  </cellXfs>
  <cellStyles count="3">
    <cellStyle name="Normal" xfId="0" builtinId="0"/>
    <cellStyle name="Normal 3" xfId="1" xr:uid="{9EBF4F2E-FD8F-41AB-8A01-F8608D30B954}"/>
    <cellStyle name="Normal 4" xfId="2" xr:uid="{7E8E055F-DEB8-4365-A963-7919D1CD2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E07E-2456-4103-B778-68197CC400F6}">
  <dimension ref="A1:BW50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8" sqref="F28"/>
    </sheetView>
  </sheetViews>
  <sheetFormatPr defaultRowHeight="15" x14ac:dyDescent="0.25"/>
  <cols>
    <col min="2" max="2" width="35.5703125" customWidth="1"/>
    <col min="3" max="3" width="28.28515625" customWidth="1"/>
    <col min="4" max="4" width="19.42578125" customWidth="1"/>
    <col min="5" max="5" width="20.42578125" customWidth="1"/>
    <col min="6" max="6" width="28.5703125" style="60" customWidth="1"/>
    <col min="7" max="7" width="26.28515625" style="60" customWidth="1"/>
    <col min="8" max="8" width="32" customWidth="1"/>
    <col min="9" max="9" width="11.42578125" customWidth="1"/>
    <col min="10" max="10" width="11.7109375" customWidth="1"/>
    <col min="11" max="11" width="11.28515625" customWidth="1"/>
    <col min="73" max="73" width="22.7109375" customWidth="1"/>
    <col min="74" max="74" width="18.85546875" customWidth="1"/>
    <col min="75" max="75" width="27.85546875" customWidth="1"/>
  </cols>
  <sheetData>
    <row r="1" spans="1:75" ht="15.75" x14ac:dyDescent="0.25">
      <c r="A1" s="72" t="s">
        <v>0</v>
      </c>
      <c r="B1" s="72" t="s">
        <v>1</v>
      </c>
      <c r="C1" s="72" t="s">
        <v>2</v>
      </c>
      <c r="D1" s="72" t="s">
        <v>3</v>
      </c>
      <c r="E1" s="72" t="s">
        <v>28</v>
      </c>
      <c r="F1" s="73" t="s">
        <v>29</v>
      </c>
      <c r="G1" s="73" t="s">
        <v>32</v>
      </c>
      <c r="H1" s="72" t="s">
        <v>30</v>
      </c>
      <c r="I1" s="74" t="s">
        <v>4</v>
      </c>
      <c r="J1" s="74"/>
      <c r="K1" s="74"/>
      <c r="L1" s="74"/>
      <c r="M1" s="74"/>
      <c r="N1" s="75" t="s">
        <v>5</v>
      </c>
      <c r="O1" s="75"/>
      <c r="P1" s="75"/>
      <c r="Q1" s="75"/>
      <c r="R1" s="75"/>
      <c r="S1" s="76" t="s">
        <v>6</v>
      </c>
      <c r="T1" s="76"/>
      <c r="U1" s="76"/>
      <c r="V1" s="76"/>
      <c r="W1" s="76"/>
      <c r="X1" s="77" t="s">
        <v>7</v>
      </c>
      <c r="Y1" s="77"/>
      <c r="Z1" s="77"/>
      <c r="AA1" s="77"/>
      <c r="AB1" s="77"/>
      <c r="AC1" s="78" t="s">
        <v>8</v>
      </c>
      <c r="AD1" s="78"/>
      <c r="AE1" s="78"/>
      <c r="AF1" s="78"/>
      <c r="AG1" s="78"/>
      <c r="AH1" s="79" t="s">
        <v>9</v>
      </c>
      <c r="AI1" s="79"/>
      <c r="AJ1" s="79"/>
      <c r="AK1" s="79"/>
      <c r="AL1" s="79"/>
      <c r="AM1" s="80" t="s">
        <v>13</v>
      </c>
      <c r="AN1" s="80"/>
      <c r="AO1" s="80"/>
      <c r="AP1" s="80"/>
      <c r="AQ1" s="80"/>
      <c r="AR1" s="81" t="s">
        <v>14</v>
      </c>
      <c r="AS1" s="81"/>
      <c r="AT1" s="81"/>
      <c r="AU1" s="81"/>
      <c r="AV1" s="81"/>
      <c r="AW1" s="82" t="s">
        <v>15</v>
      </c>
      <c r="AX1" s="82"/>
      <c r="AY1" s="82"/>
      <c r="AZ1" s="82"/>
      <c r="BA1" s="82"/>
      <c r="BB1" s="83" t="s">
        <v>16</v>
      </c>
      <c r="BC1" s="83"/>
      <c r="BD1" s="83"/>
      <c r="BE1" s="83"/>
      <c r="BF1" s="83"/>
      <c r="BG1" s="84" t="s">
        <v>17</v>
      </c>
      <c r="BH1" s="84"/>
      <c r="BI1" s="84"/>
      <c r="BJ1" s="84"/>
      <c r="BK1" s="84"/>
      <c r="BL1" s="72" t="s">
        <v>10</v>
      </c>
      <c r="BM1" s="72" t="s">
        <v>11</v>
      </c>
      <c r="BN1" s="85" t="s">
        <v>31</v>
      </c>
      <c r="BO1" s="72" t="s">
        <v>10</v>
      </c>
      <c r="BP1" s="72" t="s">
        <v>11</v>
      </c>
      <c r="BQ1" s="72" t="s">
        <v>12</v>
      </c>
      <c r="BR1" s="13" t="s">
        <v>18</v>
      </c>
      <c r="BS1" s="12" t="s">
        <v>18</v>
      </c>
      <c r="BT1" s="72" t="s">
        <v>19</v>
      </c>
      <c r="BU1" s="85" t="s">
        <v>33</v>
      </c>
      <c r="BV1" s="85" t="s">
        <v>34</v>
      </c>
      <c r="BW1" s="85" t="s">
        <v>35</v>
      </c>
    </row>
    <row r="2" spans="1:75" ht="15.75" x14ac:dyDescent="0.25">
      <c r="A2" s="72"/>
      <c r="B2" s="72"/>
      <c r="C2" s="72"/>
      <c r="D2" s="72"/>
      <c r="E2" s="72"/>
      <c r="F2" s="73"/>
      <c r="G2" s="73"/>
      <c r="H2" s="72"/>
      <c r="I2" s="39" t="s">
        <v>20</v>
      </c>
      <c r="J2" s="40" t="s">
        <v>21</v>
      </c>
      <c r="K2" s="41" t="s">
        <v>22</v>
      </c>
      <c r="L2" s="40" t="s">
        <v>23</v>
      </c>
      <c r="M2" s="40" t="s">
        <v>24</v>
      </c>
      <c r="N2" s="42" t="s">
        <v>20</v>
      </c>
      <c r="O2" s="43" t="s">
        <v>21</v>
      </c>
      <c r="P2" s="43" t="s">
        <v>22</v>
      </c>
      <c r="Q2" s="43" t="s">
        <v>23</v>
      </c>
      <c r="R2" s="43" t="s">
        <v>24</v>
      </c>
      <c r="S2" s="44" t="s">
        <v>20</v>
      </c>
      <c r="T2" s="45" t="s">
        <v>21</v>
      </c>
      <c r="U2" s="45" t="s">
        <v>22</v>
      </c>
      <c r="V2" s="45" t="s">
        <v>23</v>
      </c>
      <c r="W2" s="45" t="s">
        <v>24</v>
      </c>
      <c r="X2" s="46" t="s">
        <v>20</v>
      </c>
      <c r="Y2" s="46" t="s">
        <v>21</v>
      </c>
      <c r="Z2" s="46" t="s">
        <v>22</v>
      </c>
      <c r="AA2" s="46" t="s">
        <v>23</v>
      </c>
      <c r="AB2" s="46" t="s">
        <v>24</v>
      </c>
      <c r="AC2" s="47" t="s">
        <v>20</v>
      </c>
      <c r="AD2" s="47" t="s">
        <v>21</v>
      </c>
      <c r="AE2" s="47" t="s">
        <v>22</v>
      </c>
      <c r="AF2" s="47" t="s">
        <v>23</v>
      </c>
      <c r="AG2" s="47" t="s">
        <v>24</v>
      </c>
      <c r="AH2" s="48" t="s">
        <v>20</v>
      </c>
      <c r="AI2" s="48" t="s">
        <v>21</v>
      </c>
      <c r="AJ2" s="48" t="s">
        <v>22</v>
      </c>
      <c r="AK2" s="48" t="s">
        <v>23</v>
      </c>
      <c r="AL2" s="48" t="s">
        <v>24</v>
      </c>
      <c r="AM2" s="12" t="s">
        <v>20</v>
      </c>
      <c r="AN2" s="12" t="s">
        <v>21</v>
      </c>
      <c r="AO2" s="12" t="s">
        <v>22</v>
      </c>
      <c r="AP2" s="12" t="s">
        <v>23</v>
      </c>
      <c r="AQ2" s="12" t="s">
        <v>24</v>
      </c>
      <c r="AR2" s="12" t="s">
        <v>20</v>
      </c>
      <c r="AS2" s="12" t="s">
        <v>21</v>
      </c>
      <c r="AT2" s="12" t="s">
        <v>22</v>
      </c>
      <c r="AU2" s="12" t="s">
        <v>23</v>
      </c>
      <c r="AV2" s="12" t="s">
        <v>24</v>
      </c>
      <c r="AW2" s="12" t="s">
        <v>20</v>
      </c>
      <c r="AX2" s="12" t="s">
        <v>21</v>
      </c>
      <c r="AY2" s="12" t="s">
        <v>22</v>
      </c>
      <c r="AZ2" s="12" t="s">
        <v>23</v>
      </c>
      <c r="BA2" s="12" t="s">
        <v>24</v>
      </c>
      <c r="BB2" s="12" t="s">
        <v>20</v>
      </c>
      <c r="BC2" s="12" t="s">
        <v>21</v>
      </c>
      <c r="BD2" s="12" t="s">
        <v>22</v>
      </c>
      <c r="BE2" s="12" t="s">
        <v>23</v>
      </c>
      <c r="BF2" s="12" t="s">
        <v>24</v>
      </c>
      <c r="BG2" s="12" t="s">
        <v>20</v>
      </c>
      <c r="BH2" s="12" t="s">
        <v>21</v>
      </c>
      <c r="BI2" s="12" t="s">
        <v>22</v>
      </c>
      <c r="BJ2" s="12" t="s">
        <v>23</v>
      </c>
      <c r="BK2" s="12" t="s">
        <v>24</v>
      </c>
      <c r="BL2" s="72"/>
      <c r="BM2" s="72"/>
      <c r="BN2" s="85"/>
      <c r="BO2" s="72"/>
      <c r="BP2" s="72"/>
      <c r="BQ2" s="72"/>
      <c r="BR2" s="13" t="s">
        <v>20</v>
      </c>
      <c r="BS2" s="12" t="s">
        <v>25</v>
      </c>
      <c r="BT2" s="72"/>
      <c r="BU2" s="85"/>
      <c r="BV2" s="85"/>
      <c r="BW2" s="85"/>
    </row>
    <row r="3" spans="1:75" x14ac:dyDescent="0.25">
      <c r="A3" s="6">
        <v>1</v>
      </c>
      <c r="B3" s="69" t="s">
        <v>184</v>
      </c>
      <c r="C3" s="6">
        <v>132414001</v>
      </c>
      <c r="D3" s="6" t="s">
        <v>26</v>
      </c>
      <c r="E3" s="6" t="s">
        <v>36</v>
      </c>
      <c r="F3" s="58" t="s">
        <v>37</v>
      </c>
      <c r="G3" s="58" t="s">
        <v>120</v>
      </c>
      <c r="H3" s="68" t="s">
        <v>121</v>
      </c>
      <c r="I3" s="17">
        <v>80</v>
      </c>
      <c r="J3" s="18" t="str">
        <f t="shared" ref="J3:J34" si="0">IF(I3&gt;=80,"A",IF(I3&gt;=75,"B+",IF(I3&gt;=70,"B",IF(I3&gt;=65,"C+",IF(I3&gt;=60,"C",IF(I3&gt;=55,"D",IF(I3&lt;55,"E")))))))</f>
        <v>A</v>
      </c>
      <c r="K3" s="19">
        <f t="shared" ref="K3:K34" si="1">IF(J3="A",4,IF(J3="B+",3.5,IF(J3="B",3,IF(J3="C+",2.5,IF(J3="C",2,IF(J3="D",1,0))))))</f>
        <v>4</v>
      </c>
      <c r="L3" s="20">
        <v>2</v>
      </c>
      <c r="M3" s="21">
        <f t="shared" ref="M3:M34" si="2">K3*L3</f>
        <v>8</v>
      </c>
      <c r="N3" s="22">
        <v>78</v>
      </c>
      <c r="O3" s="23" t="str">
        <f t="shared" ref="O3:O34" si="3">IF(N3&gt;=80,"A",IF(N3&gt;=75,"B+",IF(N3&gt;=70,"B",IF(N3&gt;=65,"C+",IF(N3&gt;=60,"C",IF(N3&gt;=55,"D",IF(N3&lt;55,"E")))))))</f>
        <v>B+</v>
      </c>
      <c r="P3" s="24">
        <f t="shared" ref="P3:P34" si="4">IF(O3="A",4,IF(O3="B+",3.5,IF(O3="B",3,IF(O3="C+",2.5,IF(O3="C",2,IF(O3="D",1,0))))))</f>
        <v>3.5</v>
      </c>
      <c r="Q3" s="25">
        <v>6</v>
      </c>
      <c r="R3" s="26">
        <f>P3*Q3</f>
        <v>21</v>
      </c>
      <c r="S3" s="34">
        <v>75</v>
      </c>
      <c r="T3" s="35" t="str">
        <f t="shared" ref="T3:T34" si="5">IF(S3&gt;=80,"A",IF(S3&gt;=75,"B+",IF(S3&gt;=70,"B",IF(S3&gt;=65,"C+",IF(S3&gt;=60,"C",IF(S3&gt;=55,"D",IF(S3&lt;55,"E")))))))</f>
        <v>B+</v>
      </c>
      <c r="U3" s="36">
        <f>IF(T3="A",4,IF(T3="B+",3.5,IF(T3="B",3,IF(T3="C+",2.5,IF(T3="C",2,IF(T3="D",1,0))))))</f>
        <v>3.5</v>
      </c>
      <c r="V3" s="37">
        <f>3</f>
        <v>3</v>
      </c>
      <c r="W3" s="38">
        <f>U3*V3</f>
        <v>10.5</v>
      </c>
      <c r="X3" s="31">
        <v>78</v>
      </c>
      <c r="Y3" s="33" t="str">
        <f t="shared" ref="Y3:Y34" si="6">IF(X3&gt;=80,"A",IF(X3&gt;=75,"B+",IF(X3&gt;=70,"B",IF(X3&gt;=65,"C+",IF(X3&gt;=60,"C",IF(X3&gt;=55,"D",IF(X3&lt;55,"E")))))))</f>
        <v>B+</v>
      </c>
      <c r="Z3" s="32">
        <f t="shared" ref="Z3:Z34" si="7">IF(Y3="A",4,IF(Y3="B+",3.5,IF(Y3="B",3,IF(Y3="C+",2.5,IF(Y3="C",2,IF(Y3="D",1,0))))))</f>
        <v>3.5</v>
      </c>
      <c r="AA3" s="33">
        <v>4</v>
      </c>
      <c r="AB3" s="86">
        <f t="shared" ref="AB3:AB34" si="8">Z3*AA3</f>
        <v>14</v>
      </c>
      <c r="AC3" s="49">
        <v>76</v>
      </c>
      <c r="AD3" s="87" t="str">
        <f t="shared" ref="AD3:AD34" si="9">IF(AC3&gt;=80,"A",IF(AC3&gt;=75,"B+",IF(AC3&gt;=70,"B",IF(AC3&gt;=65,"C+",IF(AC3&gt;=60,"C",IF(AC3&gt;=55,"D",IF(AC3&lt;55,"E")))))))</f>
        <v>B+</v>
      </c>
      <c r="AE3" s="27">
        <f t="shared" ref="AE3:AE34" si="10">IF(AD3="A",4,IF(AD3="B+",3.5,IF(AD3="B",3,IF(AD3="C+",2.5,IF(AD3="C",2,IF(AD3="D",1,0))))))</f>
        <v>3.5</v>
      </c>
      <c r="AF3" s="28">
        <v>3</v>
      </c>
      <c r="AG3" s="29">
        <f t="shared" ref="AG3:AG34" si="11">AE3*AF3</f>
        <v>10.5</v>
      </c>
      <c r="AH3" s="30">
        <v>74</v>
      </c>
      <c r="AI3" s="2" t="str">
        <f t="shared" ref="AI3:AI34" si="12">IF(AH3&gt;=80,"A",IF(AH3&gt;=75,"B+",IF(AH3&gt;=70,"B",IF(AH3&gt;=65,"C+",IF(AH3&gt;=60,"C",IF(AH3&gt;=55,"D",IF(AH3&lt;55,"E")))))))</f>
        <v>B</v>
      </c>
      <c r="AJ3" s="3">
        <f t="shared" ref="AJ3:AJ34" si="13">IF(AI3="A",4,IF(AI3="B+",3.5,IF(AI3="B",3,IF(AI3="C+",2.5,IF(AI3="C",2,IF(AI3="D",1,0))))))</f>
        <v>3</v>
      </c>
      <c r="AK3" s="4">
        <v>2</v>
      </c>
      <c r="AL3" s="5">
        <f>AJ3*AK3</f>
        <v>6</v>
      </c>
      <c r="AM3" s="11">
        <v>80</v>
      </c>
      <c r="AN3" s="7" t="str">
        <f t="shared" ref="AN3:AN34" si="14">IF(AM3&gt;=80,"A",IF(AM3&gt;=75,"B+",IF(AM3&gt;=70,"B",IF(AM3&gt;=65,"C+",IF(AM3&gt;=60,"C",IF(AM3&gt;=55,"D",IF(AM3&lt;55,"E")))))))</f>
        <v>A</v>
      </c>
      <c r="AO3" s="8">
        <f t="shared" ref="AO3:AO34" si="15">IF(AN3="A",4,IF(AN3="B+",3.5,IF(AN3="B",3,IF(AN3="C+",2.5,IF(AN3="C",2,IF(AN3="D",1,0))))))</f>
        <v>4</v>
      </c>
      <c r="AP3" s="7">
        <v>3</v>
      </c>
      <c r="AQ3" s="7">
        <f t="shared" ref="AQ3:AQ34" si="16">AO3*AP3</f>
        <v>12</v>
      </c>
      <c r="AR3" s="9">
        <v>80</v>
      </c>
      <c r="AS3" s="7" t="str">
        <f>IF(AR3&gt;=80,"A",IF(AR3&gt;=75,"B+",IF(AR3&gt;=70,"B",IF(AR3&gt;=65,"C+",IF(AR3&gt;=60,"C",IF(AR3&gt;=55,"D",IF(AR3&lt;55,"E")))))))</f>
        <v>A</v>
      </c>
      <c r="AT3" s="8">
        <f>IF(AS3="A",4,IF(AS3="B+",3.5,IF(AS3="B",3,IF(AS3="C+",2.5,IF(AS3="C",2,IF(AS3="D",1,0))))))</f>
        <v>4</v>
      </c>
      <c r="AU3" s="62">
        <v>4</v>
      </c>
      <c r="AV3" s="7">
        <f>AT3*AU3</f>
        <v>16</v>
      </c>
      <c r="AW3" s="63">
        <v>83</v>
      </c>
      <c r="AX3" s="7" t="str">
        <f>IF(AW3&gt;=80,"A",IF(AW3&gt;=75,"B+",IF(AW3&gt;=70,"B",IF(AW3&gt;=65,"C+",IF(AW3&gt;=60,"C",IF(AW3&gt;=55,"D",IF(AW3&lt;55,"E")))))))</f>
        <v>A</v>
      </c>
      <c r="AY3" s="8">
        <f>IF(AX3="A",4,IF(AX3="B+",3.5,IF(AX3="B",3,IF(AX3="C+",2.5,IF(AX3="C",2,IF(AX3="D",1,0))))))</f>
        <v>4</v>
      </c>
      <c r="AZ3" s="64">
        <v>4</v>
      </c>
      <c r="BA3" s="62">
        <f>AY3*AZ3</f>
        <v>16</v>
      </c>
      <c r="BB3" s="11">
        <v>80</v>
      </c>
      <c r="BC3" s="7" t="str">
        <f>IF(BB3&gt;=80,"A",IF(BB3&gt;=75,"B+",IF(BB3&gt;=70,"B",IF(BB3&gt;=65,"C+",IF(BB3&gt;=60,"C",IF(BB3&gt;=55,"D",IF(BB3&lt;55,"E")))))))</f>
        <v>A</v>
      </c>
      <c r="BD3" s="8">
        <f>IF(BC3="A",4,IF(BC3="B+",3.5,IF(BC3="B",3,IF(BC3="C+",2.5,IF(BC3="C",2,IF(BC3="D",1,0))))))</f>
        <v>4</v>
      </c>
      <c r="BE3" s="7">
        <v>5</v>
      </c>
      <c r="BF3" s="7">
        <f>BD3*BE3</f>
        <v>20</v>
      </c>
      <c r="BG3" s="7">
        <v>84</v>
      </c>
      <c r="BH3" s="7" t="str">
        <f>IF(BG3&gt;=80,"A",IF(BG3&gt;=75,"B+",IF(BG3&gt;=70,"B",IF(BG3&gt;=65,"C+",IF(BG3&gt;=60,"C",IF(BG3&gt;=55,"D",IF(BG3&lt;55,"E")))))))</f>
        <v>A</v>
      </c>
      <c r="BI3" s="8">
        <f>IF(BH3="A",4,IF(BH3="B+",3.5,IF(BH3="B",3,IF(BH3="C+",2.5,IF(BH3="C",2,IF(BH3="D",1,0))))))</f>
        <v>4</v>
      </c>
      <c r="BJ3" s="62">
        <v>2</v>
      </c>
      <c r="BK3" s="7">
        <f>BI3*BJ3</f>
        <v>8</v>
      </c>
      <c r="BL3" s="10">
        <f t="shared" ref="BL3:BL34" si="17">M3+R3+W3+AB3+AL3+AG3</f>
        <v>70</v>
      </c>
      <c r="BM3" s="7">
        <f t="shared" ref="BM3:BM34" si="18">AK3+AF3+AA3+V3+Q3+L3</f>
        <v>20</v>
      </c>
      <c r="BN3" s="55">
        <f t="shared" ref="BN3:BN34" si="19">(BL3/BM3)</f>
        <v>3.5</v>
      </c>
      <c r="BO3" s="10">
        <f t="shared" ref="BO3:BO16" si="20">BA3+AV3+AQ3+BK3+BF3</f>
        <v>72</v>
      </c>
      <c r="BP3" s="9">
        <f t="shared" ref="BP3:BP16" si="21">AZ3+AU3+AP3+BE3+BJ3</f>
        <v>18</v>
      </c>
      <c r="BQ3" s="10">
        <f>(BO3/BP3)</f>
        <v>4</v>
      </c>
      <c r="BR3" s="11">
        <f t="shared" ref="BR3:BR34" si="22">BL3+BO3</f>
        <v>142</v>
      </c>
      <c r="BS3" s="10">
        <f t="shared" ref="BS3:BS34" si="23">BM3+BP3</f>
        <v>38</v>
      </c>
      <c r="BT3" s="10">
        <f>BR3/BS3</f>
        <v>3.736842105263158</v>
      </c>
      <c r="BU3" s="54" t="str">
        <f>IF(BT3&gt;=3.51,"Cum Laude",(IF(BT3&gt;=2.75,"Sangat Memuaskan",(IF(BT3&gt;=2,"Memuaskan","GAGAL")))))</f>
        <v>Cum Laude</v>
      </c>
      <c r="BV3" s="54" t="str">
        <f>IF(BT3&gt;=3.51,"Excellent",(IF(BT3&gt;=2.75,"Highly Satisfactory",(IF(BT3&gt;=2,"Satisfactory","FAILED")))))</f>
        <v>Excellent</v>
      </c>
      <c r="BW3" s="54" t="s">
        <v>91</v>
      </c>
    </row>
    <row r="4" spans="1:75" x14ac:dyDescent="0.25">
      <c r="A4" s="6">
        <v>2</v>
      </c>
      <c r="B4" s="69" t="s">
        <v>183</v>
      </c>
      <c r="C4" s="6">
        <v>132414002</v>
      </c>
      <c r="D4" s="6" t="s">
        <v>26</v>
      </c>
      <c r="E4" s="6" t="s">
        <v>38</v>
      </c>
      <c r="F4" s="58" t="s">
        <v>39</v>
      </c>
      <c r="G4" s="58" t="s">
        <v>120</v>
      </c>
      <c r="H4" s="68" t="s">
        <v>122</v>
      </c>
      <c r="I4" s="17">
        <v>79</v>
      </c>
      <c r="J4" s="18" t="str">
        <f t="shared" si="0"/>
        <v>B+</v>
      </c>
      <c r="K4" s="19">
        <f t="shared" si="1"/>
        <v>3.5</v>
      </c>
      <c r="L4" s="20">
        <v>2</v>
      </c>
      <c r="M4" s="21">
        <f t="shared" si="2"/>
        <v>7</v>
      </c>
      <c r="N4" s="22">
        <v>77</v>
      </c>
      <c r="O4" s="23" t="str">
        <f t="shared" si="3"/>
        <v>B+</v>
      </c>
      <c r="P4" s="24">
        <f t="shared" si="4"/>
        <v>3.5</v>
      </c>
      <c r="Q4" s="25">
        <v>6</v>
      </c>
      <c r="R4" s="26">
        <f t="shared" ref="R4:R34" si="24">P4*Q4</f>
        <v>21</v>
      </c>
      <c r="S4" s="34">
        <v>80</v>
      </c>
      <c r="T4" s="35" t="str">
        <f t="shared" si="5"/>
        <v>A</v>
      </c>
      <c r="U4" s="36">
        <f t="shared" ref="U4:U34" si="25">IF(T4="A",4,IF(T4="B+",3.5,IF(T4="B",3,IF(T4="C+",2.5,IF(T4="C",2,IF(T4="D",1,0))))))</f>
        <v>4</v>
      </c>
      <c r="V4" s="37">
        <f>3</f>
        <v>3</v>
      </c>
      <c r="W4" s="38">
        <f t="shared" ref="W4:W34" si="26">U4*V4</f>
        <v>12</v>
      </c>
      <c r="X4" s="31">
        <v>78</v>
      </c>
      <c r="Y4" s="33" t="str">
        <f t="shared" si="6"/>
        <v>B+</v>
      </c>
      <c r="Z4" s="32">
        <f t="shared" si="7"/>
        <v>3.5</v>
      </c>
      <c r="AA4" s="33">
        <v>4</v>
      </c>
      <c r="AB4" s="86">
        <f t="shared" si="8"/>
        <v>14</v>
      </c>
      <c r="AC4" s="49">
        <v>77</v>
      </c>
      <c r="AD4" s="87" t="str">
        <f t="shared" si="9"/>
        <v>B+</v>
      </c>
      <c r="AE4" s="27">
        <f t="shared" si="10"/>
        <v>3.5</v>
      </c>
      <c r="AF4" s="28">
        <v>3</v>
      </c>
      <c r="AG4" s="29">
        <f t="shared" si="11"/>
        <v>10.5</v>
      </c>
      <c r="AH4" s="30">
        <v>80</v>
      </c>
      <c r="AI4" s="2" t="str">
        <f t="shared" si="12"/>
        <v>A</v>
      </c>
      <c r="AJ4" s="3">
        <f t="shared" si="13"/>
        <v>4</v>
      </c>
      <c r="AK4" s="4">
        <v>2</v>
      </c>
      <c r="AL4" s="5">
        <f t="shared" ref="AL4:AL34" si="27">AJ4*AK4</f>
        <v>8</v>
      </c>
      <c r="AM4" s="11">
        <v>82</v>
      </c>
      <c r="AN4" s="7" t="str">
        <f t="shared" si="14"/>
        <v>A</v>
      </c>
      <c r="AO4" s="8">
        <f t="shared" si="15"/>
        <v>4</v>
      </c>
      <c r="AP4" s="7">
        <v>3</v>
      </c>
      <c r="AQ4" s="7">
        <f t="shared" si="16"/>
        <v>12</v>
      </c>
      <c r="AR4" s="9">
        <v>83</v>
      </c>
      <c r="AS4" s="7" t="str">
        <f t="shared" ref="AS4:AS34" si="28">IF(AR4&gt;=80,"A",IF(AR4&gt;=75,"B+",IF(AR4&gt;=70,"B",IF(AR4&gt;=65,"C+",IF(AR4&gt;=60,"C",IF(AR4&gt;=55,"D",IF(AR4&lt;55,"E")))))))</f>
        <v>A</v>
      </c>
      <c r="AT4" s="8">
        <f t="shared" ref="AT4:AT34" si="29">IF(AS4="A",4,IF(AS4="B+",3.5,IF(AS4="B",3,IF(AS4="C+",2.5,IF(AS4="C",2,IF(AS4="D",1,0))))))</f>
        <v>4</v>
      </c>
      <c r="AU4" s="62">
        <v>4</v>
      </c>
      <c r="AV4" s="7">
        <f t="shared" ref="AV4:AV34" si="30">AT4*AU4</f>
        <v>16</v>
      </c>
      <c r="AW4" s="63">
        <v>82.3</v>
      </c>
      <c r="AX4" s="7" t="str">
        <f t="shared" ref="AX4:AX34" si="31">IF(AW4&gt;=80,"A",IF(AW4&gt;=75,"B+",IF(AW4&gt;=70,"B",IF(AW4&gt;=65,"C+",IF(AW4&gt;=60,"C",IF(AW4&gt;=55,"D",IF(AW4&lt;55,"E")))))))</f>
        <v>A</v>
      </c>
      <c r="AY4" s="8">
        <f t="shared" ref="AY4:AY34" si="32">IF(AX4="A",4,IF(AX4="B+",3.5,IF(AX4="B",3,IF(AX4="C+",2.5,IF(AX4="C",2,IF(AX4="D",1,0))))))</f>
        <v>4</v>
      </c>
      <c r="AZ4" s="64">
        <v>4</v>
      </c>
      <c r="BA4" s="62">
        <f t="shared" ref="BA4:BA34" si="33">AY4*AZ4</f>
        <v>16</v>
      </c>
      <c r="BB4" s="11">
        <v>82</v>
      </c>
      <c r="BC4" s="7" t="str">
        <f t="shared" ref="BC4:BC34" si="34">IF(BB4&gt;=80,"A",IF(BB4&gt;=75,"B+",IF(BB4&gt;=70,"B",IF(BB4&gt;=65,"C+",IF(BB4&gt;=60,"C",IF(BB4&gt;=55,"D",IF(BB4&lt;55,"E")))))))</f>
        <v>A</v>
      </c>
      <c r="BD4" s="8">
        <f t="shared" ref="BD4:BD34" si="35">IF(BC4="A",4,IF(BC4="B+",3.5,IF(BC4="B",3,IF(BC4="C+",2.5,IF(BC4="C",2,IF(BC4="D",1,0))))))</f>
        <v>4</v>
      </c>
      <c r="BE4" s="7">
        <v>5</v>
      </c>
      <c r="BF4" s="7">
        <f t="shared" ref="BF4:BF34" si="36">BD4*BE4</f>
        <v>20</v>
      </c>
      <c r="BG4" s="7">
        <v>85</v>
      </c>
      <c r="BH4" s="7" t="str">
        <f>IF(BG4&gt;=80,"A",IF(BG4&gt;=75,"B+",IF(BG4&gt;=70,"B",IF(BG4&gt;=65,"C+",IF(BG4&gt;=60,"C",IF(BG4&gt;=55,"D",IF(BG4&lt;55,"E")))))))</f>
        <v>A</v>
      </c>
      <c r="BI4" s="8">
        <f t="shared" ref="BI4:BI34" si="37">IF(BH4="A",4,IF(BH4="B+",3.5,IF(BH4="B",3,IF(BH4="C+",2.5,IF(BH4="C",2,IF(BH4="D",1,0))))))</f>
        <v>4</v>
      </c>
      <c r="BJ4" s="62">
        <v>2</v>
      </c>
      <c r="BK4" s="7">
        <f t="shared" ref="BK4:BK34" si="38">BI4*BJ4</f>
        <v>8</v>
      </c>
      <c r="BL4" s="10">
        <f t="shared" si="17"/>
        <v>72.5</v>
      </c>
      <c r="BM4" s="7">
        <f t="shared" si="18"/>
        <v>20</v>
      </c>
      <c r="BN4" s="55">
        <f t="shared" si="19"/>
        <v>3.625</v>
      </c>
      <c r="BO4" s="10">
        <f t="shared" si="20"/>
        <v>72</v>
      </c>
      <c r="BP4" s="9">
        <f t="shared" si="21"/>
        <v>18</v>
      </c>
      <c r="BQ4" s="10">
        <f t="shared" ref="BQ4:BQ34" si="39">(BO4/BP4)</f>
        <v>4</v>
      </c>
      <c r="BR4" s="11">
        <f t="shared" si="22"/>
        <v>144.5</v>
      </c>
      <c r="BS4" s="10">
        <f t="shared" si="23"/>
        <v>38</v>
      </c>
      <c r="BT4" s="10">
        <f t="shared" ref="BT4:BT34" si="40">BR4/BS4</f>
        <v>3.8026315789473686</v>
      </c>
      <c r="BU4" s="54" t="str">
        <f t="shared" ref="BU4:BU34" si="41">IF(BT4&gt;=3.51,"Cum Laude",(IF(BT4&gt;=2.75,"Sangat Memuaskan",(IF(BT4&gt;=2,"Memuaskan","GAGAL")))))</f>
        <v>Cum Laude</v>
      </c>
      <c r="BV4" s="54" t="str">
        <f t="shared" ref="BV4:BV34" si="42">IF(BT4&gt;=3.51,"Excellent",(IF(BT4&gt;=2.75,"Highly Satisfactory",(IF(BT4&gt;=2,"Satisfactory","FAILED")))))</f>
        <v>Excellent</v>
      </c>
      <c r="BW4" s="54" t="s">
        <v>92</v>
      </c>
    </row>
    <row r="5" spans="1:75" x14ac:dyDescent="0.25">
      <c r="A5" s="6">
        <v>3</v>
      </c>
      <c r="B5" s="69" t="s">
        <v>182</v>
      </c>
      <c r="C5" s="6">
        <v>132414003</v>
      </c>
      <c r="D5" s="6" t="s">
        <v>26</v>
      </c>
      <c r="E5" s="6" t="s">
        <v>40</v>
      </c>
      <c r="F5" s="58" t="s">
        <v>41</v>
      </c>
      <c r="G5" s="58" t="s">
        <v>120</v>
      </c>
      <c r="H5" s="68" t="s">
        <v>123</v>
      </c>
      <c r="I5" s="17">
        <v>80</v>
      </c>
      <c r="J5" s="18" t="str">
        <f t="shared" si="0"/>
        <v>A</v>
      </c>
      <c r="K5" s="19">
        <f t="shared" si="1"/>
        <v>4</v>
      </c>
      <c r="L5" s="20">
        <v>2</v>
      </c>
      <c r="M5" s="21">
        <f t="shared" si="2"/>
        <v>8</v>
      </c>
      <c r="N5" s="22">
        <v>75</v>
      </c>
      <c r="O5" s="23" t="str">
        <f t="shared" si="3"/>
        <v>B+</v>
      </c>
      <c r="P5" s="24">
        <f t="shared" si="4"/>
        <v>3.5</v>
      </c>
      <c r="Q5" s="25">
        <v>6</v>
      </c>
      <c r="R5" s="26">
        <f t="shared" si="24"/>
        <v>21</v>
      </c>
      <c r="S5" s="34">
        <v>78</v>
      </c>
      <c r="T5" s="35" t="str">
        <f t="shared" si="5"/>
        <v>B+</v>
      </c>
      <c r="U5" s="36">
        <f t="shared" si="25"/>
        <v>3.5</v>
      </c>
      <c r="V5" s="37">
        <f>3</f>
        <v>3</v>
      </c>
      <c r="W5" s="38">
        <f t="shared" si="26"/>
        <v>10.5</v>
      </c>
      <c r="X5" s="31">
        <v>80</v>
      </c>
      <c r="Y5" s="33" t="str">
        <f t="shared" si="6"/>
        <v>A</v>
      </c>
      <c r="Z5" s="32">
        <f t="shared" si="7"/>
        <v>4</v>
      </c>
      <c r="AA5" s="33">
        <v>4</v>
      </c>
      <c r="AB5" s="86">
        <f t="shared" si="8"/>
        <v>16</v>
      </c>
      <c r="AC5" s="49">
        <v>79</v>
      </c>
      <c r="AD5" s="87" t="str">
        <f t="shared" si="9"/>
        <v>B+</v>
      </c>
      <c r="AE5" s="27">
        <f t="shared" si="10"/>
        <v>3.5</v>
      </c>
      <c r="AF5" s="28">
        <v>3</v>
      </c>
      <c r="AG5" s="29">
        <f t="shared" si="11"/>
        <v>10.5</v>
      </c>
      <c r="AH5" s="30">
        <v>79</v>
      </c>
      <c r="AI5" s="2" t="str">
        <f t="shared" si="12"/>
        <v>B+</v>
      </c>
      <c r="AJ5" s="3">
        <f t="shared" si="13"/>
        <v>3.5</v>
      </c>
      <c r="AK5" s="4">
        <v>2</v>
      </c>
      <c r="AL5" s="5">
        <f t="shared" si="27"/>
        <v>7</v>
      </c>
      <c r="AM5" s="11">
        <v>82</v>
      </c>
      <c r="AN5" s="7" t="str">
        <f t="shared" si="14"/>
        <v>A</v>
      </c>
      <c r="AO5" s="8">
        <f t="shared" si="15"/>
        <v>4</v>
      </c>
      <c r="AP5" s="7">
        <v>3</v>
      </c>
      <c r="AQ5" s="7">
        <f t="shared" si="16"/>
        <v>12</v>
      </c>
      <c r="AR5" s="9">
        <v>79</v>
      </c>
      <c r="AS5" s="7" t="str">
        <f t="shared" si="28"/>
        <v>B+</v>
      </c>
      <c r="AT5" s="8">
        <f t="shared" si="29"/>
        <v>3.5</v>
      </c>
      <c r="AU5" s="62">
        <v>4</v>
      </c>
      <c r="AV5" s="7">
        <f t="shared" si="30"/>
        <v>14</v>
      </c>
      <c r="AW5" s="63">
        <v>83.9</v>
      </c>
      <c r="AX5" s="7" t="str">
        <f t="shared" si="31"/>
        <v>A</v>
      </c>
      <c r="AY5" s="8">
        <f t="shared" si="32"/>
        <v>4</v>
      </c>
      <c r="AZ5" s="64">
        <v>4</v>
      </c>
      <c r="BA5" s="62">
        <f t="shared" si="33"/>
        <v>16</v>
      </c>
      <c r="BB5" s="11">
        <v>82</v>
      </c>
      <c r="BC5" s="7" t="str">
        <f t="shared" si="34"/>
        <v>A</v>
      </c>
      <c r="BD5" s="8">
        <f t="shared" si="35"/>
        <v>4</v>
      </c>
      <c r="BE5" s="7">
        <v>5</v>
      </c>
      <c r="BF5" s="7">
        <f t="shared" si="36"/>
        <v>20</v>
      </c>
      <c r="BG5" s="7">
        <v>82</v>
      </c>
      <c r="BH5" s="7" t="str">
        <f t="shared" ref="BH5:BH34" si="43">IF(BG5&gt;=80,"A",IF(BG5&gt;=75,"B+",IF(BG5&gt;=70,"B",IF(BG5&gt;=65,"C+",IF(BG5&gt;=60,"C",IF(BG5&gt;=55,"D",IF(BG5&lt;55,"E")))))))</f>
        <v>A</v>
      </c>
      <c r="BI5" s="8">
        <f t="shared" si="37"/>
        <v>4</v>
      </c>
      <c r="BJ5" s="62">
        <v>2</v>
      </c>
      <c r="BK5" s="7">
        <f t="shared" si="38"/>
        <v>8</v>
      </c>
      <c r="BL5" s="10">
        <f t="shared" si="17"/>
        <v>73</v>
      </c>
      <c r="BM5" s="7">
        <f t="shared" si="18"/>
        <v>20</v>
      </c>
      <c r="BN5" s="55">
        <f t="shared" si="19"/>
        <v>3.65</v>
      </c>
      <c r="BO5" s="10">
        <f t="shared" si="20"/>
        <v>70</v>
      </c>
      <c r="BP5" s="9">
        <f t="shared" si="21"/>
        <v>18</v>
      </c>
      <c r="BQ5" s="10">
        <f t="shared" si="39"/>
        <v>3.8888888888888888</v>
      </c>
      <c r="BR5" s="11">
        <f t="shared" si="22"/>
        <v>143</v>
      </c>
      <c r="BS5" s="10">
        <f t="shared" si="23"/>
        <v>38</v>
      </c>
      <c r="BT5" s="10">
        <f t="shared" si="40"/>
        <v>3.763157894736842</v>
      </c>
      <c r="BU5" s="54" t="str">
        <f t="shared" si="41"/>
        <v>Cum Laude</v>
      </c>
      <c r="BV5" s="54" t="str">
        <f t="shared" si="42"/>
        <v>Excellent</v>
      </c>
      <c r="BW5" s="54" t="s">
        <v>93</v>
      </c>
    </row>
    <row r="6" spans="1:75" x14ac:dyDescent="0.25">
      <c r="A6" s="6">
        <v>4</v>
      </c>
      <c r="B6" s="69" t="s">
        <v>181</v>
      </c>
      <c r="C6" s="6">
        <v>132414004</v>
      </c>
      <c r="D6" s="6" t="s">
        <v>26</v>
      </c>
      <c r="E6" s="6" t="s">
        <v>42</v>
      </c>
      <c r="F6" s="58" t="s">
        <v>185</v>
      </c>
      <c r="G6" s="58" t="s">
        <v>120</v>
      </c>
      <c r="H6" s="68" t="s">
        <v>124</v>
      </c>
      <c r="I6" s="17">
        <v>80</v>
      </c>
      <c r="J6" s="18" t="str">
        <f>IF(I6&gt;=80,"A",IF(I6&gt;=75,"B+",IF(I6&gt;=70,"B",IF(I6&gt;=65,"C+",IF(I6&gt;=60,"C",IF(I6&gt;=55,"D",IF(I6&lt;55,"E")))))))</f>
        <v>A</v>
      </c>
      <c r="K6" s="19">
        <f t="shared" si="1"/>
        <v>4</v>
      </c>
      <c r="L6" s="20">
        <v>2</v>
      </c>
      <c r="M6" s="21">
        <f t="shared" si="2"/>
        <v>8</v>
      </c>
      <c r="N6" s="22">
        <v>76</v>
      </c>
      <c r="O6" s="23" t="str">
        <f t="shared" si="3"/>
        <v>B+</v>
      </c>
      <c r="P6" s="24">
        <f t="shared" si="4"/>
        <v>3.5</v>
      </c>
      <c r="Q6" s="25">
        <v>6</v>
      </c>
      <c r="R6" s="26">
        <f t="shared" si="24"/>
        <v>21</v>
      </c>
      <c r="S6" s="34">
        <v>76</v>
      </c>
      <c r="T6" s="35" t="str">
        <f t="shared" si="5"/>
        <v>B+</v>
      </c>
      <c r="U6" s="36">
        <f t="shared" si="25"/>
        <v>3.5</v>
      </c>
      <c r="V6" s="37">
        <f>3</f>
        <v>3</v>
      </c>
      <c r="W6" s="38">
        <f t="shared" si="26"/>
        <v>10.5</v>
      </c>
      <c r="X6" s="31">
        <v>79</v>
      </c>
      <c r="Y6" s="33" t="str">
        <f t="shared" si="6"/>
        <v>B+</v>
      </c>
      <c r="Z6" s="32">
        <f t="shared" si="7"/>
        <v>3.5</v>
      </c>
      <c r="AA6" s="33">
        <v>4</v>
      </c>
      <c r="AB6" s="86">
        <f t="shared" si="8"/>
        <v>14</v>
      </c>
      <c r="AC6" s="49">
        <v>78</v>
      </c>
      <c r="AD6" s="87" t="str">
        <f t="shared" si="9"/>
        <v>B+</v>
      </c>
      <c r="AE6" s="27">
        <f t="shared" si="10"/>
        <v>3.5</v>
      </c>
      <c r="AF6" s="28">
        <v>3</v>
      </c>
      <c r="AG6" s="29">
        <f t="shared" si="11"/>
        <v>10.5</v>
      </c>
      <c r="AH6" s="30">
        <v>79</v>
      </c>
      <c r="AI6" s="2" t="str">
        <f t="shared" si="12"/>
        <v>B+</v>
      </c>
      <c r="AJ6" s="3">
        <f t="shared" si="13"/>
        <v>3.5</v>
      </c>
      <c r="AK6" s="4">
        <v>2</v>
      </c>
      <c r="AL6" s="5">
        <f t="shared" si="27"/>
        <v>7</v>
      </c>
      <c r="AM6" s="11">
        <v>81</v>
      </c>
      <c r="AN6" s="7" t="str">
        <f t="shared" si="14"/>
        <v>A</v>
      </c>
      <c r="AO6" s="8">
        <f t="shared" si="15"/>
        <v>4</v>
      </c>
      <c r="AP6" s="7">
        <v>3</v>
      </c>
      <c r="AQ6" s="7">
        <f t="shared" si="16"/>
        <v>12</v>
      </c>
      <c r="AR6" s="9">
        <v>80</v>
      </c>
      <c r="AS6" s="7" t="str">
        <f t="shared" si="28"/>
        <v>A</v>
      </c>
      <c r="AT6" s="8">
        <f t="shared" si="29"/>
        <v>4</v>
      </c>
      <c r="AU6" s="62">
        <v>4</v>
      </c>
      <c r="AV6" s="7">
        <f t="shared" si="30"/>
        <v>16</v>
      </c>
      <c r="AW6" s="63">
        <v>83.1</v>
      </c>
      <c r="AX6" s="7" t="str">
        <f t="shared" si="31"/>
        <v>A</v>
      </c>
      <c r="AY6" s="8">
        <f t="shared" si="32"/>
        <v>4</v>
      </c>
      <c r="AZ6" s="64">
        <v>4</v>
      </c>
      <c r="BA6" s="62">
        <f t="shared" si="33"/>
        <v>16</v>
      </c>
      <c r="BB6" s="11">
        <v>81</v>
      </c>
      <c r="BC6" s="7" t="str">
        <f t="shared" si="34"/>
        <v>A</v>
      </c>
      <c r="BD6" s="8">
        <f t="shared" si="35"/>
        <v>4</v>
      </c>
      <c r="BE6" s="7">
        <v>5</v>
      </c>
      <c r="BF6" s="7">
        <f t="shared" si="36"/>
        <v>20</v>
      </c>
      <c r="BG6" s="7">
        <v>83</v>
      </c>
      <c r="BH6" s="7" t="str">
        <f t="shared" si="43"/>
        <v>A</v>
      </c>
      <c r="BI6" s="8">
        <f t="shared" si="37"/>
        <v>4</v>
      </c>
      <c r="BJ6" s="62">
        <v>2</v>
      </c>
      <c r="BK6" s="7">
        <f t="shared" si="38"/>
        <v>8</v>
      </c>
      <c r="BL6" s="10">
        <f t="shared" si="17"/>
        <v>71</v>
      </c>
      <c r="BM6" s="7">
        <f t="shared" si="18"/>
        <v>20</v>
      </c>
      <c r="BN6" s="55">
        <f t="shared" si="19"/>
        <v>3.55</v>
      </c>
      <c r="BO6" s="10">
        <f t="shared" si="20"/>
        <v>72</v>
      </c>
      <c r="BP6" s="9">
        <f t="shared" si="21"/>
        <v>18</v>
      </c>
      <c r="BQ6" s="10">
        <f t="shared" si="39"/>
        <v>4</v>
      </c>
      <c r="BR6" s="11">
        <f t="shared" si="22"/>
        <v>143</v>
      </c>
      <c r="BS6" s="10">
        <f t="shared" si="23"/>
        <v>38</v>
      </c>
      <c r="BT6" s="10">
        <f t="shared" si="40"/>
        <v>3.763157894736842</v>
      </c>
      <c r="BU6" s="54" t="str">
        <f t="shared" si="41"/>
        <v>Cum Laude</v>
      </c>
      <c r="BV6" s="54" t="str">
        <f t="shared" si="42"/>
        <v>Excellent</v>
      </c>
      <c r="BW6" s="54" t="s">
        <v>94</v>
      </c>
    </row>
    <row r="7" spans="1:75" ht="15.75" x14ac:dyDescent="0.25">
      <c r="A7" s="6">
        <v>5</v>
      </c>
      <c r="B7" s="69" t="s">
        <v>180</v>
      </c>
      <c r="C7" s="6">
        <v>132414005</v>
      </c>
      <c r="D7" s="6" t="s">
        <v>26</v>
      </c>
      <c r="E7" s="6" t="s">
        <v>43</v>
      </c>
      <c r="F7" s="58" t="s">
        <v>44</v>
      </c>
      <c r="G7" s="58" t="s">
        <v>120</v>
      </c>
      <c r="H7" s="68" t="s">
        <v>125</v>
      </c>
      <c r="I7" s="17">
        <v>79</v>
      </c>
      <c r="J7" s="18" t="str">
        <f t="shared" si="0"/>
        <v>B+</v>
      </c>
      <c r="K7" s="19">
        <f t="shared" si="1"/>
        <v>3.5</v>
      </c>
      <c r="L7" s="20">
        <v>2</v>
      </c>
      <c r="M7" s="21">
        <f t="shared" si="2"/>
        <v>7</v>
      </c>
      <c r="N7" s="22">
        <v>75</v>
      </c>
      <c r="O7" s="23" t="str">
        <f t="shared" si="3"/>
        <v>B+</v>
      </c>
      <c r="P7" s="24">
        <f t="shared" si="4"/>
        <v>3.5</v>
      </c>
      <c r="Q7" s="25">
        <v>6</v>
      </c>
      <c r="R7" s="26">
        <f t="shared" si="24"/>
        <v>21</v>
      </c>
      <c r="S7" s="34">
        <v>77</v>
      </c>
      <c r="T7" s="35" t="str">
        <f t="shared" si="5"/>
        <v>B+</v>
      </c>
      <c r="U7" s="36">
        <f t="shared" si="25"/>
        <v>3.5</v>
      </c>
      <c r="V7" s="37">
        <f>3</f>
        <v>3</v>
      </c>
      <c r="W7" s="38">
        <f t="shared" si="26"/>
        <v>10.5</v>
      </c>
      <c r="X7" s="31">
        <v>78</v>
      </c>
      <c r="Y7" s="33" t="str">
        <f t="shared" si="6"/>
        <v>B+</v>
      </c>
      <c r="Z7" s="32">
        <f t="shared" si="7"/>
        <v>3.5</v>
      </c>
      <c r="AA7" s="33">
        <v>4</v>
      </c>
      <c r="AB7" s="86">
        <f t="shared" si="8"/>
        <v>14</v>
      </c>
      <c r="AC7" s="49">
        <v>76</v>
      </c>
      <c r="AD7" s="87" t="str">
        <f t="shared" si="9"/>
        <v>B+</v>
      </c>
      <c r="AE7" s="27">
        <f t="shared" si="10"/>
        <v>3.5</v>
      </c>
      <c r="AF7" s="28">
        <v>3</v>
      </c>
      <c r="AG7" s="29">
        <f t="shared" si="11"/>
        <v>10.5</v>
      </c>
      <c r="AH7" s="30">
        <v>80</v>
      </c>
      <c r="AI7" s="2" t="str">
        <f t="shared" si="12"/>
        <v>A</v>
      </c>
      <c r="AJ7" s="3">
        <f t="shared" si="13"/>
        <v>4</v>
      </c>
      <c r="AK7" s="4">
        <v>2</v>
      </c>
      <c r="AL7" s="5">
        <f t="shared" si="27"/>
        <v>8</v>
      </c>
      <c r="AM7" s="11">
        <v>83</v>
      </c>
      <c r="AN7" s="7" t="str">
        <f t="shared" si="14"/>
        <v>A</v>
      </c>
      <c r="AO7" s="8">
        <f t="shared" si="15"/>
        <v>4</v>
      </c>
      <c r="AP7" s="7">
        <v>3</v>
      </c>
      <c r="AQ7" s="7">
        <f t="shared" si="16"/>
        <v>12</v>
      </c>
      <c r="AR7" s="9">
        <v>79</v>
      </c>
      <c r="AS7" s="7" t="str">
        <f t="shared" si="28"/>
        <v>B+</v>
      </c>
      <c r="AT7" s="8">
        <f t="shared" si="29"/>
        <v>3.5</v>
      </c>
      <c r="AU7" s="62">
        <v>4</v>
      </c>
      <c r="AV7" s="7">
        <f t="shared" si="30"/>
        <v>14</v>
      </c>
      <c r="AW7" s="63">
        <v>81.900000000000006</v>
      </c>
      <c r="AX7" s="7" t="str">
        <f t="shared" si="31"/>
        <v>A</v>
      </c>
      <c r="AY7" s="8">
        <f t="shared" si="32"/>
        <v>4</v>
      </c>
      <c r="AZ7" s="64">
        <v>4</v>
      </c>
      <c r="BA7" s="62">
        <f t="shared" si="33"/>
        <v>16</v>
      </c>
      <c r="BB7" s="11">
        <v>83</v>
      </c>
      <c r="BC7" s="7" t="str">
        <f t="shared" si="34"/>
        <v>A</v>
      </c>
      <c r="BD7" s="8">
        <f t="shared" si="35"/>
        <v>4</v>
      </c>
      <c r="BE7" s="7">
        <v>5</v>
      </c>
      <c r="BF7" s="7">
        <f t="shared" si="36"/>
        <v>20</v>
      </c>
      <c r="BG7" s="7">
        <v>82</v>
      </c>
      <c r="BH7" s="7" t="str">
        <f t="shared" si="43"/>
        <v>A</v>
      </c>
      <c r="BI7" s="8">
        <f t="shared" si="37"/>
        <v>4</v>
      </c>
      <c r="BJ7" s="62">
        <v>2</v>
      </c>
      <c r="BK7" s="7">
        <f t="shared" si="38"/>
        <v>8</v>
      </c>
      <c r="BL7" s="10">
        <f t="shared" si="17"/>
        <v>71</v>
      </c>
      <c r="BM7" s="7">
        <f t="shared" si="18"/>
        <v>20</v>
      </c>
      <c r="BN7" s="55">
        <f t="shared" si="19"/>
        <v>3.55</v>
      </c>
      <c r="BO7" s="10">
        <f t="shared" si="20"/>
        <v>70</v>
      </c>
      <c r="BP7" s="9">
        <f t="shared" si="21"/>
        <v>18</v>
      </c>
      <c r="BQ7" s="10">
        <f t="shared" si="39"/>
        <v>3.8888888888888888</v>
      </c>
      <c r="BR7" s="11">
        <f t="shared" si="22"/>
        <v>141</v>
      </c>
      <c r="BS7" s="10">
        <f t="shared" si="23"/>
        <v>38</v>
      </c>
      <c r="BT7" s="10">
        <f t="shared" si="40"/>
        <v>3.7105263157894739</v>
      </c>
      <c r="BU7" s="54" t="str">
        <f t="shared" si="41"/>
        <v>Cum Laude</v>
      </c>
      <c r="BV7" s="54" t="str">
        <f t="shared" si="42"/>
        <v>Excellent</v>
      </c>
      <c r="BW7" s="88" t="s">
        <v>190</v>
      </c>
    </row>
    <row r="8" spans="1:75" x14ac:dyDescent="0.25">
      <c r="A8" s="6">
        <v>6</v>
      </c>
      <c r="B8" s="69" t="s">
        <v>179</v>
      </c>
      <c r="C8" s="6">
        <v>132414006</v>
      </c>
      <c r="D8" s="6" t="s">
        <v>26</v>
      </c>
      <c r="E8" s="6" t="s">
        <v>45</v>
      </c>
      <c r="F8" s="58" t="s">
        <v>46</v>
      </c>
      <c r="G8" s="58" t="s">
        <v>120</v>
      </c>
      <c r="H8" s="68" t="s">
        <v>126</v>
      </c>
      <c r="I8" s="17">
        <v>80</v>
      </c>
      <c r="J8" s="18" t="str">
        <f t="shared" si="0"/>
        <v>A</v>
      </c>
      <c r="K8" s="19">
        <f t="shared" si="1"/>
        <v>4</v>
      </c>
      <c r="L8" s="20">
        <v>2</v>
      </c>
      <c r="M8" s="21">
        <f t="shared" si="2"/>
        <v>8</v>
      </c>
      <c r="N8" s="22">
        <v>75</v>
      </c>
      <c r="O8" s="23" t="str">
        <f t="shared" si="3"/>
        <v>B+</v>
      </c>
      <c r="P8" s="24">
        <f t="shared" si="4"/>
        <v>3.5</v>
      </c>
      <c r="Q8" s="25">
        <v>6</v>
      </c>
      <c r="R8" s="26">
        <f t="shared" si="24"/>
        <v>21</v>
      </c>
      <c r="S8" s="34">
        <v>75</v>
      </c>
      <c r="T8" s="35" t="str">
        <f t="shared" si="5"/>
        <v>B+</v>
      </c>
      <c r="U8" s="36">
        <f t="shared" si="25"/>
        <v>3.5</v>
      </c>
      <c r="V8" s="37">
        <f>3</f>
        <v>3</v>
      </c>
      <c r="W8" s="38">
        <f t="shared" si="26"/>
        <v>10.5</v>
      </c>
      <c r="X8" s="31">
        <v>79</v>
      </c>
      <c r="Y8" s="33" t="str">
        <f t="shared" si="6"/>
        <v>B+</v>
      </c>
      <c r="Z8" s="32">
        <f t="shared" si="7"/>
        <v>3.5</v>
      </c>
      <c r="AA8" s="33">
        <v>4</v>
      </c>
      <c r="AB8" s="86">
        <f t="shared" si="8"/>
        <v>14</v>
      </c>
      <c r="AC8" s="49">
        <v>79</v>
      </c>
      <c r="AD8" s="87" t="str">
        <f t="shared" si="9"/>
        <v>B+</v>
      </c>
      <c r="AE8" s="27">
        <f t="shared" si="10"/>
        <v>3.5</v>
      </c>
      <c r="AF8" s="28">
        <v>3</v>
      </c>
      <c r="AG8" s="29">
        <f t="shared" si="11"/>
        <v>10.5</v>
      </c>
      <c r="AH8" s="30">
        <v>79</v>
      </c>
      <c r="AI8" s="2" t="str">
        <f t="shared" si="12"/>
        <v>B+</v>
      </c>
      <c r="AJ8" s="3">
        <f t="shared" si="13"/>
        <v>3.5</v>
      </c>
      <c r="AK8" s="4">
        <v>2</v>
      </c>
      <c r="AL8" s="5">
        <f t="shared" si="27"/>
        <v>7</v>
      </c>
      <c r="AM8" s="11">
        <v>82</v>
      </c>
      <c r="AN8" s="7" t="str">
        <f t="shared" si="14"/>
        <v>A</v>
      </c>
      <c r="AO8" s="8">
        <f t="shared" si="15"/>
        <v>4</v>
      </c>
      <c r="AP8" s="7">
        <v>3</v>
      </c>
      <c r="AQ8" s="7">
        <f t="shared" si="16"/>
        <v>12</v>
      </c>
      <c r="AR8" s="9">
        <v>79</v>
      </c>
      <c r="AS8" s="7" t="str">
        <f t="shared" si="28"/>
        <v>B+</v>
      </c>
      <c r="AT8" s="8">
        <f t="shared" si="29"/>
        <v>3.5</v>
      </c>
      <c r="AU8" s="62">
        <v>4</v>
      </c>
      <c r="AV8" s="7">
        <f t="shared" si="30"/>
        <v>14</v>
      </c>
      <c r="AW8" s="63">
        <v>83.1</v>
      </c>
      <c r="AX8" s="7" t="str">
        <f t="shared" si="31"/>
        <v>A</v>
      </c>
      <c r="AY8" s="8">
        <f t="shared" si="32"/>
        <v>4</v>
      </c>
      <c r="AZ8" s="64">
        <v>4</v>
      </c>
      <c r="BA8" s="62">
        <f t="shared" si="33"/>
        <v>16</v>
      </c>
      <c r="BB8" s="11">
        <v>82</v>
      </c>
      <c r="BC8" s="7" t="str">
        <f t="shared" si="34"/>
        <v>A</v>
      </c>
      <c r="BD8" s="8">
        <f t="shared" si="35"/>
        <v>4</v>
      </c>
      <c r="BE8" s="7">
        <v>5</v>
      </c>
      <c r="BF8" s="7">
        <f t="shared" si="36"/>
        <v>20</v>
      </c>
      <c r="BG8" s="7">
        <v>81</v>
      </c>
      <c r="BH8" s="7" t="str">
        <f t="shared" si="43"/>
        <v>A</v>
      </c>
      <c r="BI8" s="8">
        <f t="shared" si="37"/>
        <v>4</v>
      </c>
      <c r="BJ8" s="62">
        <v>2</v>
      </c>
      <c r="BK8" s="7">
        <f t="shared" si="38"/>
        <v>8</v>
      </c>
      <c r="BL8" s="10">
        <f t="shared" si="17"/>
        <v>71</v>
      </c>
      <c r="BM8" s="7">
        <f t="shared" si="18"/>
        <v>20</v>
      </c>
      <c r="BN8" s="55">
        <f t="shared" si="19"/>
        <v>3.55</v>
      </c>
      <c r="BO8" s="10">
        <f t="shared" si="20"/>
        <v>70</v>
      </c>
      <c r="BP8" s="9">
        <f t="shared" si="21"/>
        <v>18</v>
      </c>
      <c r="BQ8" s="10">
        <f t="shared" si="39"/>
        <v>3.8888888888888888</v>
      </c>
      <c r="BR8" s="11">
        <f t="shared" si="22"/>
        <v>141</v>
      </c>
      <c r="BS8" s="10">
        <f t="shared" si="23"/>
        <v>38</v>
      </c>
      <c r="BT8" s="10">
        <f t="shared" si="40"/>
        <v>3.7105263157894739</v>
      </c>
      <c r="BU8" s="54" t="str">
        <f t="shared" si="41"/>
        <v>Cum Laude</v>
      </c>
      <c r="BV8" s="54" t="str">
        <f t="shared" si="42"/>
        <v>Excellent</v>
      </c>
      <c r="BW8" s="54" t="s">
        <v>95</v>
      </c>
    </row>
    <row r="9" spans="1:75" x14ac:dyDescent="0.25">
      <c r="A9" s="6">
        <v>7</v>
      </c>
      <c r="B9" s="69" t="s">
        <v>178</v>
      </c>
      <c r="C9" s="6">
        <v>132414008</v>
      </c>
      <c r="D9" s="6" t="s">
        <v>26</v>
      </c>
      <c r="E9" s="6" t="s">
        <v>47</v>
      </c>
      <c r="F9" s="58" t="s">
        <v>48</v>
      </c>
      <c r="G9" s="58" t="s">
        <v>120</v>
      </c>
      <c r="H9" s="68" t="s">
        <v>127</v>
      </c>
      <c r="I9" s="17">
        <v>80</v>
      </c>
      <c r="J9" s="18" t="str">
        <f t="shared" si="0"/>
        <v>A</v>
      </c>
      <c r="K9" s="19">
        <f t="shared" si="1"/>
        <v>4</v>
      </c>
      <c r="L9" s="20">
        <v>2</v>
      </c>
      <c r="M9" s="21">
        <f t="shared" si="2"/>
        <v>8</v>
      </c>
      <c r="N9" s="22">
        <v>74</v>
      </c>
      <c r="O9" s="23" t="str">
        <f t="shared" si="3"/>
        <v>B</v>
      </c>
      <c r="P9" s="24">
        <f t="shared" si="4"/>
        <v>3</v>
      </c>
      <c r="Q9" s="25">
        <v>6</v>
      </c>
      <c r="R9" s="26">
        <f t="shared" si="24"/>
        <v>18</v>
      </c>
      <c r="S9" s="34">
        <v>77</v>
      </c>
      <c r="T9" s="35" t="str">
        <f t="shared" si="5"/>
        <v>B+</v>
      </c>
      <c r="U9" s="36">
        <f t="shared" si="25"/>
        <v>3.5</v>
      </c>
      <c r="V9" s="37">
        <f>3</f>
        <v>3</v>
      </c>
      <c r="W9" s="38">
        <f t="shared" si="26"/>
        <v>10.5</v>
      </c>
      <c r="X9" s="31">
        <v>77</v>
      </c>
      <c r="Y9" s="33" t="str">
        <f t="shared" si="6"/>
        <v>B+</v>
      </c>
      <c r="Z9" s="32">
        <f t="shared" si="7"/>
        <v>3.5</v>
      </c>
      <c r="AA9" s="33">
        <v>4</v>
      </c>
      <c r="AB9" s="86">
        <f t="shared" si="8"/>
        <v>14</v>
      </c>
      <c r="AC9" s="49">
        <v>76</v>
      </c>
      <c r="AD9" s="87" t="str">
        <f t="shared" si="9"/>
        <v>B+</v>
      </c>
      <c r="AE9" s="27">
        <f t="shared" si="10"/>
        <v>3.5</v>
      </c>
      <c r="AF9" s="28">
        <v>3</v>
      </c>
      <c r="AG9" s="29">
        <f t="shared" si="11"/>
        <v>10.5</v>
      </c>
      <c r="AH9" s="30">
        <v>78</v>
      </c>
      <c r="AI9" s="2" t="str">
        <f t="shared" si="12"/>
        <v>B+</v>
      </c>
      <c r="AJ9" s="3">
        <f t="shared" si="13"/>
        <v>3.5</v>
      </c>
      <c r="AK9" s="4">
        <v>2</v>
      </c>
      <c r="AL9" s="5">
        <f t="shared" si="27"/>
        <v>7</v>
      </c>
      <c r="AM9" s="11">
        <v>80</v>
      </c>
      <c r="AN9" s="7" t="str">
        <f t="shared" si="14"/>
        <v>A</v>
      </c>
      <c r="AO9" s="8">
        <f t="shared" si="15"/>
        <v>4</v>
      </c>
      <c r="AP9" s="7">
        <v>3</v>
      </c>
      <c r="AQ9" s="7">
        <f t="shared" si="16"/>
        <v>12</v>
      </c>
      <c r="AR9" s="9">
        <v>76</v>
      </c>
      <c r="AS9" s="7" t="str">
        <f t="shared" si="28"/>
        <v>B+</v>
      </c>
      <c r="AT9" s="8">
        <f t="shared" si="29"/>
        <v>3.5</v>
      </c>
      <c r="AU9" s="62">
        <v>4</v>
      </c>
      <c r="AV9" s="7">
        <f t="shared" si="30"/>
        <v>14</v>
      </c>
      <c r="AW9" s="63">
        <v>81</v>
      </c>
      <c r="AX9" s="7" t="str">
        <f t="shared" si="31"/>
        <v>A</v>
      </c>
      <c r="AY9" s="8">
        <f t="shared" si="32"/>
        <v>4</v>
      </c>
      <c r="AZ9" s="64">
        <v>4</v>
      </c>
      <c r="BA9" s="62">
        <f t="shared" si="33"/>
        <v>16</v>
      </c>
      <c r="BB9" s="11">
        <v>80</v>
      </c>
      <c r="BC9" s="7" t="str">
        <f t="shared" si="34"/>
        <v>A</v>
      </c>
      <c r="BD9" s="8">
        <f t="shared" si="35"/>
        <v>4</v>
      </c>
      <c r="BE9" s="7">
        <v>5</v>
      </c>
      <c r="BF9" s="7">
        <f t="shared" si="36"/>
        <v>20</v>
      </c>
      <c r="BG9" s="7">
        <v>81</v>
      </c>
      <c r="BH9" s="7" t="str">
        <f t="shared" si="43"/>
        <v>A</v>
      </c>
      <c r="BI9" s="8">
        <f t="shared" si="37"/>
        <v>4</v>
      </c>
      <c r="BJ9" s="62">
        <v>2</v>
      </c>
      <c r="BK9" s="7">
        <f t="shared" si="38"/>
        <v>8</v>
      </c>
      <c r="BL9" s="10">
        <f t="shared" si="17"/>
        <v>68</v>
      </c>
      <c r="BM9" s="7">
        <f t="shared" si="18"/>
        <v>20</v>
      </c>
      <c r="BN9" s="55">
        <f t="shared" si="19"/>
        <v>3.4</v>
      </c>
      <c r="BO9" s="10">
        <f t="shared" si="20"/>
        <v>70</v>
      </c>
      <c r="BP9" s="9">
        <f t="shared" si="21"/>
        <v>18</v>
      </c>
      <c r="BQ9" s="10">
        <f t="shared" si="39"/>
        <v>3.8888888888888888</v>
      </c>
      <c r="BR9" s="11">
        <f t="shared" si="22"/>
        <v>138</v>
      </c>
      <c r="BS9" s="10">
        <f t="shared" si="23"/>
        <v>38</v>
      </c>
      <c r="BT9" s="10">
        <f t="shared" si="40"/>
        <v>3.6315789473684212</v>
      </c>
      <c r="BU9" s="54" t="str">
        <f t="shared" si="41"/>
        <v>Cum Laude</v>
      </c>
      <c r="BV9" s="54" t="str">
        <f t="shared" si="42"/>
        <v>Excellent</v>
      </c>
      <c r="BW9" s="54" t="s">
        <v>96</v>
      </c>
    </row>
    <row r="10" spans="1:75" x14ac:dyDescent="0.25">
      <c r="A10" s="6">
        <v>8</v>
      </c>
      <c r="B10" s="69" t="s">
        <v>177</v>
      </c>
      <c r="C10" s="6">
        <v>132414009</v>
      </c>
      <c r="D10" s="6" t="s">
        <v>26</v>
      </c>
      <c r="E10" s="6" t="s">
        <v>49</v>
      </c>
      <c r="F10" s="58" t="s">
        <v>50</v>
      </c>
      <c r="G10" s="58" t="s">
        <v>120</v>
      </c>
      <c r="H10" s="68" t="s">
        <v>128</v>
      </c>
      <c r="I10" s="17">
        <v>80</v>
      </c>
      <c r="J10" s="18" t="str">
        <f t="shared" si="0"/>
        <v>A</v>
      </c>
      <c r="K10" s="19">
        <f t="shared" si="1"/>
        <v>4</v>
      </c>
      <c r="L10" s="20">
        <v>2</v>
      </c>
      <c r="M10" s="21">
        <f t="shared" si="2"/>
        <v>8</v>
      </c>
      <c r="N10" s="22">
        <v>79</v>
      </c>
      <c r="O10" s="23" t="str">
        <f t="shared" si="3"/>
        <v>B+</v>
      </c>
      <c r="P10" s="24">
        <f t="shared" si="4"/>
        <v>3.5</v>
      </c>
      <c r="Q10" s="25">
        <v>6</v>
      </c>
      <c r="R10" s="26">
        <f t="shared" si="24"/>
        <v>21</v>
      </c>
      <c r="S10" s="34">
        <v>79</v>
      </c>
      <c r="T10" s="35" t="str">
        <f t="shared" si="5"/>
        <v>B+</v>
      </c>
      <c r="U10" s="36">
        <f t="shared" si="25"/>
        <v>3.5</v>
      </c>
      <c r="V10" s="37">
        <f>3</f>
        <v>3</v>
      </c>
      <c r="W10" s="38">
        <f t="shared" si="26"/>
        <v>10.5</v>
      </c>
      <c r="X10" s="31">
        <v>79</v>
      </c>
      <c r="Y10" s="33" t="str">
        <f t="shared" si="6"/>
        <v>B+</v>
      </c>
      <c r="Z10" s="32">
        <f t="shared" si="7"/>
        <v>3.5</v>
      </c>
      <c r="AA10" s="33">
        <v>4</v>
      </c>
      <c r="AB10" s="86">
        <f t="shared" si="8"/>
        <v>14</v>
      </c>
      <c r="AC10" s="49">
        <v>80</v>
      </c>
      <c r="AD10" s="87" t="str">
        <f t="shared" si="9"/>
        <v>A</v>
      </c>
      <c r="AE10" s="27">
        <f t="shared" si="10"/>
        <v>4</v>
      </c>
      <c r="AF10" s="28">
        <v>3</v>
      </c>
      <c r="AG10" s="29">
        <f t="shared" si="11"/>
        <v>12</v>
      </c>
      <c r="AH10" s="30">
        <v>80</v>
      </c>
      <c r="AI10" s="2" t="str">
        <f t="shared" si="12"/>
        <v>A</v>
      </c>
      <c r="AJ10" s="3">
        <f t="shared" si="13"/>
        <v>4</v>
      </c>
      <c r="AK10" s="4">
        <v>2</v>
      </c>
      <c r="AL10" s="5">
        <f t="shared" si="27"/>
        <v>8</v>
      </c>
      <c r="AM10" s="11">
        <v>83</v>
      </c>
      <c r="AN10" s="7" t="str">
        <f t="shared" si="14"/>
        <v>A</v>
      </c>
      <c r="AO10" s="8">
        <f t="shared" si="15"/>
        <v>4</v>
      </c>
      <c r="AP10" s="7">
        <v>3</v>
      </c>
      <c r="AQ10" s="7">
        <f t="shared" si="16"/>
        <v>12</v>
      </c>
      <c r="AR10" s="9">
        <v>82</v>
      </c>
      <c r="AS10" s="7" t="str">
        <f t="shared" si="28"/>
        <v>A</v>
      </c>
      <c r="AT10" s="8">
        <f t="shared" si="29"/>
        <v>4</v>
      </c>
      <c r="AU10" s="62">
        <v>4</v>
      </c>
      <c r="AV10" s="7">
        <f t="shared" si="30"/>
        <v>16</v>
      </c>
      <c r="AW10" s="63">
        <v>84</v>
      </c>
      <c r="AX10" s="7" t="str">
        <f t="shared" si="31"/>
        <v>A</v>
      </c>
      <c r="AY10" s="8">
        <f t="shared" si="32"/>
        <v>4</v>
      </c>
      <c r="AZ10" s="64">
        <v>4</v>
      </c>
      <c r="BA10" s="62">
        <f t="shared" si="33"/>
        <v>16</v>
      </c>
      <c r="BB10" s="11">
        <v>83</v>
      </c>
      <c r="BC10" s="7" t="str">
        <f t="shared" si="34"/>
        <v>A</v>
      </c>
      <c r="BD10" s="8">
        <f t="shared" si="35"/>
        <v>4</v>
      </c>
      <c r="BE10" s="7">
        <v>5</v>
      </c>
      <c r="BF10" s="7">
        <f t="shared" si="36"/>
        <v>20</v>
      </c>
      <c r="BG10" s="7">
        <v>84</v>
      </c>
      <c r="BH10" s="7" t="str">
        <f t="shared" si="43"/>
        <v>A</v>
      </c>
      <c r="BI10" s="8">
        <f t="shared" si="37"/>
        <v>4</v>
      </c>
      <c r="BJ10" s="62">
        <v>2</v>
      </c>
      <c r="BK10" s="7">
        <f t="shared" si="38"/>
        <v>8</v>
      </c>
      <c r="BL10" s="10">
        <f t="shared" si="17"/>
        <v>73.5</v>
      </c>
      <c r="BM10" s="7">
        <f t="shared" si="18"/>
        <v>20</v>
      </c>
      <c r="BN10" s="55">
        <f t="shared" si="19"/>
        <v>3.6749999999999998</v>
      </c>
      <c r="BO10" s="10">
        <f t="shared" si="20"/>
        <v>72</v>
      </c>
      <c r="BP10" s="9">
        <f t="shared" si="21"/>
        <v>18</v>
      </c>
      <c r="BQ10" s="10">
        <f t="shared" si="39"/>
        <v>4</v>
      </c>
      <c r="BR10" s="65">
        <f t="shared" si="22"/>
        <v>145.5</v>
      </c>
      <c r="BS10" s="10">
        <f t="shared" si="23"/>
        <v>38</v>
      </c>
      <c r="BT10" s="10">
        <f t="shared" si="40"/>
        <v>3.8289473684210527</v>
      </c>
      <c r="BU10" s="54" t="str">
        <f t="shared" si="41"/>
        <v>Cum Laude</v>
      </c>
      <c r="BV10" s="54" t="str">
        <f t="shared" si="42"/>
        <v>Excellent</v>
      </c>
      <c r="BW10" s="89" t="s">
        <v>98</v>
      </c>
    </row>
    <row r="11" spans="1:75" x14ac:dyDescent="0.25">
      <c r="A11" s="6">
        <v>9</v>
      </c>
      <c r="B11" s="69" t="s">
        <v>176</v>
      </c>
      <c r="C11" s="6">
        <v>132414010</v>
      </c>
      <c r="D11" s="6" t="s">
        <v>26</v>
      </c>
      <c r="E11" s="6" t="s">
        <v>51</v>
      </c>
      <c r="F11" s="58" t="s">
        <v>52</v>
      </c>
      <c r="G11" s="58" t="s">
        <v>120</v>
      </c>
      <c r="H11" s="68" t="s">
        <v>129</v>
      </c>
      <c r="I11" s="17">
        <v>80</v>
      </c>
      <c r="J11" s="18" t="str">
        <f t="shared" si="0"/>
        <v>A</v>
      </c>
      <c r="K11" s="19">
        <f t="shared" si="1"/>
        <v>4</v>
      </c>
      <c r="L11" s="20">
        <v>2</v>
      </c>
      <c r="M11" s="21">
        <f t="shared" si="2"/>
        <v>8</v>
      </c>
      <c r="N11" s="22">
        <v>78</v>
      </c>
      <c r="O11" s="23" t="str">
        <f t="shared" si="3"/>
        <v>B+</v>
      </c>
      <c r="P11" s="24">
        <f t="shared" si="4"/>
        <v>3.5</v>
      </c>
      <c r="Q11" s="25">
        <v>6</v>
      </c>
      <c r="R11" s="26">
        <f t="shared" si="24"/>
        <v>21</v>
      </c>
      <c r="S11" s="34">
        <v>79</v>
      </c>
      <c r="T11" s="35" t="str">
        <f t="shared" si="5"/>
        <v>B+</v>
      </c>
      <c r="U11" s="36">
        <f t="shared" si="25"/>
        <v>3.5</v>
      </c>
      <c r="V11" s="37">
        <f>3</f>
        <v>3</v>
      </c>
      <c r="W11" s="38">
        <f t="shared" si="26"/>
        <v>10.5</v>
      </c>
      <c r="X11" s="31">
        <v>79</v>
      </c>
      <c r="Y11" s="33" t="str">
        <f t="shared" si="6"/>
        <v>B+</v>
      </c>
      <c r="Z11" s="32">
        <f t="shared" si="7"/>
        <v>3.5</v>
      </c>
      <c r="AA11" s="33">
        <v>4</v>
      </c>
      <c r="AB11" s="86">
        <f t="shared" si="8"/>
        <v>14</v>
      </c>
      <c r="AC11" s="49">
        <v>79</v>
      </c>
      <c r="AD11" s="87" t="str">
        <f t="shared" si="9"/>
        <v>B+</v>
      </c>
      <c r="AE11" s="27">
        <f t="shared" si="10"/>
        <v>3.5</v>
      </c>
      <c r="AF11" s="28">
        <v>3</v>
      </c>
      <c r="AG11" s="29">
        <f t="shared" si="11"/>
        <v>10.5</v>
      </c>
      <c r="AH11" s="30">
        <v>79</v>
      </c>
      <c r="AI11" s="2" t="str">
        <f t="shared" si="12"/>
        <v>B+</v>
      </c>
      <c r="AJ11" s="3">
        <f t="shared" si="13"/>
        <v>3.5</v>
      </c>
      <c r="AK11" s="4">
        <v>2</v>
      </c>
      <c r="AL11" s="5">
        <f t="shared" si="27"/>
        <v>7</v>
      </c>
      <c r="AM11" s="11">
        <v>83</v>
      </c>
      <c r="AN11" s="7" t="str">
        <f t="shared" si="14"/>
        <v>A</v>
      </c>
      <c r="AO11" s="8">
        <f t="shared" si="15"/>
        <v>4</v>
      </c>
      <c r="AP11" s="7">
        <v>3</v>
      </c>
      <c r="AQ11" s="7">
        <f t="shared" si="16"/>
        <v>12</v>
      </c>
      <c r="AR11" s="9">
        <v>81</v>
      </c>
      <c r="AS11" s="7" t="str">
        <f t="shared" si="28"/>
        <v>A</v>
      </c>
      <c r="AT11" s="8">
        <f t="shared" si="29"/>
        <v>4</v>
      </c>
      <c r="AU11" s="62">
        <v>4</v>
      </c>
      <c r="AV11" s="7">
        <f t="shared" si="30"/>
        <v>16</v>
      </c>
      <c r="AW11" s="63">
        <v>82</v>
      </c>
      <c r="AX11" s="7" t="str">
        <f t="shared" si="31"/>
        <v>A</v>
      </c>
      <c r="AY11" s="8">
        <f t="shared" si="32"/>
        <v>4</v>
      </c>
      <c r="AZ11" s="64">
        <v>4</v>
      </c>
      <c r="BA11" s="62">
        <f t="shared" si="33"/>
        <v>16</v>
      </c>
      <c r="BB11" s="11">
        <v>83</v>
      </c>
      <c r="BC11" s="7" t="str">
        <f t="shared" si="34"/>
        <v>A</v>
      </c>
      <c r="BD11" s="8">
        <f t="shared" si="35"/>
        <v>4</v>
      </c>
      <c r="BE11" s="7">
        <v>5</v>
      </c>
      <c r="BF11" s="7">
        <f t="shared" si="36"/>
        <v>20</v>
      </c>
      <c r="BG11" s="7">
        <v>83</v>
      </c>
      <c r="BH11" s="7" t="str">
        <f t="shared" si="43"/>
        <v>A</v>
      </c>
      <c r="BI11" s="8">
        <f t="shared" si="37"/>
        <v>4</v>
      </c>
      <c r="BJ11" s="62">
        <v>2</v>
      </c>
      <c r="BK11" s="7">
        <f t="shared" si="38"/>
        <v>8</v>
      </c>
      <c r="BL11" s="10">
        <f t="shared" si="17"/>
        <v>71</v>
      </c>
      <c r="BM11" s="7">
        <f t="shared" si="18"/>
        <v>20</v>
      </c>
      <c r="BN11" s="55">
        <f t="shared" si="19"/>
        <v>3.55</v>
      </c>
      <c r="BO11" s="10">
        <f t="shared" si="20"/>
        <v>72</v>
      </c>
      <c r="BP11" s="9">
        <f t="shared" si="21"/>
        <v>18</v>
      </c>
      <c r="BQ11" s="10">
        <f t="shared" si="39"/>
        <v>4</v>
      </c>
      <c r="BR11" s="11">
        <f t="shared" si="22"/>
        <v>143</v>
      </c>
      <c r="BS11" s="10">
        <f t="shared" si="23"/>
        <v>38</v>
      </c>
      <c r="BT11" s="10">
        <f t="shared" si="40"/>
        <v>3.763157894736842</v>
      </c>
      <c r="BU11" s="54" t="str">
        <f t="shared" si="41"/>
        <v>Cum Laude</v>
      </c>
      <c r="BV11" s="54" t="str">
        <f t="shared" si="42"/>
        <v>Excellent</v>
      </c>
      <c r="BW11" s="54" t="s">
        <v>97</v>
      </c>
    </row>
    <row r="12" spans="1:75" x14ac:dyDescent="0.25">
      <c r="A12" s="6">
        <v>10</v>
      </c>
      <c r="B12" s="69" t="s">
        <v>175</v>
      </c>
      <c r="C12" s="6">
        <v>132414011</v>
      </c>
      <c r="D12" s="6" t="s">
        <v>26</v>
      </c>
      <c r="E12" s="6" t="s">
        <v>53</v>
      </c>
      <c r="F12" s="58" t="s">
        <v>186</v>
      </c>
      <c r="G12" s="58" t="s">
        <v>120</v>
      </c>
      <c r="H12" s="68" t="s">
        <v>130</v>
      </c>
      <c r="I12" s="17">
        <v>80</v>
      </c>
      <c r="J12" s="18" t="str">
        <f t="shared" si="0"/>
        <v>A</v>
      </c>
      <c r="K12" s="19">
        <f t="shared" si="1"/>
        <v>4</v>
      </c>
      <c r="L12" s="20">
        <v>2</v>
      </c>
      <c r="M12" s="21">
        <f t="shared" si="2"/>
        <v>8</v>
      </c>
      <c r="N12" s="22">
        <v>78</v>
      </c>
      <c r="O12" s="23" t="str">
        <f t="shared" si="3"/>
        <v>B+</v>
      </c>
      <c r="P12" s="24">
        <f t="shared" si="4"/>
        <v>3.5</v>
      </c>
      <c r="Q12" s="25">
        <v>6</v>
      </c>
      <c r="R12" s="26">
        <f t="shared" si="24"/>
        <v>21</v>
      </c>
      <c r="S12" s="34">
        <v>79</v>
      </c>
      <c r="T12" s="35" t="str">
        <f t="shared" si="5"/>
        <v>B+</v>
      </c>
      <c r="U12" s="36">
        <f t="shared" si="25"/>
        <v>3.5</v>
      </c>
      <c r="V12" s="37">
        <f>3</f>
        <v>3</v>
      </c>
      <c r="W12" s="38">
        <f t="shared" si="26"/>
        <v>10.5</v>
      </c>
      <c r="X12" s="31">
        <v>79</v>
      </c>
      <c r="Y12" s="33" t="str">
        <f t="shared" si="6"/>
        <v>B+</v>
      </c>
      <c r="Z12" s="32">
        <f t="shared" si="7"/>
        <v>3.5</v>
      </c>
      <c r="AA12" s="33">
        <v>4</v>
      </c>
      <c r="AB12" s="86">
        <f t="shared" si="8"/>
        <v>14</v>
      </c>
      <c r="AC12" s="49">
        <v>76</v>
      </c>
      <c r="AD12" s="87" t="str">
        <f t="shared" si="9"/>
        <v>B+</v>
      </c>
      <c r="AE12" s="27">
        <f t="shared" si="10"/>
        <v>3.5</v>
      </c>
      <c r="AF12" s="28">
        <v>3</v>
      </c>
      <c r="AG12" s="29">
        <f t="shared" si="11"/>
        <v>10.5</v>
      </c>
      <c r="AH12" s="30">
        <v>78</v>
      </c>
      <c r="AI12" s="2" t="str">
        <f t="shared" si="12"/>
        <v>B+</v>
      </c>
      <c r="AJ12" s="3">
        <f t="shared" si="13"/>
        <v>3.5</v>
      </c>
      <c r="AK12" s="4">
        <v>2</v>
      </c>
      <c r="AL12" s="5">
        <f t="shared" si="27"/>
        <v>7</v>
      </c>
      <c r="AM12" s="11">
        <v>82</v>
      </c>
      <c r="AN12" s="7" t="str">
        <f t="shared" si="14"/>
        <v>A</v>
      </c>
      <c r="AO12" s="8">
        <f t="shared" si="15"/>
        <v>4</v>
      </c>
      <c r="AP12" s="7">
        <v>3</v>
      </c>
      <c r="AQ12" s="7">
        <f t="shared" si="16"/>
        <v>12</v>
      </c>
      <c r="AR12" s="9">
        <v>82</v>
      </c>
      <c r="AS12" s="7" t="str">
        <f t="shared" si="28"/>
        <v>A</v>
      </c>
      <c r="AT12" s="8">
        <f t="shared" si="29"/>
        <v>4</v>
      </c>
      <c r="AU12" s="62">
        <v>4</v>
      </c>
      <c r="AV12" s="7">
        <f t="shared" si="30"/>
        <v>16</v>
      </c>
      <c r="AW12" s="63">
        <v>82</v>
      </c>
      <c r="AX12" s="7" t="str">
        <f t="shared" si="31"/>
        <v>A</v>
      </c>
      <c r="AY12" s="8">
        <f t="shared" si="32"/>
        <v>4</v>
      </c>
      <c r="AZ12" s="64">
        <v>4</v>
      </c>
      <c r="BA12" s="62">
        <f t="shared" si="33"/>
        <v>16</v>
      </c>
      <c r="BB12" s="11">
        <v>82</v>
      </c>
      <c r="BC12" s="7" t="str">
        <f t="shared" si="34"/>
        <v>A</v>
      </c>
      <c r="BD12" s="8">
        <f t="shared" si="35"/>
        <v>4</v>
      </c>
      <c r="BE12" s="7">
        <v>5</v>
      </c>
      <c r="BF12" s="7">
        <f t="shared" si="36"/>
        <v>20</v>
      </c>
      <c r="BG12" s="7">
        <v>83</v>
      </c>
      <c r="BH12" s="7" t="str">
        <f t="shared" si="43"/>
        <v>A</v>
      </c>
      <c r="BI12" s="8">
        <f t="shared" si="37"/>
        <v>4</v>
      </c>
      <c r="BJ12" s="62">
        <v>2</v>
      </c>
      <c r="BK12" s="7">
        <f t="shared" si="38"/>
        <v>8</v>
      </c>
      <c r="BL12" s="10">
        <f t="shared" si="17"/>
        <v>71</v>
      </c>
      <c r="BM12" s="7">
        <f t="shared" si="18"/>
        <v>20</v>
      </c>
      <c r="BN12" s="55">
        <f t="shared" si="19"/>
        <v>3.55</v>
      </c>
      <c r="BO12" s="10">
        <f t="shared" si="20"/>
        <v>72</v>
      </c>
      <c r="BP12" s="9">
        <f t="shared" si="21"/>
        <v>18</v>
      </c>
      <c r="BQ12" s="10">
        <f t="shared" si="39"/>
        <v>4</v>
      </c>
      <c r="BR12" s="11">
        <f t="shared" si="22"/>
        <v>143</v>
      </c>
      <c r="BS12" s="10">
        <f t="shared" si="23"/>
        <v>38</v>
      </c>
      <c r="BT12" s="10">
        <f t="shared" si="40"/>
        <v>3.763157894736842</v>
      </c>
      <c r="BU12" s="54" t="str">
        <f t="shared" si="41"/>
        <v>Cum Laude</v>
      </c>
      <c r="BV12" s="54" t="str">
        <f t="shared" si="42"/>
        <v>Excellent</v>
      </c>
      <c r="BW12" s="54" t="s">
        <v>99</v>
      </c>
    </row>
    <row r="13" spans="1:75" x14ac:dyDescent="0.25">
      <c r="A13" s="6">
        <v>11</v>
      </c>
      <c r="B13" s="69" t="s">
        <v>174</v>
      </c>
      <c r="C13" s="6">
        <v>132414013</v>
      </c>
      <c r="D13" s="6" t="s">
        <v>26</v>
      </c>
      <c r="E13" s="6" t="s">
        <v>54</v>
      </c>
      <c r="F13" s="58" t="s">
        <v>55</v>
      </c>
      <c r="G13" s="58" t="s">
        <v>120</v>
      </c>
      <c r="H13" s="68" t="s">
        <v>131</v>
      </c>
      <c r="I13" s="17">
        <v>74</v>
      </c>
      <c r="J13" s="18" t="str">
        <f t="shared" si="0"/>
        <v>B</v>
      </c>
      <c r="K13" s="19">
        <f t="shared" si="1"/>
        <v>3</v>
      </c>
      <c r="L13" s="20">
        <v>2</v>
      </c>
      <c r="M13" s="21">
        <f t="shared" si="2"/>
        <v>6</v>
      </c>
      <c r="N13" s="22">
        <v>73</v>
      </c>
      <c r="O13" s="23" t="str">
        <f t="shared" si="3"/>
        <v>B</v>
      </c>
      <c r="P13" s="24">
        <f t="shared" si="4"/>
        <v>3</v>
      </c>
      <c r="Q13" s="25">
        <v>6</v>
      </c>
      <c r="R13" s="26">
        <f t="shared" si="24"/>
        <v>18</v>
      </c>
      <c r="S13" s="34">
        <v>79</v>
      </c>
      <c r="T13" s="35" t="str">
        <f t="shared" si="5"/>
        <v>B+</v>
      </c>
      <c r="U13" s="36">
        <f t="shared" si="25"/>
        <v>3.5</v>
      </c>
      <c r="V13" s="37">
        <f>3</f>
        <v>3</v>
      </c>
      <c r="W13" s="38">
        <f t="shared" si="26"/>
        <v>10.5</v>
      </c>
      <c r="X13" s="31">
        <v>78</v>
      </c>
      <c r="Y13" s="33" t="str">
        <f t="shared" si="6"/>
        <v>B+</v>
      </c>
      <c r="Z13" s="32">
        <f t="shared" si="7"/>
        <v>3.5</v>
      </c>
      <c r="AA13" s="33">
        <v>4</v>
      </c>
      <c r="AB13" s="86">
        <f t="shared" si="8"/>
        <v>14</v>
      </c>
      <c r="AC13" s="49">
        <v>75</v>
      </c>
      <c r="AD13" s="87" t="str">
        <f t="shared" si="9"/>
        <v>B+</v>
      </c>
      <c r="AE13" s="27">
        <f t="shared" si="10"/>
        <v>3.5</v>
      </c>
      <c r="AF13" s="28">
        <v>3</v>
      </c>
      <c r="AG13" s="29">
        <f t="shared" si="11"/>
        <v>10.5</v>
      </c>
      <c r="AH13" s="30">
        <v>78</v>
      </c>
      <c r="AI13" s="2" t="str">
        <f t="shared" si="12"/>
        <v>B+</v>
      </c>
      <c r="AJ13" s="3">
        <f t="shared" si="13"/>
        <v>3.5</v>
      </c>
      <c r="AK13" s="4">
        <v>2</v>
      </c>
      <c r="AL13" s="5">
        <f t="shared" si="27"/>
        <v>7</v>
      </c>
      <c r="AM13" s="11">
        <v>80</v>
      </c>
      <c r="AN13" s="7" t="str">
        <f t="shared" si="14"/>
        <v>A</v>
      </c>
      <c r="AO13" s="8">
        <f t="shared" si="15"/>
        <v>4</v>
      </c>
      <c r="AP13" s="7">
        <v>3</v>
      </c>
      <c r="AQ13" s="7">
        <f t="shared" si="16"/>
        <v>12</v>
      </c>
      <c r="AR13" s="9">
        <v>78</v>
      </c>
      <c r="AS13" s="7" t="str">
        <f t="shared" si="28"/>
        <v>B+</v>
      </c>
      <c r="AT13" s="8">
        <f t="shared" si="29"/>
        <v>3.5</v>
      </c>
      <c r="AU13" s="62">
        <v>4</v>
      </c>
      <c r="AV13" s="7">
        <f t="shared" si="30"/>
        <v>14</v>
      </c>
      <c r="AW13" s="9">
        <v>81</v>
      </c>
      <c r="AX13" s="7" t="str">
        <f t="shared" si="31"/>
        <v>A</v>
      </c>
      <c r="AY13" s="8">
        <f t="shared" si="32"/>
        <v>4</v>
      </c>
      <c r="AZ13" s="64">
        <v>4</v>
      </c>
      <c r="BA13" s="62">
        <f t="shared" si="33"/>
        <v>16</v>
      </c>
      <c r="BB13" s="11">
        <v>80</v>
      </c>
      <c r="BC13" s="7" t="str">
        <f t="shared" si="34"/>
        <v>A</v>
      </c>
      <c r="BD13" s="8">
        <f t="shared" si="35"/>
        <v>4</v>
      </c>
      <c r="BE13" s="7">
        <v>5</v>
      </c>
      <c r="BF13" s="7">
        <f t="shared" si="36"/>
        <v>20</v>
      </c>
      <c r="BG13" s="7">
        <v>82</v>
      </c>
      <c r="BH13" s="7" t="str">
        <f t="shared" si="43"/>
        <v>A</v>
      </c>
      <c r="BI13" s="8">
        <f t="shared" si="37"/>
        <v>4</v>
      </c>
      <c r="BJ13" s="62">
        <v>2</v>
      </c>
      <c r="BK13" s="7">
        <f t="shared" si="38"/>
        <v>8</v>
      </c>
      <c r="BL13" s="10">
        <f t="shared" si="17"/>
        <v>66</v>
      </c>
      <c r="BM13" s="7">
        <f t="shared" si="18"/>
        <v>20</v>
      </c>
      <c r="BN13" s="55">
        <f t="shared" si="19"/>
        <v>3.3</v>
      </c>
      <c r="BO13" s="10">
        <f t="shared" si="20"/>
        <v>70</v>
      </c>
      <c r="BP13" s="9">
        <f t="shared" si="21"/>
        <v>18</v>
      </c>
      <c r="BQ13" s="10">
        <f t="shared" si="39"/>
        <v>3.8888888888888888</v>
      </c>
      <c r="BR13" s="11">
        <f t="shared" si="22"/>
        <v>136</v>
      </c>
      <c r="BS13" s="10">
        <f t="shared" si="23"/>
        <v>38</v>
      </c>
      <c r="BT13" s="10">
        <f t="shared" si="40"/>
        <v>3.5789473684210527</v>
      </c>
      <c r="BU13" s="54" t="str">
        <f t="shared" si="41"/>
        <v>Cum Laude</v>
      </c>
      <c r="BV13" s="54" t="str">
        <f t="shared" si="42"/>
        <v>Excellent</v>
      </c>
      <c r="BW13" s="54" t="s">
        <v>100</v>
      </c>
    </row>
    <row r="14" spans="1:75" ht="15" customHeight="1" x14ac:dyDescent="0.25">
      <c r="A14" s="6">
        <v>12</v>
      </c>
      <c r="B14" s="69" t="s">
        <v>173</v>
      </c>
      <c r="C14" s="6">
        <v>132414014</v>
      </c>
      <c r="D14" s="6" t="s">
        <v>27</v>
      </c>
      <c r="E14" s="6" t="s">
        <v>187</v>
      </c>
      <c r="F14" s="58" t="s">
        <v>188</v>
      </c>
      <c r="G14" s="58" t="s">
        <v>120</v>
      </c>
      <c r="H14" s="68" t="s">
        <v>132</v>
      </c>
      <c r="I14" s="17">
        <v>74</v>
      </c>
      <c r="J14" s="18" t="str">
        <f t="shared" si="0"/>
        <v>B</v>
      </c>
      <c r="K14" s="19">
        <f t="shared" si="1"/>
        <v>3</v>
      </c>
      <c r="L14" s="20">
        <v>2</v>
      </c>
      <c r="M14" s="21">
        <f t="shared" si="2"/>
        <v>6</v>
      </c>
      <c r="N14" s="22">
        <v>74</v>
      </c>
      <c r="O14" s="23" t="str">
        <f t="shared" si="3"/>
        <v>B</v>
      </c>
      <c r="P14" s="24">
        <f t="shared" si="4"/>
        <v>3</v>
      </c>
      <c r="Q14" s="25">
        <v>6</v>
      </c>
      <c r="R14" s="26">
        <f t="shared" si="24"/>
        <v>18</v>
      </c>
      <c r="S14" s="34">
        <v>75</v>
      </c>
      <c r="T14" s="35" t="str">
        <f t="shared" si="5"/>
        <v>B+</v>
      </c>
      <c r="U14" s="36">
        <f t="shared" si="25"/>
        <v>3.5</v>
      </c>
      <c r="V14" s="37">
        <f>3</f>
        <v>3</v>
      </c>
      <c r="W14" s="38">
        <f t="shared" si="26"/>
        <v>10.5</v>
      </c>
      <c r="X14" s="31">
        <v>74</v>
      </c>
      <c r="Y14" s="33" t="str">
        <f t="shared" si="6"/>
        <v>B</v>
      </c>
      <c r="Z14" s="32">
        <f t="shared" si="7"/>
        <v>3</v>
      </c>
      <c r="AA14" s="33">
        <v>4</v>
      </c>
      <c r="AB14" s="86">
        <f t="shared" si="8"/>
        <v>12</v>
      </c>
      <c r="AC14" s="49">
        <v>78.53</v>
      </c>
      <c r="AD14" s="87" t="str">
        <f t="shared" si="9"/>
        <v>B+</v>
      </c>
      <c r="AE14" s="27">
        <f t="shared" si="10"/>
        <v>3.5</v>
      </c>
      <c r="AF14" s="28">
        <v>3</v>
      </c>
      <c r="AG14" s="29">
        <f t="shared" si="11"/>
        <v>10.5</v>
      </c>
      <c r="AH14" s="30">
        <v>76</v>
      </c>
      <c r="AI14" s="2" t="str">
        <f t="shared" si="12"/>
        <v>B+</v>
      </c>
      <c r="AJ14" s="3">
        <f t="shared" si="13"/>
        <v>3.5</v>
      </c>
      <c r="AK14" s="4">
        <v>2</v>
      </c>
      <c r="AL14" s="5">
        <f t="shared" si="27"/>
        <v>7</v>
      </c>
      <c r="AM14" s="11">
        <v>80</v>
      </c>
      <c r="AN14" s="7" t="str">
        <f t="shared" si="14"/>
        <v>A</v>
      </c>
      <c r="AO14" s="8">
        <f t="shared" si="15"/>
        <v>4</v>
      </c>
      <c r="AP14" s="7">
        <v>3</v>
      </c>
      <c r="AQ14" s="7">
        <f t="shared" si="16"/>
        <v>12</v>
      </c>
      <c r="AR14" s="14">
        <v>78</v>
      </c>
      <c r="AS14" s="7" t="str">
        <f t="shared" si="28"/>
        <v>B+</v>
      </c>
      <c r="AT14" s="8">
        <f t="shared" si="29"/>
        <v>3.5</v>
      </c>
      <c r="AU14" s="62">
        <v>4</v>
      </c>
      <c r="AV14" s="7">
        <f t="shared" si="30"/>
        <v>14</v>
      </c>
      <c r="AW14" s="63">
        <v>81.5</v>
      </c>
      <c r="AX14" s="7" t="str">
        <f t="shared" si="31"/>
        <v>A</v>
      </c>
      <c r="AY14" s="8">
        <f t="shared" si="32"/>
        <v>4</v>
      </c>
      <c r="AZ14" s="64">
        <v>4</v>
      </c>
      <c r="BA14" s="62">
        <f t="shared" si="33"/>
        <v>16</v>
      </c>
      <c r="BB14" s="11">
        <v>80</v>
      </c>
      <c r="BC14" s="7" t="str">
        <f t="shared" si="34"/>
        <v>A</v>
      </c>
      <c r="BD14" s="8">
        <f t="shared" si="35"/>
        <v>4</v>
      </c>
      <c r="BE14" s="7">
        <v>5</v>
      </c>
      <c r="BF14" s="7">
        <f t="shared" si="36"/>
        <v>20</v>
      </c>
      <c r="BG14" s="66">
        <v>76</v>
      </c>
      <c r="BH14" s="7" t="str">
        <f t="shared" si="43"/>
        <v>B+</v>
      </c>
      <c r="BI14" s="8">
        <f t="shared" si="37"/>
        <v>3.5</v>
      </c>
      <c r="BJ14" s="62">
        <v>2</v>
      </c>
      <c r="BK14" s="7">
        <f t="shared" si="38"/>
        <v>7</v>
      </c>
      <c r="BL14" s="10">
        <f t="shared" si="17"/>
        <v>64</v>
      </c>
      <c r="BM14" s="7">
        <f t="shared" si="18"/>
        <v>20</v>
      </c>
      <c r="BN14" s="55">
        <f t="shared" si="19"/>
        <v>3.2</v>
      </c>
      <c r="BO14" s="10">
        <f t="shared" si="20"/>
        <v>69</v>
      </c>
      <c r="BP14" s="9">
        <f t="shared" si="21"/>
        <v>18</v>
      </c>
      <c r="BQ14" s="10">
        <f t="shared" si="39"/>
        <v>3.8333333333333335</v>
      </c>
      <c r="BR14" s="11">
        <f t="shared" si="22"/>
        <v>133</v>
      </c>
      <c r="BS14" s="10">
        <f t="shared" si="23"/>
        <v>38</v>
      </c>
      <c r="BT14" s="10">
        <f t="shared" si="40"/>
        <v>3.5</v>
      </c>
      <c r="BU14" s="54" t="str">
        <f t="shared" si="41"/>
        <v>Sangat Memuaskan</v>
      </c>
      <c r="BV14" s="54" t="str">
        <f t="shared" si="42"/>
        <v>Highly Satisfactory</v>
      </c>
      <c r="BW14" s="54" t="s">
        <v>101</v>
      </c>
    </row>
    <row r="15" spans="1:75" x14ac:dyDescent="0.25">
      <c r="A15" s="6">
        <v>13</v>
      </c>
      <c r="B15" s="69" t="s">
        <v>172</v>
      </c>
      <c r="C15" s="6">
        <v>132414015</v>
      </c>
      <c r="D15" s="6" t="s">
        <v>27</v>
      </c>
      <c r="E15" s="6" t="s">
        <v>56</v>
      </c>
      <c r="F15" s="58" t="s">
        <v>57</v>
      </c>
      <c r="G15" s="58" t="s">
        <v>120</v>
      </c>
      <c r="H15" s="68" t="s">
        <v>133</v>
      </c>
      <c r="I15" s="17">
        <v>80</v>
      </c>
      <c r="J15" s="18" t="str">
        <f t="shared" si="0"/>
        <v>A</v>
      </c>
      <c r="K15" s="19">
        <f t="shared" si="1"/>
        <v>4</v>
      </c>
      <c r="L15" s="20">
        <v>2</v>
      </c>
      <c r="M15" s="21">
        <f t="shared" si="2"/>
        <v>8</v>
      </c>
      <c r="N15" s="22">
        <v>75</v>
      </c>
      <c r="O15" s="23" t="str">
        <f t="shared" si="3"/>
        <v>B+</v>
      </c>
      <c r="P15" s="24">
        <f t="shared" si="4"/>
        <v>3.5</v>
      </c>
      <c r="Q15" s="25">
        <v>6</v>
      </c>
      <c r="R15" s="26">
        <f t="shared" si="24"/>
        <v>21</v>
      </c>
      <c r="S15" s="34">
        <v>74</v>
      </c>
      <c r="T15" s="35" t="str">
        <f t="shared" si="5"/>
        <v>B</v>
      </c>
      <c r="U15" s="36">
        <f t="shared" si="25"/>
        <v>3</v>
      </c>
      <c r="V15" s="37">
        <f>3</f>
        <v>3</v>
      </c>
      <c r="W15" s="38">
        <f t="shared" si="26"/>
        <v>9</v>
      </c>
      <c r="X15" s="31">
        <v>78</v>
      </c>
      <c r="Y15" s="33" t="str">
        <f t="shared" si="6"/>
        <v>B+</v>
      </c>
      <c r="Z15" s="32">
        <f t="shared" si="7"/>
        <v>3.5</v>
      </c>
      <c r="AA15" s="33">
        <v>4</v>
      </c>
      <c r="AB15" s="86">
        <f t="shared" si="8"/>
        <v>14</v>
      </c>
      <c r="AC15" s="49">
        <v>79.7</v>
      </c>
      <c r="AD15" s="87" t="str">
        <f t="shared" si="9"/>
        <v>B+</v>
      </c>
      <c r="AE15" s="27">
        <f t="shared" si="10"/>
        <v>3.5</v>
      </c>
      <c r="AF15" s="28">
        <v>3</v>
      </c>
      <c r="AG15" s="29">
        <f t="shared" si="11"/>
        <v>10.5</v>
      </c>
      <c r="AH15" s="30">
        <v>80</v>
      </c>
      <c r="AI15" s="2" t="str">
        <f t="shared" si="12"/>
        <v>A</v>
      </c>
      <c r="AJ15" s="3">
        <f t="shared" si="13"/>
        <v>4</v>
      </c>
      <c r="AK15" s="4">
        <v>2</v>
      </c>
      <c r="AL15" s="5">
        <f t="shared" si="27"/>
        <v>8</v>
      </c>
      <c r="AM15" s="11">
        <v>84</v>
      </c>
      <c r="AN15" s="7" t="str">
        <f t="shared" si="14"/>
        <v>A</v>
      </c>
      <c r="AO15" s="8">
        <f t="shared" si="15"/>
        <v>4</v>
      </c>
      <c r="AP15" s="7">
        <v>3</v>
      </c>
      <c r="AQ15" s="7">
        <f t="shared" si="16"/>
        <v>12</v>
      </c>
      <c r="AR15" s="14">
        <v>80</v>
      </c>
      <c r="AS15" s="7" t="str">
        <f t="shared" si="28"/>
        <v>A</v>
      </c>
      <c r="AT15" s="8">
        <f t="shared" si="29"/>
        <v>4</v>
      </c>
      <c r="AU15" s="62">
        <v>4</v>
      </c>
      <c r="AV15" s="7">
        <f t="shared" si="30"/>
        <v>16</v>
      </c>
      <c r="AW15" s="63">
        <v>81.5</v>
      </c>
      <c r="AX15" s="7" t="str">
        <f t="shared" si="31"/>
        <v>A</v>
      </c>
      <c r="AY15" s="8">
        <f t="shared" si="32"/>
        <v>4</v>
      </c>
      <c r="AZ15" s="64">
        <v>4</v>
      </c>
      <c r="BA15" s="62">
        <f t="shared" si="33"/>
        <v>16</v>
      </c>
      <c r="BB15" s="11">
        <v>84</v>
      </c>
      <c r="BC15" s="7" t="str">
        <f t="shared" si="34"/>
        <v>A</v>
      </c>
      <c r="BD15" s="8">
        <f t="shared" si="35"/>
        <v>4</v>
      </c>
      <c r="BE15" s="7">
        <v>5</v>
      </c>
      <c r="BF15" s="7">
        <f t="shared" si="36"/>
        <v>20</v>
      </c>
      <c r="BG15" s="7">
        <v>83</v>
      </c>
      <c r="BH15" s="7" t="str">
        <f t="shared" si="43"/>
        <v>A</v>
      </c>
      <c r="BI15" s="8">
        <f t="shared" si="37"/>
        <v>4</v>
      </c>
      <c r="BJ15" s="62">
        <v>2</v>
      </c>
      <c r="BK15" s="7">
        <f t="shared" si="38"/>
        <v>8</v>
      </c>
      <c r="BL15" s="10">
        <f t="shared" si="17"/>
        <v>70.5</v>
      </c>
      <c r="BM15" s="7">
        <f t="shared" si="18"/>
        <v>20</v>
      </c>
      <c r="BN15" s="55">
        <f t="shared" si="19"/>
        <v>3.5249999999999999</v>
      </c>
      <c r="BO15" s="10">
        <f t="shared" si="20"/>
        <v>72</v>
      </c>
      <c r="BP15" s="9">
        <f t="shared" si="21"/>
        <v>18</v>
      </c>
      <c r="BQ15" s="10">
        <f t="shared" si="39"/>
        <v>4</v>
      </c>
      <c r="BR15" s="11">
        <f t="shared" si="22"/>
        <v>142.5</v>
      </c>
      <c r="BS15" s="10">
        <f t="shared" si="23"/>
        <v>38</v>
      </c>
      <c r="BT15" s="10">
        <f t="shared" si="40"/>
        <v>3.75</v>
      </c>
      <c r="BU15" s="54" t="str">
        <f t="shared" si="41"/>
        <v>Cum Laude</v>
      </c>
      <c r="BV15" s="54" t="str">
        <f t="shared" si="42"/>
        <v>Excellent</v>
      </c>
      <c r="BW15" s="54" t="s">
        <v>102</v>
      </c>
    </row>
    <row r="16" spans="1:75" x14ac:dyDescent="0.25">
      <c r="A16" s="6">
        <v>14</v>
      </c>
      <c r="B16" s="70" t="s">
        <v>171</v>
      </c>
      <c r="C16" s="57">
        <v>132414016</v>
      </c>
      <c r="D16" s="57" t="s">
        <v>27</v>
      </c>
      <c r="E16" s="57" t="s">
        <v>58</v>
      </c>
      <c r="F16" s="59" t="s">
        <v>59</v>
      </c>
      <c r="G16" s="58" t="s">
        <v>120</v>
      </c>
      <c r="H16" s="68" t="s">
        <v>134</v>
      </c>
      <c r="I16" s="17">
        <v>78</v>
      </c>
      <c r="J16" s="18" t="str">
        <f t="shared" si="0"/>
        <v>B+</v>
      </c>
      <c r="K16" s="19">
        <f t="shared" si="1"/>
        <v>3.5</v>
      </c>
      <c r="L16" s="20">
        <v>2</v>
      </c>
      <c r="M16" s="21">
        <f t="shared" si="2"/>
        <v>7</v>
      </c>
      <c r="N16" s="22">
        <v>76</v>
      </c>
      <c r="O16" s="23" t="str">
        <f t="shared" si="3"/>
        <v>B+</v>
      </c>
      <c r="P16" s="24">
        <f t="shared" si="4"/>
        <v>3.5</v>
      </c>
      <c r="Q16" s="25">
        <v>6</v>
      </c>
      <c r="R16" s="26">
        <f t="shared" si="24"/>
        <v>21</v>
      </c>
      <c r="S16" s="34">
        <v>74</v>
      </c>
      <c r="T16" s="35" t="str">
        <f t="shared" si="5"/>
        <v>B</v>
      </c>
      <c r="U16" s="36">
        <f t="shared" si="25"/>
        <v>3</v>
      </c>
      <c r="V16" s="37">
        <f>3</f>
        <v>3</v>
      </c>
      <c r="W16" s="38">
        <f t="shared" si="26"/>
        <v>9</v>
      </c>
      <c r="X16" s="31">
        <v>77</v>
      </c>
      <c r="Y16" s="33" t="str">
        <f t="shared" si="6"/>
        <v>B+</v>
      </c>
      <c r="Z16" s="32">
        <f t="shared" si="7"/>
        <v>3.5</v>
      </c>
      <c r="AA16" s="33">
        <v>4</v>
      </c>
      <c r="AB16" s="86">
        <f t="shared" si="8"/>
        <v>14</v>
      </c>
      <c r="AC16" s="49">
        <v>80</v>
      </c>
      <c r="AD16" s="87" t="str">
        <f t="shared" si="9"/>
        <v>A</v>
      </c>
      <c r="AE16" s="27">
        <f t="shared" si="10"/>
        <v>4</v>
      </c>
      <c r="AF16" s="28">
        <v>3</v>
      </c>
      <c r="AG16" s="29">
        <f t="shared" si="11"/>
        <v>12</v>
      </c>
      <c r="AH16" s="30">
        <v>80</v>
      </c>
      <c r="AI16" s="2" t="str">
        <f t="shared" si="12"/>
        <v>A</v>
      </c>
      <c r="AJ16" s="3">
        <f t="shared" si="13"/>
        <v>4</v>
      </c>
      <c r="AK16" s="4">
        <v>2</v>
      </c>
      <c r="AL16" s="5">
        <f t="shared" si="27"/>
        <v>8</v>
      </c>
      <c r="AM16" s="11">
        <v>83</v>
      </c>
      <c r="AN16" s="7" t="str">
        <f t="shared" si="14"/>
        <v>A</v>
      </c>
      <c r="AO16" s="8">
        <f t="shared" si="15"/>
        <v>4</v>
      </c>
      <c r="AP16" s="7">
        <v>3</v>
      </c>
      <c r="AQ16" s="7">
        <f t="shared" si="16"/>
        <v>12</v>
      </c>
      <c r="AR16" s="14">
        <v>80</v>
      </c>
      <c r="AS16" s="7" t="str">
        <f t="shared" si="28"/>
        <v>A</v>
      </c>
      <c r="AT16" s="8">
        <f t="shared" si="29"/>
        <v>4</v>
      </c>
      <c r="AU16" s="62">
        <v>4</v>
      </c>
      <c r="AV16" s="7">
        <f t="shared" si="30"/>
        <v>16</v>
      </c>
      <c r="AW16" s="9">
        <v>81.5</v>
      </c>
      <c r="AX16" s="7" t="str">
        <f t="shared" si="31"/>
        <v>A</v>
      </c>
      <c r="AY16" s="8">
        <f t="shared" si="32"/>
        <v>4</v>
      </c>
      <c r="AZ16" s="64">
        <v>4</v>
      </c>
      <c r="BA16" s="62">
        <f t="shared" si="33"/>
        <v>16</v>
      </c>
      <c r="BB16" s="11">
        <v>83</v>
      </c>
      <c r="BC16" s="7" t="str">
        <f t="shared" si="34"/>
        <v>A</v>
      </c>
      <c r="BD16" s="8">
        <f t="shared" si="35"/>
        <v>4</v>
      </c>
      <c r="BE16" s="7">
        <v>5</v>
      </c>
      <c r="BF16" s="7">
        <f t="shared" si="36"/>
        <v>20</v>
      </c>
      <c r="BG16" s="7">
        <v>83</v>
      </c>
      <c r="BH16" s="7" t="str">
        <f t="shared" si="43"/>
        <v>A</v>
      </c>
      <c r="BI16" s="8">
        <f t="shared" si="37"/>
        <v>4</v>
      </c>
      <c r="BJ16" s="62">
        <v>2</v>
      </c>
      <c r="BK16" s="7">
        <f t="shared" si="38"/>
        <v>8</v>
      </c>
      <c r="BL16" s="10">
        <f t="shared" si="17"/>
        <v>71</v>
      </c>
      <c r="BM16" s="7">
        <f t="shared" si="18"/>
        <v>20</v>
      </c>
      <c r="BN16" s="55">
        <f t="shared" si="19"/>
        <v>3.55</v>
      </c>
      <c r="BO16" s="10">
        <f t="shared" si="20"/>
        <v>72</v>
      </c>
      <c r="BP16" s="9">
        <f t="shared" si="21"/>
        <v>18</v>
      </c>
      <c r="BQ16" s="10">
        <f t="shared" si="39"/>
        <v>4</v>
      </c>
      <c r="BR16" s="11">
        <f t="shared" si="22"/>
        <v>143</v>
      </c>
      <c r="BS16" s="10">
        <f t="shared" si="23"/>
        <v>38</v>
      </c>
      <c r="BT16" s="10">
        <f t="shared" si="40"/>
        <v>3.763157894736842</v>
      </c>
      <c r="BU16" s="54" t="str">
        <f t="shared" si="41"/>
        <v>Cum Laude</v>
      </c>
      <c r="BV16" s="54" t="str">
        <f t="shared" si="42"/>
        <v>Excellent</v>
      </c>
      <c r="BW16" s="54" t="s">
        <v>103</v>
      </c>
    </row>
    <row r="17" spans="1:75" ht="15.75" x14ac:dyDescent="0.25">
      <c r="A17" s="6">
        <v>15</v>
      </c>
      <c r="B17" s="69" t="s">
        <v>170</v>
      </c>
      <c r="C17" s="6">
        <v>132414017</v>
      </c>
      <c r="D17" s="6" t="s">
        <v>27</v>
      </c>
      <c r="E17" s="6" t="s">
        <v>60</v>
      </c>
      <c r="F17" s="58" t="s">
        <v>61</v>
      </c>
      <c r="G17" s="58" t="s">
        <v>120</v>
      </c>
      <c r="H17" s="68" t="s">
        <v>135</v>
      </c>
      <c r="I17" s="17">
        <v>78</v>
      </c>
      <c r="J17" s="18" t="str">
        <f t="shared" si="0"/>
        <v>B+</v>
      </c>
      <c r="K17" s="19">
        <f t="shared" si="1"/>
        <v>3.5</v>
      </c>
      <c r="L17" s="20">
        <v>2</v>
      </c>
      <c r="M17" s="21">
        <f t="shared" si="2"/>
        <v>7</v>
      </c>
      <c r="N17" s="22">
        <v>74</v>
      </c>
      <c r="O17" s="23" t="str">
        <f t="shared" si="3"/>
        <v>B</v>
      </c>
      <c r="P17" s="24">
        <f t="shared" si="4"/>
        <v>3</v>
      </c>
      <c r="Q17" s="25">
        <v>6</v>
      </c>
      <c r="R17" s="26">
        <f t="shared" si="24"/>
        <v>18</v>
      </c>
      <c r="S17" s="34">
        <v>74</v>
      </c>
      <c r="T17" s="35" t="str">
        <f t="shared" si="5"/>
        <v>B</v>
      </c>
      <c r="U17" s="36">
        <f t="shared" si="25"/>
        <v>3</v>
      </c>
      <c r="V17" s="37">
        <f>3</f>
        <v>3</v>
      </c>
      <c r="W17" s="38">
        <f t="shared" si="26"/>
        <v>9</v>
      </c>
      <c r="X17" s="31">
        <v>75</v>
      </c>
      <c r="Y17" s="33" t="str">
        <f t="shared" si="6"/>
        <v>B+</v>
      </c>
      <c r="Z17" s="32">
        <f t="shared" si="7"/>
        <v>3.5</v>
      </c>
      <c r="AA17" s="33">
        <v>4</v>
      </c>
      <c r="AB17" s="86">
        <f t="shared" si="8"/>
        <v>14</v>
      </c>
      <c r="AC17" s="49">
        <v>78</v>
      </c>
      <c r="AD17" s="87" t="str">
        <f t="shared" si="9"/>
        <v>B+</v>
      </c>
      <c r="AE17" s="27">
        <f t="shared" si="10"/>
        <v>3.5</v>
      </c>
      <c r="AF17" s="28">
        <v>3</v>
      </c>
      <c r="AG17" s="29">
        <f t="shared" si="11"/>
        <v>10.5</v>
      </c>
      <c r="AH17" s="30">
        <v>78</v>
      </c>
      <c r="AI17" s="2" t="str">
        <f t="shared" si="12"/>
        <v>B+</v>
      </c>
      <c r="AJ17" s="3">
        <f t="shared" si="13"/>
        <v>3.5</v>
      </c>
      <c r="AK17" s="4">
        <v>2</v>
      </c>
      <c r="AL17" s="5">
        <f t="shared" si="27"/>
        <v>7</v>
      </c>
      <c r="AM17" s="11">
        <v>80</v>
      </c>
      <c r="AN17" s="7" t="str">
        <f t="shared" si="14"/>
        <v>A</v>
      </c>
      <c r="AO17" s="8">
        <f t="shared" si="15"/>
        <v>4</v>
      </c>
      <c r="AP17" s="7">
        <v>3</v>
      </c>
      <c r="AQ17" s="7">
        <f t="shared" si="16"/>
        <v>12</v>
      </c>
      <c r="AR17" s="14">
        <v>78</v>
      </c>
      <c r="AS17" s="7" t="str">
        <f t="shared" si="28"/>
        <v>B+</v>
      </c>
      <c r="AT17" s="8">
        <f t="shared" si="29"/>
        <v>3.5</v>
      </c>
      <c r="AU17" s="62">
        <v>4</v>
      </c>
      <c r="AV17" s="7">
        <f t="shared" si="30"/>
        <v>14</v>
      </c>
      <c r="AW17" s="63">
        <v>81.5</v>
      </c>
      <c r="AX17" s="7" t="str">
        <f t="shared" si="31"/>
        <v>A</v>
      </c>
      <c r="AY17" s="8">
        <f t="shared" si="32"/>
        <v>4</v>
      </c>
      <c r="AZ17" s="64">
        <v>4</v>
      </c>
      <c r="BA17" s="62">
        <f t="shared" si="33"/>
        <v>16</v>
      </c>
      <c r="BB17" s="11">
        <v>80</v>
      </c>
      <c r="BC17" s="7" t="str">
        <f t="shared" si="34"/>
        <v>A</v>
      </c>
      <c r="BD17" s="8">
        <f t="shared" si="35"/>
        <v>4</v>
      </c>
      <c r="BE17" s="7">
        <v>5</v>
      </c>
      <c r="BF17" s="7">
        <f t="shared" si="36"/>
        <v>20</v>
      </c>
      <c r="BG17" s="66">
        <v>76</v>
      </c>
      <c r="BH17" s="7" t="str">
        <f t="shared" si="43"/>
        <v>B+</v>
      </c>
      <c r="BI17" s="8">
        <f t="shared" si="37"/>
        <v>3.5</v>
      </c>
      <c r="BJ17" s="62">
        <v>2</v>
      </c>
      <c r="BK17" s="7">
        <f t="shared" si="38"/>
        <v>7</v>
      </c>
      <c r="BL17" s="10">
        <f t="shared" si="17"/>
        <v>65.5</v>
      </c>
      <c r="BM17" s="7">
        <f t="shared" si="18"/>
        <v>20</v>
      </c>
      <c r="BN17" s="55">
        <f t="shared" si="19"/>
        <v>3.2749999999999999</v>
      </c>
      <c r="BO17" s="10">
        <f t="shared" ref="BO17:BO34" si="44">BA17+AV17+AQ17+BK17+BF17</f>
        <v>69</v>
      </c>
      <c r="BP17" s="9">
        <f t="shared" ref="BP17:BP34" si="45">AZ17+AU17+AP17+BE17+BJ17</f>
        <v>18</v>
      </c>
      <c r="BQ17" s="10">
        <f t="shared" si="39"/>
        <v>3.8333333333333335</v>
      </c>
      <c r="BR17" s="11">
        <f t="shared" si="22"/>
        <v>134.5</v>
      </c>
      <c r="BS17" s="10">
        <f t="shared" si="23"/>
        <v>38</v>
      </c>
      <c r="BT17" s="10">
        <f t="shared" si="40"/>
        <v>3.5394736842105261</v>
      </c>
      <c r="BU17" s="54" t="str">
        <f t="shared" si="41"/>
        <v>Cum Laude</v>
      </c>
      <c r="BV17" s="54" t="str">
        <f t="shared" si="42"/>
        <v>Excellent</v>
      </c>
      <c r="BW17" s="88" t="s">
        <v>104</v>
      </c>
    </row>
    <row r="18" spans="1:75" x14ac:dyDescent="0.25">
      <c r="A18" s="6">
        <v>16</v>
      </c>
      <c r="B18" s="69" t="s">
        <v>169</v>
      </c>
      <c r="C18" s="6">
        <v>132414018</v>
      </c>
      <c r="D18" s="6" t="s">
        <v>27</v>
      </c>
      <c r="E18" s="6" t="s">
        <v>62</v>
      </c>
      <c r="F18" s="58" t="s">
        <v>63</v>
      </c>
      <c r="G18" s="58" t="s">
        <v>120</v>
      </c>
      <c r="H18" s="68" t="s">
        <v>136</v>
      </c>
      <c r="I18" s="17">
        <v>78</v>
      </c>
      <c r="J18" s="18" t="str">
        <f t="shared" si="0"/>
        <v>B+</v>
      </c>
      <c r="K18" s="19">
        <f t="shared" si="1"/>
        <v>3.5</v>
      </c>
      <c r="L18" s="20">
        <v>2</v>
      </c>
      <c r="M18" s="21">
        <f t="shared" si="2"/>
        <v>7</v>
      </c>
      <c r="N18" s="22">
        <v>75</v>
      </c>
      <c r="O18" s="23" t="str">
        <f t="shared" si="3"/>
        <v>B+</v>
      </c>
      <c r="P18" s="24">
        <f t="shared" si="4"/>
        <v>3.5</v>
      </c>
      <c r="Q18" s="25">
        <v>6</v>
      </c>
      <c r="R18" s="26">
        <f t="shared" si="24"/>
        <v>21</v>
      </c>
      <c r="S18" s="34">
        <v>74</v>
      </c>
      <c r="T18" s="35" t="str">
        <f t="shared" si="5"/>
        <v>B</v>
      </c>
      <c r="U18" s="36">
        <f t="shared" si="25"/>
        <v>3</v>
      </c>
      <c r="V18" s="37">
        <f>3</f>
        <v>3</v>
      </c>
      <c r="W18" s="38">
        <f t="shared" si="26"/>
        <v>9</v>
      </c>
      <c r="X18" s="31">
        <v>73</v>
      </c>
      <c r="Y18" s="33" t="str">
        <f t="shared" si="6"/>
        <v>B</v>
      </c>
      <c r="Z18" s="32">
        <f t="shared" si="7"/>
        <v>3</v>
      </c>
      <c r="AA18" s="33">
        <v>4</v>
      </c>
      <c r="AB18" s="86">
        <f t="shared" si="8"/>
        <v>12</v>
      </c>
      <c r="AC18" s="49">
        <v>75</v>
      </c>
      <c r="AD18" s="87" t="str">
        <f t="shared" si="9"/>
        <v>B+</v>
      </c>
      <c r="AE18" s="27">
        <f t="shared" si="10"/>
        <v>3.5</v>
      </c>
      <c r="AF18" s="28">
        <v>3</v>
      </c>
      <c r="AG18" s="29">
        <f t="shared" si="11"/>
        <v>10.5</v>
      </c>
      <c r="AH18" s="30">
        <v>79</v>
      </c>
      <c r="AI18" s="2" t="str">
        <f t="shared" si="12"/>
        <v>B+</v>
      </c>
      <c r="AJ18" s="3">
        <f t="shared" si="13"/>
        <v>3.5</v>
      </c>
      <c r="AK18" s="4">
        <v>2</v>
      </c>
      <c r="AL18" s="5">
        <f t="shared" si="27"/>
        <v>7</v>
      </c>
      <c r="AM18" s="11">
        <v>80</v>
      </c>
      <c r="AN18" s="7" t="str">
        <f t="shared" si="14"/>
        <v>A</v>
      </c>
      <c r="AO18" s="8">
        <f t="shared" si="15"/>
        <v>4</v>
      </c>
      <c r="AP18" s="7">
        <v>3</v>
      </c>
      <c r="AQ18" s="7">
        <f t="shared" si="16"/>
        <v>12</v>
      </c>
      <c r="AR18" s="9">
        <v>79</v>
      </c>
      <c r="AS18" s="7" t="str">
        <f t="shared" si="28"/>
        <v>B+</v>
      </c>
      <c r="AT18" s="8">
        <f t="shared" si="29"/>
        <v>3.5</v>
      </c>
      <c r="AU18" s="62">
        <v>4</v>
      </c>
      <c r="AV18" s="7">
        <f t="shared" si="30"/>
        <v>14</v>
      </c>
      <c r="AW18" s="63">
        <v>75.400000000000006</v>
      </c>
      <c r="AX18" s="7" t="str">
        <f t="shared" si="31"/>
        <v>B+</v>
      </c>
      <c r="AY18" s="8">
        <f t="shared" si="32"/>
        <v>3.5</v>
      </c>
      <c r="AZ18" s="64">
        <v>4</v>
      </c>
      <c r="BA18" s="62">
        <f t="shared" si="33"/>
        <v>14</v>
      </c>
      <c r="BB18" s="11">
        <v>80</v>
      </c>
      <c r="BC18" s="7" t="str">
        <f t="shared" si="34"/>
        <v>A</v>
      </c>
      <c r="BD18" s="8">
        <f t="shared" si="35"/>
        <v>4</v>
      </c>
      <c r="BE18" s="7">
        <v>5</v>
      </c>
      <c r="BF18" s="7">
        <f t="shared" si="36"/>
        <v>20</v>
      </c>
      <c r="BG18" s="7">
        <v>82</v>
      </c>
      <c r="BH18" s="7" t="str">
        <f t="shared" si="43"/>
        <v>A</v>
      </c>
      <c r="BI18" s="8">
        <f t="shared" si="37"/>
        <v>4</v>
      </c>
      <c r="BJ18" s="62">
        <v>2</v>
      </c>
      <c r="BK18" s="7">
        <f t="shared" si="38"/>
        <v>8</v>
      </c>
      <c r="BL18" s="10">
        <f t="shared" si="17"/>
        <v>66.5</v>
      </c>
      <c r="BM18" s="7">
        <f t="shared" si="18"/>
        <v>20</v>
      </c>
      <c r="BN18" s="55">
        <f t="shared" si="19"/>
        <v>3.3250000000000002</v>
      </c>
      <c r="BO18" s="10">
        <f t="shared" si="44"/>
        <v>68</v>
      </c>
      <c r="BP18" s="9">
        <f t="shared" si="45"/>
        <v>18</v>
      </c>
      <c r="BQ18" s="10">
        <f t="shared" si="39"/>
        <v>3.7777777777777777</v>
      </c>
      <c r="BR18" s="11">
        <f t="shared" si="22"/>
        <v>134.5</v>
      </c>
      <c r="BS18" s="10">
        <f t="shared" si="23"/>
        <v>38</v>
      </c>
      <c r="BT18" s="10">
        <f t="shared" si="40"/>
        <v>3.5394736842105261</v>
      </c>
      <c r="BU18" s="54" t="str">
        <f t="shared" si="41"/>
        <v>Cum Laude</v>
      </c>
      <c r="BV18" s="54" t="str">
        <f t="shared" si="42"/>
        <v>Excellent</v>
      </c>
      <c r="BW18" s="54" t="s">
        <v>105</v>
      </c>
    </row>
    <row r="19" spans="1:75" x14ac:dyDescent="0.25">
      <c r="A19" s="6">
        <v>17</v>
      </c>
      <c r="B19" s="69" t="s">
        <v>168</v>
      </c>
      <c r="C19" s="6">
        <v>132414019</v>
      </c>
      <c r="D19" s="6" t="s">
        <v>27</v>
      </c>
      <c r="E19" s="6" t="s">
        <v>64</v>
      </c>
      <c r="F19" s="58" t="s">
        <v>65</v>
      </c>
      <c r="G19" s="58" t="s">
        <v>120</v>
      </c>
      <c r="H19" s="68" t="s">
        <v>137</v>
      </c>
      <c r="I19" s="17">
        <v>78</v>
      </c>
      <c r="J19" s="18" t="str">
        <f t="shared" si="0"/>
        <v>B+</v>
      </c>
      <c r="K19" s="19">
        <f t="shared" si="1"/>
        <v>3.5</v>
      </c>
      <c r="L19" s="20">
        <v>2</v>
      </c>
      <c r="M19" s="21">
        <f t="shared" si="2"/>
        <v>7</v>
      </c>
      <c r="N19" s="22">
        <v>73</v>
      </c>
      <c r="O19" s="23" t="str">
        <f t="shared" si="3"/>
        <v>B</v>
      </c>
      <c r="P19" s="24">
        <f t="shared" si="4"/>
        <v>3</v>
      </c>
      <c r="Q19" s="25">
        <v>6</v>
      </c>
      <c r="R19" s="26">
        <f t="shared" si="24"/>
        <v>18</v>
      </c>
      <c r="S19" s="34">
        <v>75</v>
      </c>
      <c r="T19" s="35" t="str">
        <f t="shared" si="5"/>
        <v>B+</v>
      </c>
      <c r="U19" s="36">
        <f t="shared" si="25"/>
        <v>3.5</v>
      </c>
      <c r="V19" s="37">
        <f>3</f>
        <v>3</v>
      </c>
      <c r="W19" s="38">
        <f t="shared" si="26"/>
        <v>10.5</v>
      </c>
      <c r="X19" s="31">
        <v>74</v>
      </c>
      <c r="Y19" s="33" t="str">
        <f t="shared" si="6"/>
        <v>B</v>
      </c>
      <c r="Z19" s="32">
        <f t="shared" si="7"/>
        <v>3</v>
      </c>
      <c r="AA19" s="33">
        <v>4</v>
      </c>
      <c r="AB19" s="86">
        <f t="shared" si="8"/>
        <v>12</v>
      </c>
      <c r="AC19" s="49">
        <v>76</v>
      </c>
      <c r="AD19" s="87" t="str">
        <f t="shared" si="9"/>
        <v>B+</v>
      </c>
      <c r="AE19" s="27">
        <f t="shared" si="10"/>
        <v>3.5</v>
      </c>
      <c r="AF19" s="28">
        <v>3</v>
      </c>
      <c r="AG19" s="29">
        <f t="shared" si="11"/>
        <v>10.5</v>
      </c>
      <c r="AH19" s="30">
        <v>77</v>
      </c>
      <c r="AI19" s="2" t="str">
        <f t="shared" si="12"/>
        <v>B+</v>
      </c>
      <c r="AJ19" s="3">
        <f t="shared" si="13"/>
        <v>3.5</v>
      </c>
      <c r="AK19" s="4">
        <v>2</v>
      </c>
      <c r="AL19" s="5">
        <f t="shared" si="27"/>
        <v>7</v>
      </c>
      <c r="AM19" s="11">
        <v>80</v>
      </c>
      <c r="AN19" s="7" t="str">
        <f t="shared" si="14"/>
        <v>A</v>
      </c>
      <c r="AO19" s="8">
        <f t="shared" si="15"/>
        <v>4</v>
      </c>
      <c r="AP19" s="7">
        <v>3</v>
      </c>
      <c r="AQ19" s="7">
        <f t="shared" si="16"/>
        <v>12</v>
      </c>
      <c r="AR19" s="14">
        <v>77</v>
      </c>
      <c r="AS19" s="7" t="str">
        <f t="shared" si="28"/>
        <v>B+</v>
      </c>
      <c r="AT19" s="8">
        <f t="shared" si="29"/>
        <v>3.5</v>
      </c>
      <c r="AU19" s="62">
        <v>4</v>
      </c>
      <c r="AV19" s="7">
        <f t="shared" si="30"/>
        <v>14</v>
      </c>
      <c r="AW19" s="63">
        <v>77.400000000000006</v>
      </c>
      <c r="AX19" s="7" t="str">
        <f t="shared" si="31"/>
        <v>B+</v>
      </c>
      <c r="AY19" s="8">
        <f t="shared" si="32"/>
        <v>3.5</v>
      </c>
      <c r="AZ19" s="64">
        <v>4</v>
      </c>
      <c r="BA19" s="62">
        <f t="shared" si="33"/>
        <v>14</v>
      </c>
      <c r="BB19" s="11">
        <v>80</v>
      </c>
      <c r="BC19" s="7" t="str">
        <f t="shared" si="34"/>
        <v>A</v>
      </c>
      <c r="BD19" s="8">
        <f t="shared" si="35"/>
        <v>4</v>
      </c>
      <c r="BE19" s="7">
        <v>5</v>
      </c>
      <c r="BF19" s="7">
        <f t="shared" si="36"/>
        <v>20</v>
      </c>
      <c r="BG19" s="7">
        <v>80</v>
      </c>
      <c r="BH19" s="7" t="str">
        <f t="shared" si="43"/>
        <v>A</v>
      </c>
      <c r="BI19" s="8">
        <f t="shared" si="37"/>
        <v>4</v>
      </c>
      <c r="BJ19" s="62">
        <v>2</v>
      </c>
      <c r="BK19" s="7">
        <f t="shared" si="38"/>
        <v>8</v>
      </c>
      <c r="BL19" s="10">
        <f t="shared" si="17"/>
        <v>65</v>
      </c>
      <c r="BM19" s="7">
        <f t="shared" si="18"/>
        <v>20</v>
      </c>
      <c r="BN19" s="55">
        <f t="shared" si="19"/>
        <v>3.25</v>
      </c>
      <c r="BO19" s="10">
        <f t="shared" si="44"/>
        <v>68</v>
      </c>
      <c r="BP19" s="9">
        <f t="shared" si="45"/>
        <v>18</v>
      </c>
      <c r="BQ19" s="10">
        <f t="shared" si="39"/>
        <v>3.7777777777777777</v>
      </c>
      <c r="BR19" s="11">
        <f t="shared" si="22"/>
        <v>133</v>
      </c>
      <c r="BS19" s="10">
        <f t="shared" si="23"/>
        <v>38</v>
      </c>
      <c r="BT19" s="10">
        <f t="shared" si="40"/>
        <v>3.5</v>
      </c>
      <c r="BU19" s="54" t="str">
        <f t="shared" si="41"/>
        <v>Sangat Memuaskan</v>
      </c>
      <c r="BV19" s="54" t="str">
        <f t="shared" si="42"/>
        <v>Highly Satisfactory</v>
      </c>
      <c r="BW19" s="54" t="s">
        <v>107</v>
      </c>
    </row>
    <row r="20" spans="1:75" x14ac:dyDescent="0.25">
      <c r="A20" s="6">
        <v>18</v>
      </c>
      <c r="B20" s="69" t="s">
        <v>167</v>
      </c>
      <c r="C20" s="6">
        <v>132414020</v>
      </c>
      <c r="D20" s="6" t="s">
        <v>27</v>
      </c>
      <c r="E20" s="6" t="s">
        <v>66</v>
      </c>
      <c r="F20" s="58" t="s">
        <v>67</v>
      </c>
      <c r="G20" s="58" t="s">
        <v>120</v>
      </c>
      <c r="H20" s="68" t="s">
        <v>138</v>
      </c>
      <c r="I20" s="17">
        <v>78</v>
      </c>
      <c r="J20" s="18" t="str">
        <f t="shared" si="0"/>
        <v>B+</v>
      </c>
      <c r="K20" s="19">
        <f t="shared" si="1"/>
        <v>3.5</v>
      </c>
      <c r="L20" s="20">
        <v>2</v>
      </c>
      <c r="M20" s="21">
        <f t="shared" si="2"/>
        <v>7</v>
      </c>
      <c r="N20" s="22">
        <v>74</v>
      </c>
      <c r="O20" s="23" t="str">
        <f t="shared" si="3"/>
        <v>B</v>
      </c>
      <c r="P20" s="24">
        <f t="shared" si="4"/>
        <v>3</v>
      </c>
      <c r="Q20" s="25">
        <v>6</v>
      </c>
      <c r="R20" s="26">
        <f t="shared" si="24"/>
        <v>18</v>
      </c>
      <c r="S20" s="34">
        <v>74</v>
      </c>
      <c r="T20" s="35" t="str">
        <f t="shared" si="5"/>
        <v>B</v>
      </c>
      <c r="U20" s="36">
        <f t="shared" si="25"/>
        <v>3</v>
      </c>
      <c r="V20" s="37">
        <f>3</f>
        <v>3</v>
      </c>
      <c r="W20" s="38">
        <f t="shared" si="26"/>
        <v>9</v>
      </c>
      <c r="X20" s="31">
        <v>75</v>
      </c>
      <c r="Y20" s="33" t="str">
        <f t="shared" si="6"/>
        <v>B+</v>
      </c>
      <c r="Z20" s="32">
        <f t="shared" si="7"/>
        <v>3.5</v>
      </c>
      <c r="AA20" s="33">
        <v>4</v>
      </c>
      <c r="AB20" s="86">
        <f t="shared" si="8"/>
        <v>14</v>
      </c>
      <c r="AC20" s="49">
        <v>76</v>
      </c>
      <c r="AD20" s="87" t="str">
        <f t="shared" si="9"/>
        <v>B+</v>
      </c>
      <c r="AE20" s="27">
        <f t="shared" si="10"/>
        <v>3.5</v>
      </c>
      <c r="AF20" s="28">
        <v>3</v>
      </c>
      <c r="AG20" s="29">
        <f t="shared" si="11"/>
        <v>10.5</v>
      </c>
      <c r="AH20" s="30">
        <v>79</v>
      </c>
      <c r="AI20" s="2" t="str">
        <f t="shared" si="12"/>
        <v>B+</v>
      </c>
      <c r="AJ20" s="3">
        <f t="shared" si="13"/>
        <v>3.5</v>
      </c>
      <c r="AK20" s="4">
        <v>2</v>
      </c>
      <c r="AL20" s="5">
        <f t="shared" si="27"/>
        <v>7</v>
      </c>
      <c r="AM20" s="11">
        <v>82</v>
      </c>
      <c r="AN20" s="7" t="str">
        <f t="shared" si="14"/>
        <v>A</v>
      </c>
      <c r="AO20" s="8">
        <f t="shared" si="15"/>
        <v>4</v>
      </c>
      <c r="AP20" s="7">
        <v>3</v>
      </c>
      <c r="AQ20" s="7">
        <f t="shared" si="16"/>
        <v>12</v>
      </c>
      <c r="AR20" s="14">
        <v>79</v>
      </c>
      <c r="AS20" s="7" t="str">
        <f t="shared" si="28"/>
        <v>B+</v>
      </c>
      <c r="AT20" s="8">
        <f t="shared" si="29"/>
        <v>3.5</v>
      </c>
      <c r="AU20" s="62">
        <v>4</v>
      </c>
      <c r="AV20" s="7">
        <f t="shared" si="30"/>
        <v>14</v>
      </c>
      <c r="AW20" s="67">
        <v>75</v>
      </c>
      <c r="AX20" s="7" t="str">
        <f t="shared" si="31"/>
        <v>B+</v>
      </c>
      <c r="AY20" s="8">
        <f t="shared" si="32"/>
        <v>3.5</v>
      </c>
      <c r="AZ20" s="64">
        <v>4</v>
      </c>
      <c r="BA20" s="62">
        <f t="shared" si="33"/>
        <v>14</v>
      </c>
      <c r="BB20" s="11">
        <v>82</v>
      </c>
      <c r="BC20" s="7" t="str">
        <f t="shared" si="34"/>
        <v>A</v>
      </c>
      <c r="BD20" s="8">
        <f t="shared" si="35"/>
        <v>4</v>
      </c>
      <c r="BE20" s="7">
        <v>5</v>
      </c>
      <c r="BF20" s="7">
        <f t="shared" si="36"/>
        <v>20</v>
      </c>
      <c r="BG20" s="7">
        <v>82</v>
      </c>
      <c r="BH20" s="7" t="str">
        <f t="shared" si="43"/>
        <v>A</v>
      </c>
      <c r="BI20" s="8">
        <f t="shared" si="37"/>
        <v>4</v>
      </c>
      <c r="BJ20" s="62">
        <v>2</v>
      </c>
      <c r="BK20" s="7">
        <f t="shared" si="38"/>
        <v>8</v>
      </c>
      <c r="BL20" s="10">
        <f t="shared" si="17"/>
        <v>65.5</v>
      </c>
      <c r="BM20" s="7">
        <f t="shared" si="18"/>
        <v>20</v>
      </c>
      <c r="BN20" s="55">
        <f t="shared" si="19"/>
        <v>3.2749999999999999</v>
      </c>
      <c r="BO20" s="10">
        <f t="shared" si="44"/>
        <v>68</v>
      </c>
      <c r="BP20" s="9">
        <f t="shared" si="45"/>
        <v>18</v>
      </c>
      <c r="BQ20" s="10">
        <f t="shared" si="39"/>
        <v>3.7777777777777777</v>
      </c>
      <c r="BR20" s="11">
        <f t="shared" si="22"/>
        <v>133.5</v>
      </c>
      <c r="BS20" s="10">
        <f t="shared" si="23"/>
        <v>38</v>
      </c>
      <c r="BT20" s="10">
        <f t="shared" si="40"/>
        <v>3.513157894736842</v>
      </c>
      <c r="BU20" s="54" t="str">
        <f t="shared" si="41"/>
        <v>Cum Laude</v>
      </c>
      <c r="BV20" s="54" t="str">
        <f t="shared" si="42"/>
        <v>Excellent</v>
      </c>
      <c r="BW20" s="54" t="s">
        <v>106</v>
      </c>
    </row>
    <row r="21" spans="1:75" x14ac:dyDescent="0.25">
      <c r="A21" s="6">
        <v>19</v>
      </c>
      <c r="B21" s="69" t="s">
        <v>166</v>
      </c>
      <c r="C21" s="6">
        <v>132414021</v>
      </c>
      <c r="D21" s="6" t="s">
        <v>27</v>
      </c>
      <c r="E21" s="6" t="s">
        <v>62</v>
      </c>
      <c r="F21" s="58" t="s">
        <v>68</v>
      </c>
      <c r="G21" s="58" t="s">
        <v>120</v>
      </c>
      <c r="H21" s="68" t="s">
        <v>139</v>
      </c>
      <c r="I21" s="17">
        <v>74</v>
      </c>
      <c r="J21" s="18" t="str">
        <f t="shared" si="0"/>
        <v>B</v>
      </c>
      <c r="K21" s="19">
        <f t="shared" si="1"/>
        <v>3</v>
      </c>
      <c r="L21" s="20">
        <v>2</v>
      </c>
      <c r="M21" s="21">
        <f t="shared" si="2"/>
        <v>6</v>
      </c>
      <c r="N21" s="22">
        <v>73</v>
      </c>
      <c r="O21" s="23" t="str">
        <f t="shared" si="3"/>
        <v>B</v>
      </c>
      <c r="P21" s="24">
        <f t="shared" si="4"/>
        <v>3</v>
      </c>
      <c r="Q21" s="25">
        <v>6</v>
      </c>
      <c r="R21" s="26">
        <f t="shared" si="24"/>
        <v>18</v>
      </c>
      <c r="S21" s="34">
        <v>75</v>
      </c>
      <c r="T21" s="35" t="str">
        <f t="shared" si="5"/>
        <v>B+</v>
      </c>
      <c r="U21" s="36">
        <f t="shared" si="25"/>
        <v>3.5</v>
      </c>
      <c r="V21" s="37">
        <f>3</f>
        <v>3</v>
      </c>
      <c r="W21" s="38">
        <f t="shared" si="26"/>
        <v>10.5</v>
      </c>
      <c r="X21" s="31">
        <v>73</v>
      </c>
      <c r="Y21" s="33" t="str">
        <f t="shared" si="6"/>
        <v>B</v>
      </c>
      <c r="Z21" s="32">
        <f t="shared" si="7"/>
        <v>3</v>
      </c>
      <c r="AA21" s="33">
        <v>4</v>
      </c>
      <c r="AB21" s="86">
        <f t="shared" si="8"/>
        <v>12</v>
      </c>
      <c r="AC21" s="49">
        <v>75</v>
      </c>
      <c r="AD21" s="87" t="str">
        <f t="shared" si="9"/>
        <v>B+</v>
      </c>
      <c r="AE21" s="27">
        <f t="shared" si="10"/>
        <v>3.5</v>
      </c>
      <c r="AF21" s="28">
        <v>3</v>
      </c>
      <c r="AG21" s="29">
        <f t="shared" si="11"/>
        <v>10.5</v>
      </c>
      <c r="AH21" s="30">
        <v>77</v>
      </c>
      <c r="AI21" s="2" t="str">
        <f t="shared" si="12"/>
        <v>B+</v>
      </c>
      <c r="AJ21" s="3">
        <f t="shared" si="13"/>
        <v>3.5</v>
      </c>
      <c r="AK21" s="4">
        <v>2</v>
      </c>
      <c r="AL21" s="5">
        <f t="shared" si="27"/>
        <v>7</v>
      </c>
      <c r="AM21" s="11">
        <v>81</v>
      </c>
      <c r="AN21" s="7" t="str">
        <f t="shared" si="14"/>
        <v>A</v>
      </c>
      <c r="AO21" s="8">
        <f t="shared" si="15"/>
        <v>4</v>
      </c>
      <c r="AP21" s="7">
        <v>3</v>
      </c>
      <c r="AQ21" s="7">
        <f t="shared" si="16"/>
        <v>12</v>
      </c>
      <c r="AR21" s="14">
        <v>78</v>
      </c>
      <c r="AS21" s="7" t="str">
        <f t="shared" si="28"/>
        <v>B+</v>
      </c>
      <c r="AT21" s="8">
        <f t="shared" si="29"/>
        <v>3.5</v>
      </c>
      <c r="AU21" s="62">
        <v>4</v>
      </c>
      <c r="AV21" s="7">
        <f t="shared" si="30"/>
        <v>14</v>
      </c>
      <c r="AW21" s="63">
        <v>79.400000000000006</v>
      </c>
      <c r="AX21" s="7" t="str">
        <f t="shared" si="31"/>
        <v>B+</v>
      </c>
      <c r="AY21" s="8">
        <f t="shared" si="32"/>
        <v>3.5</v>
      </c>
      <c r="AZ21" s="64">
        <v>4</v>
      </c>
      <c r="BA21" s="62">
        <f t="shared" si="33"/>
        <v>14</v>
      </c>
      <c r="BB21" s="11">
        <v>81</v>
      </c>
      <c r="BC21" s="7" t="str">
        <f t="shared" si="34"/>
        <v>A</v>
      </c>
      <c r="BD21" s="8">
        <f t="shared" si="35"/>
        <v>4</v>
      </c>
      <c r="BE21" s="7">
        <v>5</v>
      </c>
      <c r="BF21" s="7">
        <f t="shared" si="36"/>
        <v>20</v>
      </c>
      <c r="BG21" s="7">
        <v>80</v>
      </c>
      <c r="BH21" s="7" t="str">
        <f t="shared" si="43"/>
        <v>A</v>
      </c>
      <c r="BI21" s="8">
        <f t="shared" si="37"/>
        <v>4</v>
      </c>
      <c r="BJ21" s="62">
        <v>2</v>
      </c>
      <c r="BK21" s="7">
        <f t="shared" si="38"/>
        <v>8</v>
      </c>
      <c r="BL21" s="10">
        <f t="shared" si="17"/>
        <v>64</v>
      </c>
      <c r="BM21" s="7">
        <f t="shared" si="18"/>
        <v>20</v>
      </c>
      <c r="BN21" s="55">
        <f t="shared" si="19"/>
        <v>3.2</v>
      </c>
      <c r="BO21" s="10">
        <f t="shared" si="44"/>
        <v>68</v>
      </c>
      <c r="BP21" s="9">
        <f t="shared" si="45"/>
        <v>18</v>
      </c>
      <c r="BQ21" s="10">
        <f t="shared" si="39"/>
        <v>3.7777777777777777</v>
      </c>
      <c r="BR21" s="11">
        <f t="shared" si="22"/>
        <v>132</v>
      </c>
      <c r="BS21" s="10">
        <f t="shared" si="23"/>
        <v>38</v>
      </c>
      <c r="BT21" s="10">
        <f t="shared" si="40"/>
        <v>3.4736842105263159</v>
      </c>
      <c r="BU21" s="54" t="str">
        <f t="shared" si="41"/>
        <v>Sangat Memuaskan</v>
      </c>
      <c r="BV21" s="54" t="str">
        <f t="shared" si="42"/>
        <v>Highly Satisfactory</v>
      </c>
      <c r="BW21" s="54" t="s">
        <v>108</v>
      </c>
    </row>
    <row r="22" spans="1:75" x14ac:dyDescent="0.25">
      <c r="A22" s="6">
        <v>20</v>
      </c>
      <c r="B22" s="69" t="s">
        <v>165</v>
      </c>
      <c r="C22" s="6">
        <v>132414022</v>
      </c>
      <c r="D22" s="6" t="s">
        <v>27</v>
      </c>
      <c r="E22" s="6" t="s">
        <v>69</v>
      </c>
      <c r="F22" s="58" t="s">
        <v>70</v>
      </c>
      <c r="G22" s="58" t="s">
        <v>120</v>
      </c>
      <c r="H22" s="68" t="s">
        <v>140</v>
      </c>
      <c r="I22" s="17">
        <v>79</v>
      </c>
      <c r="J22" s="18" t="str">
        <f t="shared" si="0"/>
        <v>B+</v>
      </c>
      <c r="K22" s="19">
        <f t="shared" si="1"/>
        <v>3.5</v>
      </c>
      <c r="L22" s="20">
        <v>2</v>
      </c>
      <c r="M22" s="21">
        <f t="shared" si="2"/>
        <v>7</v>
      </c>
      <c r="N22" s="22">
        <v>72</v>
      </c>
      <c r="O22" s="23" t="str">
        <f t="shared" si="3"/>
        <v>B</v>
      </c>
      <c r="P22" s="24">
        <f t="shared" si="4"/>
        <v>3</v>
      </c>
      <c r="Q22" s="25">
        <v>6</v>
      </c>
      <c r="R22" s="26">
        <f t="shared" si="24"/>
        <v>18</v>
      </c>
      <c r="S22" s="34">
        <v>73</v>
      </c>
      <c r="T22" s="35" t="str">
        <f t="shared" si="5"/>
        <v>B</v>
      </c>
      <c r="U22" s="36">
        <f t="shared" si="25"/>
        <v>3</v>
      </c>
      <c r="V22" s="37">
        <f>3</f>
        <v>3</v>
      </c>
      <c r="W22" s="38">
        <f t="shared" si="26"/>
        <v>9</v>
      </c>
      <c r="X22" s="31">
        <v>75</v>
      </c>
      <c r="Y22" s="33" t="str">
        <f t="shared" si="6"/>
        <v>B+</v>
      </c>
      <c r="Z22" s="32">
        <f t="shared" si="7"/>
        <v>3.5</v>
      </c>
      <c r="AA22" s="33">
        <v>4</v>
      </c>
      <c r="AB22" s="86">
        <f t="shared" si="8"/>
        <v>14</v>
      </c>
      <c r="AC22" s="49">
        <v>79</v>
      </c>
      <c r="AD22" s="87" t="str">
        <f t="shared" si="9"/>
        <v>B+</v>
      </c>
      <c r="AE22" s="27">
        <f t="shared" si="10"/>
        <v>3.5</v>
      </c>
      <c r="AF22" s="28">
        <v>3</v>
      </c>
      <c r="AG22" s="29">
        <f t="shared" si="11"/>
        <v>10.5</v>
      </c>
      <c r="AH22" s="30">
        <v>78</v>
      </c>
      <c r="AI22" s="2" t="str">
        <f t="shared" si="12"/>
        <v>B+</v>
      </c>
      <c r="AJ22" s="3">
        <f t="shared" si="13"/>
        <v>3.5</v>
      </c>
      <c r="AK22" s="4">
        <v>2</v>
      </c>
      <c r="AL22" s="5">
        <f t="shared" si="27"/>
        <v>7</v>
      </c>
      <c r="AM22" s="11">
        <v>82</v>
      </c>
      <c r="AN22" s="7" t="str">
        <f t="shared" si="14"/>
        <v>A</v>
      </c>
      <c r="AO22" s="8">
        <f t="shared" si="15"/>
        <v>4</v>
      </c>
      <c r="AP22" s="7">
        <v>3</v>
      </c>
      <c r="AQ22" s="7">
        <f t="shared" si="16"/>
        <v>12</v>
      </c>
      <c r="AR22" s="9">
        <v>79</v>
      </c>
      <c r="AS22" s="7" t="str">
        <f t="shared" si="28"/>
        <v>B+</v>
      </c>
      <c r="AT22" s="8">
        <f t="shared" si="29"/>
        <v>3.5</v>
      </c>
      <c r="AU22" s="62">
        <v>4</v>
      </c>
      <c r="AV22" s="7">
        <f t="shared" si="30"/>
        <v>14</v>
      </c>
      <c r="AW22" s="63">
        <v>80.8</v>
      </c>
      <c r="AX22" s="7" t="str">
        <f t="shared" si="31"/>
        <v>A</v>
      </c>
      <c r="AY22" s="8">
        <f t="shared" si="32"/>
        <v>4</v>
      </c>
      <c r="AZ22" s="64">
        <v>4</v>
      </c>
      <c r="BA22" s="62">
        <f t="shared" si="33"/>
        <v>16</v>
      </c>
      <c r="BB22" s="11">
        <v>82</v>
      </c>
      <c r="BC22" s="7" t="str">
        <f t="shared" si="34"/>
        <v>A</v>
      </c>
      <c r="BD22" s="8">
        <f t="shared" si="35"/>
        <v>4</v>
      </c>
      <c r="BE22" s="7">
        <v>5</v>
      </c>
      <c r="BF22" s="7">
        <f t="shared" si="36"/>
        <v>20</v>
      </c>
      <c r="BG22" s="66">
        <v>76</v>
      </c>
      <c r="BH22" s="7" t="str">
        <f t="shared" si="43"/>
        <v>B+</v>
      </c>
      <c r="BI22" s="8">
        <f t="shared" si="37"/>
        <v>3.5</v>
      </c>
      <c r="BJ22" s="62">
        <v>2</v>
      </c>
      <c r="BK22" s="7">
        <f t="shared" si="38"/>
        <v>7</v>
      </c>
      <c r="BL22" s="10">
        <f t="shared" si="17"/>
        <v>65.5</v>
      </c>
      <c r="BM22" s="7">
        <f t="shared" si="18"/>
        <v>20</v>
      </c>
      <c r="BN22" s="55">
        <f t="shared" si="19"/>
        <v>3.2749999999999999</v>
      </c>
      <c r="BO22" s="10">
        <f t="shared" si="44"/>
        <v>69</v>
      </c>
      <c r="BP22" s="9">
        <f t="shared" si="45"/>
        <v>18</v>
      </c>
      <c r="BQ22" s="10">
        <f t="shared" si="39"/>
        <v>3.8333333333333335</v>
      </c>
      <c r="BR22" s="11">
        <f t="shared" si="22"/>
        <v>134.5</v>
      </c>
      <c r="BS22" s="10">
        <f t="shared" si="23"/>
        <v>38</v>
      </c>
      <c r="BT22" s="10">
        <f t="shared" si="40"/>
        <v>3.5394736842105261</v>
      </c>
      <c r="BU22" s="54" t="str">
        <f t="shared" si="41"/>
        <v>Cum Laude</v>
      </c>
      <c r="BV22" s="54" t="str">
        <f t="shared" si="42"/>
        <v>Excellent</v>
      </c>
      <c r="BW22" s="54" t="s">
        <v>109</v>
      </c>
    </row>
    <row r="23" spans="1:75" x14ac:dyDescent="0.25">
      <c r="A23" s="6">
        <v>21</v>
      </c>
      <c r="B23" s="69" t="s">
        <v>164</v>
      </c>
      <c r="C23" s="6">
        <v>132414023</v>
      </c>
      <c r="D23" s="6" t="s">
        <v>27</v>
      </c>
      <c r="E23" s="6" t="s">
        <v>69</v>
      </c>
      <c r="F23" s="58" t="s">
        <v>71</v>
      </c>
      <c r="G23" s="58" t="s">
        <v>120</v>
      </c>
      <c r="H23" s="68" t="s">
        <v>141</v>
      </c>
      <c r="I23" s="17">
        <v>78</v>
      </c>
      <c r="J23" s="18" t="str">
        <f t="shared" si="0"/>
        <v>B+</v>
      </c>
      <c r="K23" s="19">
        <f t="shared" si="1"/>
        <v>3.5</v>
      </c>
      <c r="L23" s="20">
        <v>2</v>
      </c>
      <c r="M23" s="21">
        <f t="shared" si="2"/>
        <v>7</v>
      </c>
      <c r="N23" s="22">
        <v>74</v>
      </c>
      <c r="O23" s="23" t="str">
        <f t="shared" si="3"/>
        <v>B</v>
      </c>
      <c r="P23" s="24">
        <f t="shared" si="4"/>
        <v>3</v>
      </c>
      <c r="Q23" s="25">
        <v>6</v>
      </c>
      <c r="R23" s="26">
        <f t="shared" si="24"/>
        <v>18</v>
      </c>
      <c r="S23" s="34">
        <v>74</v>
      </c>
      <c r="T23" s="35" t="str">
        <f t="shared" si="5"/>
        <v>B</v>
      </c>
      <c r="U23" s="36">
        <f t="shared" si="25"/>
        <v>3</v>
      </c>
      <c r="V23" s="37">
        <f>3</f>
        <v>3</v>
      </c>
      <c r="W23" s="38">
        <f t="shared" si="26"/>
        <v>9</v>
      </c>
      <c r="X23" s="31">
        <v>76</v>
      </c>
      <c r="Y23" s="33" t="str">
        <f t="shared" si="6"/>
        <v>B+</v>
      </c>
      <c r="Z23" s="32">
        <f t="shared" si="7"/>
        <v>3.5</v>
      </c>
      <c r="AA23" s="33">
        <v>4</v>
      </c>
      <c r="AB23" s="86">
        <f t="shared" si="8"/>
        <v>14</v>
      </c>
      <c r="AC23" s="49">
        <v>77</v>
      </c>
      <c r="AD23" s="87" t="str">
        <f t="shared" si="9"/>
        <v>B+</v>
      </c>
      <c r="AE23" s="27">
        <f t="shared" si="10"/>
        <v>3.5</v>
      </c>
      <c r="AF23" s="28">
        <v>3</v>
      </c>
      <c r="AG23" s="29">
        <f t="shared" si="11"/>
        <v>10.5</v>
      </c>
      <c r="AH23" s="30">
        <v>78</v>
      </c>
      <c r="AI23" s="2" t="str">
        <f t="shared" si="12"/>
        <v>B+</v>
      </c>
      <c r="AJ23" s="3">
        <f t="shared" si="13"/>
        <v>3.5</v>
      </c>
      <c r="AK23" s="4">
        <v>2</v>
      </c>
      <c r="AL23" s="5">
        <f t="shared" si="27"/>
        <v>7</v>
      </c>
      <c r="AM23" s="11">
        <v>80</v>
      </c>
      <c r="AN23" s="7" t="str">
        <f t="shared" si="14"/>
        <v>A</v>
      </c>
      <c r="AO23" s="8">
        <f t="shared" si="15"/>
        <v>4</v>
      </c>
      <c r="AP23" s="7">
        <v>3</v>
      </c>
      <c r="AQ23" s="7">
        <f t="shared" si="16"/>
        <v>12</v>
      </c>
      <c r="AR23" s="9">
        <v>78</v>
      </c>
      <c r="AS23" s="7" t="str">
        <f t="shared" si="28"/>
        <v>B+</v>
      </c>
      <c r="AT23" s="8">
        <f t="shared" si="29"/>
        <v>3.5</v>
      </c>
      <c r="AU23" s="62">
        <v>4</v>
      </c>
      <c r="AV23" s="7">
        <f t="shared" si="30"/>
        <v>14</v>
      </c>
      <c r="AW23" s="63">
        <v>81.5</v>
      </c>
      <c r="AX23" s="7" t="str">
        <f t="shared" si="31"/>
        <v>A</v>
      </c>
      <c r="AY23" s="8">
        <f t="shared" si="32"/>
        <v>4</v>
      </c>
      <c r="AZ23" s="64">
        <v>4</v>
      </c>
      <c r="BA23" s="62">
        <f t="shared" si="33"/>
        <v>16</v>
      </c>
      <c r="BB23" s="11">
        <v>80</v>
      </c>
      <c r="BC23" s="7" t="str">
        <f t="shared" si="34"/>
        <v>A</v>
      </c>
      <c r="BD23" s="8">
        <f t="shared" si="35"/>
        <v>4</v>
      </c>
      <c r="BE23" s="7">
        <v>5</v>
      </c>
      <c r="BF23" s="7">
        <f t="shared" si="36"/>
        <v>20</v>
      </c>
      <c r="BG23" s="66">
        <v>76</v>
      </c>
      <c r="BH23" s="7" t="str">
        <f t="shared" si="43"/>
        <v>B+</v>
      </c>
      <c r="BI23" s="8">
        <f t="shared" si="37"/>
        <v>3.5</v>
      </c>
      <c r="BJ23" s="62">
        <v>2</v>
      </c>
      <c r="BK23" s="7">
        <f t="shared" si="38"/>
        <v>7</v>
      </c>
      <c r="BL23" s="10">
        <f t="shared" si="17"/>
        <v>65.5</v>
      </c>
      <c r="BM23" s="7">
        <f t="shared" si="18"/>
        <v>20</v>
      </c>
      <c r="BN23" s="55">
        <f t="shared" si="19"/>
        <v>3.2749999999999999</v>
      </c>
      <c r="BO23" s="10">
        <f t="shared" si="44"/>
        <v>69</v>
      </c>
      <c r="BP23" s="9">
        <f t="shared" si="45"/>
        <v>18</v>
      </c>
      <c r="BQ23" s="10">
        <f t="shared" si="39"/>
        <v>3.8333333333333335</v>
      </c>
      <c r="BR23" s="11">
        <f t="shared" si="22"/>
        <v>134.5</v>
      </c>
      <c r="BS23" s="10">
        <f t="shared" si="23"/>
        <v>38</v>
      </c>
      <c r="BT23" s="10">
        <f t="shared" si="40"/>
        <v>3.5394736842105261</v>
      </c>
      <c r="BU23" s="54" t="str">
        <f t="shared" si="41"/>
        <v>Cum Laude</v>
      </c>
      <c r="BV23" s="54" t="str">
        <f t="shared" si="42"/>
        <v>Excellent</v>
      </c>
      <c r="BW23" s="54" t="s">
        <v>110</v>
      </c>
    </row>
    <row r="24" spans="1:75" ht="30" x14ac:dyDescent="0.25">
      <c r="A24" s="6">
        <v>22</v>
      </c>
      <c r="B24" s="69" t="s">
        <v>163</v>
      </c>
      <c r="C24" s="6">
        <v>132414025</v>
      </c>
      <c r="D24" s="6" t="s">
        <v>27</v>
      </c>
      <c r="E24" s="6" t="s">
        <v>72</v>
      </c>
      <c r="F24" s="58" t="s">
        <v>73</v>
      </c>
      <c r="G24" s="58" t="s">
        <v>120</v>
      </c>
      <c r="H24" s="68" t="s">
        <v>142</v>
      </c>
      <c r="I24" s="17">
        <v>76</v>
      </c>
      <c r="J24" s="18" t="str">
        <f t="shared" si="0"/>
        <v>B+</v>
      </c>
      <c r="K24" s="19">
        <f t="shared" si="1"/>
        <v>3.5</v>
      </c>
      <c r="L24" s="20">
        <v>2</v>
      </c>
      <c r="M24" s="21">
        <f t="shared" si="2"/>
        <v>7</v>
      </c>
      <c r="N24" s="22">
        <v>74</v>
      </c>
      <c r="O24" s="23" t="str">
        <f t="shared" si="3"/>
        <v>B</v>
      </c>
      <c r="P24" s="24">
        <f t="shared" si="4"/>
        <v>3</v>
      </c>
      <c r="Q24" s="25">
        <v>6</v>
      </c>
      <c r="R24" s="26">
        <f t="shared" si="24"/>
        <v>18</v>
      </c>
      <c r="S24" s="34">
        <v>74</v>
      </c>
      <c r="T24" s="35" t="str">
        <f t="shared" si="5"/>
        <v>B</v>
      </c>
      <c r="U24" s="36">
        <f t="shared" si="25"/>
        <v>3</v>
      </c>
      <c r="V24" s="37">
        <f>3</f>
        <v>3</v>
      </c>
      <c r="W24" s="38">
        <f t="shared" si="26"/>
        <v>9</v>
      </c>
      <c r="X24" s="31">
        <v>75</v>
      </c>
      <c r="Y24" s="33" t="str">
        <f t="shared" si="6"/>
        <v>B+</v>
      </c>
      <c r="Z24" s="32">
        <f t="shared" si="7"/>
        <v>3.5</v>
      </c>
      <c r="AA24" s="33">
        <v>4</v>
      </c>
      <c r="AB24" s="86">
        <f t="shared" si="8"/>
        <v>14</v>
      </c>
      <c r="AC24" s="49">
        <v>79</v>
      </c>
      <c r="AD24" s="87" t="str">
        <f t="shared" si="9"/>
        <v>B+</v>
      </c>
      <c r="AE24" s="27">
        <f t="shared" si="10"/>
        <v>3.5</v>
      </c>
      <c r="AF24" s="28">
        <v>3</v>
      </c>
      <c r="AG24" s="29">
        <f t="shared" si="11"/>
        <v>10.5</v>
      </c>
      <c r="AH24" s="30">
        <v>79</v>
      </c>
      <c r="AI24" s="2" t="str">
        <f t="shared" si="12"/>
        <v>B+</v>
      </c>
      <c r="AJ24" s="3">
        <f t="shared" si="13"/>
        <v>3.5</v>
      </c>
      <c r="AK24" s="4">
        <v>2</v>
      </c>
      <c r="AL24" s="5">
        <f t="shared" si="27"/>
        <v>7</v>
      </c>
      <c r="AM24" s="11">
        <v>83</v>
      </c>
      <c r="AN24" s="7" t="str">
        <f t="shared" si="14"/>
        <v>A</v>
      </c>
      <c r="AO24" s="8">
        <f t="shared" si="15"/>
        <v>4</v>
      </c>
      <c r="AP24" s="7">
        <v>3</v>
      </c>
      <c r="AQ24" s="7">
        <f t="shared" si="16"/>
        <v>12</v>
      </c>
      <c r="AR24" s="9">
        <v>80</v>
      </c>
      <c r="AS24" s="7" t="str">
        <f t="shared" si="28"/>
        <v>A</v>
      </c>
      <c r="AT24" s="8">
        <f t="shared" si="29"/>
        <v>4</v>
      </c>
      <c r="AU24" s="62">
        <v>4</v>
      </c>
      <c r="AV24" s="7">
        <f t="shared" si="30"/>
        <v>16</v>
      </c>
      <c r="AW24" s="63">
        <v>81.5</v>
      </c>
      <c r="AX24" s="7" t="str">
        <f t="shared" si="31"/>
        <v>A</v>
      </c>
      <c r="AY24" s="8">
        <f t="shared" si="32"/>
        <v>4</v>
      </c>
      <c r="AZ24" s="64">
        <v>4</v>
      </c>
      <c r="BA24" s="62">
        <f t="shared" si="33"/>
        <v>16</v>
      </c>
      <c r="BB24" s="11">
        <v>83</v>
      </c>
      <c r="BC24" s="7" t="str">
        <f t="shared" si="34"/>
        <v>A</v>
      </c>
      <c r="BD24" s="8">
        <f t="shared" si="35"/>
        <v>4</v>
      </c>
      <c r="BE24" s="7">
        <v>5</v>
      </c>
      <c r="BF24" s="7">
        <f t="shared" si="36"/>
        <v>20</v>
      </c>
      <c r="BG24" s="7">
        <v>81</v>
      </c>
      <c r="BH24" s="7" t="str">
        <f t="shared" si="43"/>
        <v>A</v>
      </c>
      <c r="BI24" s="8">
        <f t="shared" si="37"/>
        <v>4</v>
      </c>
      <c r="BJ24" s="62">
        <v>2</v>
      </c>
      <c r="BK24" s="7">
        <f t="shared" si="38"/>
        <v>8</v>
      </c>
      <c r="BL24" s="10">
        <f t="shared" si="17"/>
        <v>65.5</v>
      </c>
      <c r="BM24" s="7">
        <f t="shared" si="18"/>
        <v>20</v>
      </c>
      <c r="BN24" s="55">
        <f t="shared" si="19"/>
        <v>3.2749999999999999</v>
      </c>
      <c r="BO24" s="10">
        <f t="shared" si="44"/>
        <v>72</v>
      </c>
      <c r="BP24" s="9">
        <f t="shared" si="45"/>
        <v>18</v>
      </c>
      <c r="BQ24" s="10">
        <f t="shared" si="39"/>
        <v>4</v>
      </c>
      <c r="BR24" s="11">
        <f t="shared" si="22"/>
        <v>137.5</v>
      </c>
      <c r="BS24" s="10">
        <f t="shared" si="23"/>
        <v>38</v>
      </c>
      <c r="BT24" s="10">
        <f t="shared" si="40"/>
        <v>3.6184210526315788</v>
      </c>
      <c r="BU24" s="54" t="str">
        <f t="shared" si="41"/>
        <v>Cum Laude</v>
      </c>
      <c r="BV24" s="54" t="str">
        <f t="shared" si="42"/>
        <v>Excellent</v>
      </c>
      <c r="BW24" s="54" t="s">
        <v>111</v>
      </c>
    </row>
    <row r="25" spans="1:75" x14ac:dyDescent="0.25">
      <c r="A25" s="6">
        <v>23</v>
      </c>
      <c r="B25" s="69" t="s">
        <v>162</v>
      </c>
      <c r="C25" s="6">
        <v>132414026</v>
      </c>
      <c r="D25" s="6" t="s">
        <v>27</v>
      </c>
      <c r="E25" s="6" t="s">
        <v>62</v>
      </c>
      <c r="F25" s="58" t="s">
        <v>74</v>
      </c>
      <c r="G25" s="58" t="s">
        <v>120</v>
      </c>
      <c r="H25" s="68" t="s">
        <v>143</v>
      </c>
      <c r="I25" s="17">
        <v>80</v>
      </c>
      <c r="J25" s="18" t="str">
        <f t="shared" si="0"/>
        <v>A</v>
      </c>
      <c r="K25" s="19">
        <f t="shared" si="1"/>
        <v>4</v>
      </c>
      <c r="L25" s="20">
        <v>2</v>
      </c>
      <c r="M25" s="21">
        <f t="shared" si="2"/>
        <v>8</v>
      </c>
      <c r="N25" s="22">
        <v>77</v>
      </c>
      <c r="O25" s="23" t="str">
        <f t="shared" si="3"/>
        <v>B+</v>
      </c>
      <c r="P25" s="24">
        <f t="shared" si="4"/>
        <v>3.5</v>
      </c>
      <c r="Q25" s="25">
        <v>6</v>
      </c>
      <c r="R25" s="26">
        <f t="shared" si="24"/>
        <v>21</v>
      </c>
      <c r="S25" s="34">
        <v>75</v>
      </c>
      <c r="T25" s="35" t="str">
        <f t="shared" si="5"/>
        <v>B+</v>
      </c>
      <c r="U25" s="36">
        <f t="shared" si="25"/>
        <v>3.5</v>
      </c>
      <c r="V25" s="37">
        <f>3</f>
        <v>3</v>
      </c>
      <c r="W25" s="38">
        <f t="shared" si="26"/>
        <v>10.5</v>
      </c>
      <c r="X25" s="31">
        <v>78</v>
      </c>
      <c r="Y25" s="33" t="str">
        <f t="shared" si="6"/>
        <v>B+</v>
      </c>
      <c r="Z25" s="32">
        <f t="shared" si="7"/>
        <v>3.5</v>
      </c>
      <c r="AA25" s="33">
        <v>4</v>
      </c>
      <c r="AB25" s="86">
        <f t="shared" si="8"/>
        <v>14</v>
      </c>
      <c r="AC25" s="49">
        <v>80</v>
      </c>
      <c r="AD25" s="87" t="str">
        <f t="shared" si="9"/>
        <v>A</v>
      </c>
      <c r="AE25" s="27">
        <f t="shared" si="10"/>
        <v>4</v>
      </c>
      <c r="AF25" s="28">
        <v>3</v>
      </c>
      <c r="AG25" s="29">
        <f t="shared" si="11"/>
        <v>12</v>
      </c>
      <c r="AH25" s="30">
        <v>78</v>
      </c>
      <c r="AI25" s="2" t="str">
        <f t="shared" si="12"/>
        <v>B+</v>
      </c>
      <c r="AJ25" s="3">
        <f t="shared" si="13"/>
        <v>3.5</v>
      </c>
      <c r="AK25" s="4">
        <v>2</v>
      </c>
      <c r="AL25" s="5">
        <f t="shared" si="27"/>
        <v>7</v>
      </c>
      <c r="AM25" s="11">
        <v>84</v>
      </c>
      <c r="AN25" s="7" t="str">
        <f t="shared" si="14"/>
        <v>A</v>
      </c>
      <c r="AO25" s="8">
        <f t="shared" si="15"/>
        <v>4</v>
      </c>
      <c r="AP25" s="7">
        <v>3</v>
      </c>
      <c r="AQ25" s="7">
        <f t="shared" si="16"/>
        <v>12</v>
      </c>
      <c r="AR25" s="14">
        <v>82</v>
      </c>
      <c r="AS25" s="7" t="str">
        <f t="shared" si="28"/>
        <v>A</v>
      </c>
      <c r="AT25" s="8">
        <f t="shared" si="29"/>
        <v>4</v>
      </c>
      <c r="AU25" s="62">
        <v>4</v>
      </c>
      <c r="AV25" s="7">
        <f t="shared" si="30"/>
        <v>16</v>
      </c>
      <c r="AW25" s="61">
        <v>75</v>
      </c>
      <c r="AX25" s="7" t="str">
        <f t="shared" si="31"/>
        <v>B+</v>
      </c>
      <c r="AY25" s="8">
        <f t="shared" si="32"/>
        <v>3.5</v>
      </c>
      <c r="AZ25" s="64">
        <v>4</v>
      </c>
      <c r="BA25" s="62">
        <f t="shared" si="33"/>
        <v>14</v>
      </c>
      <c r="BB25" s="11">
        <v>84</v>
      </c>
      <c r="BC25" s="7" t="str">
        <f t="shared" si="34"/>
        <v>A</v>
      </c>
      <c r="BD25" s="8">
        <f t="shared" si="35"/>
        <v>4</v>
      </c>
      <c r="BE25" s="7">
        <v>5</v>
      </c>
      <c r="BF25" s="7">
        <f t="shared" si="36"/>
        <v>20</v>
      </c>
      <c r="BG25" s="7">
        <v>83</v>
      </c>
      <c r="BH25" s="7" t="str">
        <f t="shared" si="43"/>
        <v>A</v>
      </c>
      <c r="BI25" s="8">
        <f t="shared" si="37"/>
        <v>4</v>
      </c>
      <c r="BJ25" s="62">
        <v>2</v>
      </c>
      <c r="BK25" s="7">
        <f t="shared" si="38"/>
        <v>8</v>
      </c>
      <c r="BL25" s="10">
        <f t="shared" si="17"/>
        <v>72.5</v>
      </c>
      <c r="BM25" s="7">
        <f t="shared" si="18"/>
        <v>20</v>
      </c>
      <c r="BN25" s="55">
        <f t="shared" si="19"/>
        <v>3.625</v>
      </c>
      <c r="BO25" s="10">
        <f t="shared" si="44"/>
        <v>70</v>
      </c>
      <c r="BP25" s="9">
        <f t="shared" si="45"/>
        <v>18</v>
      </c>
      <c r="BQ25" s="10">
        <f t="shared" si="39"/>
        <v>3.8888888888888888</v>
      </c>
      <c r="BR25" s="11">
        <f t="shared" si="22"/>
        <v>142.5</v>
      </c>
      <c r="BS25" s="10">
        <f t="shared" si="23"/>
        <v>38</v>
      </c>
      <c r="BT25" s="10">
        <f t="shared" si="40"/>
        <v>3.75</v>
      </c>
      <c r="BU25" s="54" t="str">
        <f t="shared" si="41"/>
        <v>Cum Laude</v>
      </c>
      <c r="BV25" s="54" t="str">
        <f t="shared" si="42"/>
        <v>Excellent</v>
      </c>
      <c r="BW25" s="54" t="s">
        <v>112</v>
      </c>
    </row>
    <row r="26" spans="1:75" x14ac:dyDescent="0.25">
      <c r="A26" s="6">
        <v>24</v>
      </c>
      <c r="B26" s="69" t="s">
        <v>161</v>
      </c>
      <c r="C26" s="6">
        <v>132414027</v>
      </c>
      <c r="D26" s="6" t="s">
        <v>27</v>
      </c>
      <c r="E26" s="6" t="s">
        <v>75</v>
      </c>
      <c r="F26" s="58" t="s">
        <v>76</v>
      </c>
      <c r="G26" s="58" t="s">
        <v>120</v>
      </c>
      <c r="H26" s="68" t="s">
        <v>144</v>
      </c>
      <c r="I26" s="17">
        <v>79</v>
      </c>
      <c r="J26" s="18" t="str">
        <f t="shared" si="0"/>
        <v>B+</v>
      </c>
      <c r="K26" s="19">
        <f t="shared" si="1"/>
        <v>3.5</v>
      </c>
      <c r="L26" s="20">
        <v>2</v>
      </c>
      <c r="M26" s="21">
        <f t="shared" si="2"/>
        <v>7</v>
      </c>
      <c r="N26" s="22">
        <v>73</v>
      </c>
      <c r="O26" s="23" t="str">
        <f t="shared" si="3"/>
        <v>B</v>
      </c>
      <c r="P26" s="24">
        <f t="shared" si="4"/>
        <v>3</v>
      </c>
      <c r="Q26" s="25">
        <v>6</v>
      </c>
      <c r="R26" s="26">
        <f t="shared" si="24"/>
        <v>18</v>
      </c>
      <c r="S26" s="34">
        <v>75</v>
      </c>
      <c r="T26" s="35" t="str">
        <f t="shared" si="5"/>
        <v>B+</v>
      </c>
      <c r="U26" s="36">
        <f t="shared" si="25"/>
        <v>3.5</v>
      </c>
      <c r="V26" s="37">
        <f>3</f>
        <v>3</v>
      </c>
      <c r="W26" s="38">
        <f t="shared" si="26"/>
        <v>10.5</v>
      </c>
      <c r="X26" s="31">
        <v>74</v>
      </c>
      <c r="Y26" s="33" t="str">
        <f t="shared" si="6"/>
        <v>B</v>
      </c>
      <c r="Z26" s="32">
        <f t="shared" si="7"/>
        <v>3</v>
      </c>
      <c r="AA26" s="33">
        <v>4</v>
      </c>
      <c r="AB26" s="86">
        <f t="shared" si="8"/>
        <v>12</v>
      </c>
      <c r="AC26" s="49">
        <v>76</v>
      </c>
      <c r="AD26" s="87" t="str">
        <f t="shared" si="9"/>
        <v>B+</v>
      </c>
      <c r="AE26" s="27">
        <f t="shared" si="10"/>
        <v>3.5</v>
      </c>
      <c r="AF26" s="28">
        <v>3</v>
      </c>
      <c r="AG26" s="29">
        <f t="shared" si="11"/>
        <v>10.5</v>
      </c>
      <c r="AH26" s="30">
        <v>78</v>
      </c>
      <c r="AI26" s="2" t="str">
        <f t="shared" si="12"/>
        <v>B+</v>
      </c>
      <c r="AJ26" s="3">
        <f t="shared" si="13"/>
        <v>3.5</v>
      </c>
      <c r="AK26" s="4">
        <v>2</v>
      </c>
      <c r="AL26" s="5">
        <f t="shared" si="27"/>
        <v>7</v>
      </c>
      <c r="AM26" s="11">
        <v>83</v>
      </c>
      <c r="AN26" s="7" t="str">
        <f t="shared" si="14"/>
        <v>A</v>
      </c>
      <c r="AO26" s="8">
        <f t="shared" si="15"/>
        <v>4</v>
      </c>
      <c r="AP26" s="7">
        <v>3</v>
      </c>
      <c r="AQ26" s="7">
        <f t="shared" si="16"/>
        <v>12</v>
      </c>
      <c r="AR26" s="9">
        <v>79</v>
      </c>
      <c r="AS26" s="7" t="str">
        <f t="shared" si="28"/>
        <v>B+</v>
      </c>
      <c r="AT26" s="8">
        <f t="shared" si="29"/>
        <v>3.5</v>
      </c>
      <c r="AU26" s="62">
        <v>4</v>
      </c>
      <c r="AV26" s="7">
        <f t="shared" si="30"/>
        <v>14</v>
      </c>
      <c r="AW26" s="9">
        <v>76.2</v>
      </c>
      <c r="AX26" s="7" t="str">
        <f t="shared" si="31"/>
        <v>B+</v>
      </c>
      <c r="AY26" s="8">
        <f t="shared" si="32"/>
        <v>3.5</v>
      </c>
      <c r="AZ26" s="64">
        <v>4</v>
      </c>
      <c r="BA26" s="62">
        <f t="shared" si="33"/>
        <v>14</v>
      </c>
      <c r="BB26" s="11">
        <v>83</v>
      </c>
      <c r="BC26" s="7" t="str">
        <f t="shared" si="34"/>
        <v>A</v>
      </c>
      <c r="BD26" s="8">
        <f t="shared" si="35"/>
        <v>4</v>
      </c>
      <c r="BE26" s="7">
        <v>5</v>
      </c>
      <c r="BF26" s="7">
        <f t="shared" si="36"/>
        <v>20</v>
      </c>
      <c r="BG26" s="7">
        <v>81</v>
      </c>
      <c r="BH26" s="7" t="str">
        <f t="shared" si="43"/>
        <v>A</v>
      </c>
      <c r="BI26" s="8">
        <f t="shared" si="37"/>
        <v>4</v>
      </c>
      <c r="BJ26" s="62">
        <v>2</v>
      </c>
      <c r="BK26" s="7">
        <f t="shared" si="38"/>
        <v>8</v>
      </c>
      <c r="BL26" s="10">
        <f t="shared" si="17"/>
        <v>65</v>
      </c>
      <c r="BM26" s="7">
        <f t="shared" si="18"/>
        <v>20</v>
      </c>
      <c r="BN26" s="55">
        <f t="shared" si="19"/>
        <v>3.25</v>
      </c>
      <c r="BO26" s="10">
        <f t="shared" si="44"/>
        <v>68</v>
      </c>
      <c r="BP26" s="9">
        <f t="shared" si="45"/>
        <v>18</v>
      </c>
      <c r="BQ26" s="10">
        <f t="shared" si="39"/>
        <v>3.7777777777777777</v>
      </c>
      <c r="BR26" s="11">
        <f t="shared" si="22"/>
        <v>133</v>
      </c>
      <c r="BS26" s="10">
        <f t="shared" si="23"/>
        <v>38</v>
      </c>
      <c r="BT26" s="10">
        <f t="shared" si="40"/>
        <v>3.5</v>
      </c>
      <c r="BU26" s="54" t="str">
        <f t="shared" si="41"/>
        <v>Sangat Memuaskan</v>
      </c>
      <c r="BV26" s="54" t="str">
        <f t="shared" si="42"/>
        <v>Highly Satisfactory</v>
      </c>
      <c r="BW26" s="54" t="s">
        <v>189</v>
      </c>
    </row>
    <row r="27" spans="1:75" x14ac:dyDescent="0.25">
      <c r="A27" s="6">
        <v>25</v>
      </c>
      <c r="B27" s="69" t="s">
        <v>160</v>
      </c>
      <c r="C27" s="6">
        <v>132414028</v>
      </c>
      <c r="D27" s="6" t="s">
        <v>27</v>
      </c>
      <c r="E27" s="6" t="s">
        <v>77</v>
      </c>
      <c r="F27" s="58" t="s">
        <v>78</v>
      </c>
      <c r="G27" s="58" t="s">
        <v>120</v>
      </c>
      <c r="H27" s="68" t="s">
        <v>145</v>
      </c>
      <c r="I27" s="17">
        <v>79</v>
      </c>
      <c r="J27" s="18" t="str">
        <f t="shared" si="0"/>
        <v>B+</v>
      </c>
      <c r="K27" s="19">
        <f t="shared" si="1"/>
        <v>3.5</v>
      </c>
      <c r="L27" s="20">
        <v>2</v>
      </c>
      <c r="M27" s="21">
        <f t="shared" si="2"/>
        <v>7</v>
      </c>
      <c r="N27" s="22">
        <v>73</v>
      </c>
      <c r="O27" s="23" t="str">
        <f t="shared" si="3"/>
        <v>B</v>
      </c>
      <c r="P27" s="24">
        <f t="shared" si="4"/>
        <v>3</v>
      </c>
      <c r="Q27" s="25">
        <v>6</v>
      </c>
      <c r="R27" s="26">
        <f t="shared" si="24"/>
        <v>18</v>
      </c>
      <c r="S27" s="34">
        <v>75</v>
      </c>
      <c r="T27" s="35" t="str">
        <f t="shared" si="5"/>
        <v>B+</v>
      </c>
      <c r="U27" s="36">
        <f t="shared" si="25"/>
        <v>3.5</v>
      </c>
      <c r="V27" s="37">
        <f>3</f>
        <v>3</v>
      </c>
      <c r="W27" s="38">
        <f t="shared" si="26"/>
        <v>10.5</v>
      </c>
      <c r="X27" s="31">
        <v>74</v>
      </c>
      <c r="Y27" s="33" t="str">
        <f t="shared" si="6"/>
        <v>B</v>
      </c>
      <c r="Z27" s="32">
        <f t="shared" si="7"/>
        <v>3</v>
      </c>
      <c r="AA27" s="33">
        <v>4</v>
      </c>
      <c r="AB27" s="86">
        <f t="shared" si="8"/>
        <v>12</v>
      </c>
      <c r="AC27" s="49">
        <v>76</v>
      </c>
      <c r="AD27" s="87" t="str">
        <f t="shared" si="9"/>
        <v>B+</v>
      </c>
      <c r="AE27" s="27">
        <f t="shared" si="10"/>
        <v>3.5</v>
      </c>
      <c r="AF27" s="28">
        <v>3</v>
      </c>
      <c r="AG27" s="29">
        <f t="shared" si="11"/>
        <v>10.5</v>
      </c>
      <c r="AH27" s="30">
        <v>78</v>
      </c>
      <c r="AI27" s="2" t="str">
        <f t="shared" si="12"/>
        <v>B+</v>
      </c>
      <c r="AJ27" s="3">
        <f t="shared" si="13"/>
        <v>3.5</v>
      </c>
      <c r="AK27" s="4">
        <v>2</v>
      </c>
      <c r="AL27" s="5">
        <f t="shared" si="27"/>
        <v>7</v>
      </c>
      <c r="AM27" s="11">
        <v>82</v>
      </c>
      <c r="AN27" s="7" t="str">
        <f t="shared" si="14"/>
        <v>A</v>
      </c>
      <c r="AO27" s="8">
        <f t="shared" si="15"/>
        <v>4</v>
      </c>
      <c r="AP27" s="7">
        <v>3</v>
      </c>
      <c r="AQ27" s="7">
        <f t="shared" si="16"/>
        <v>12</v>
      </c>
      <c r="AR27" s="9">
        <v>79</v>
      </c>
      <c r="AS27" s="7" t="str">
        <f t="shared" si="28"/>
        <v>B+</v>
      </c>
      <c r="AT27" s="8">
        <f t="shared" si="29"/>
        <v>3.5</v>
      </c>
      <c r="AU27" s="62">
        <v>4</v>
      </c>
      <c r="AV27" s="7">
        <f t="shared" si="30"/>
        <v>14</v>
      </c>
      <c r="AW27" s="9">
        <v>75.400000000000006</v>
      </c>
      <c r="AX27" s="7" t="str">
        <f t="shared" si="31"/>
        <v>B+</v>
      </c>
      <c r="AY27" s="8">
        <f t="shared" si="32"/>
        <v>3.5</v>
      </c>
      <c r="AZ27" s="64">
        <v>4</v>
      </c>
      <c r="BA27" s="62">
        <f t="shared" si="33"/>
        <v>14</v>
      </c>
      <c r="BB27" s="11">
        <v>82</v>
      </c>
      <c r="BC27" s="7" t="str">
        <f t="shared" si="34"/>
        <v>A</v>
      </c>
      <c r="BD27" s="8">
        <f t="shared" si="35"/>
        <v>4</v>
      </c>
      <c r="BE27" s="7">
        <v>5</v>
      </c>
      <c r="BF27" s="7">
        <f t="shared" si="36"/>
        <v>20</v>
      </c>
      <c r="BG27" s="7">
        <v>80</v>
      </c>
      <c r="BH27" s="7" t="str">
        <f t="shared" si="43"/>
        <v>A</v>
      </c>
      <c r="BI27" s="8">
        <f t="shared" si="37"/>
        <v>4</v>
      </c>
      <c r="BJ27" s="62">
        <v>2</v>
      </c>
      <c r="BK27" s="7">
        <f t="shared" si="38"/>
        <v>8</v>
      </c>
      <c r="BL27" s="10">
        <f t="shared" si="17"/>
        <v>65</v>
      </c>
      <c r="BM27" s="7">
        <f t="shared" si="18"/>
        <v>20</v>
      </c>
      <c r="BN27" s="55">
        <f t="shared" si="19"/>
        <v>3.25</v>
      </c>
      <c r="BO27" s="10">
        <f t="shared" si="44"/>
        <v>68</v>
      </c>
      <c r="BP27" s="9">
        <f t="shared" si="45"/>
        <v>18</v>
      </c>
      <c r="BQ27" s="10">
        <f t="shared" si="39"/>
        <v>3.7777777777777777</v>
      </c>
      <c r="BR27" s="11">
        <f t="shared" si="22"/>
        <v>133</v>
      </c>
      <c r="BS27" s="10">
        <f t="shared" si="23"/>
        <v>38</v>
      </c>
      <c r="BT27" s="10">
        <f t="shared" si="40"/>
        <v>3.5</v>
      </c>
      <c r="BU27" s="54" t="str">
        <f t="shared" si="41"/>
        <v>Sangat Memuaskan</v>
      </c>
      <c r="BV27" s="54" t="str">
        <f t="shared" si="42"/>
        <v>Highly Satisfactory</v>
      </c>
      <c r="BW27" s="54" t="s">
        <v>113</v>
      </c>
    </row>
    <row r="28" spans="1:75" ht="30" x14ac:dyDescent="0.25">
      <c r="A28" s="6">
        <v>26</v>
      </c>
      <c r="B28" s="69" t="s">
        <v>159</v>
      </c>
      <c r="C28" s="6">
        <v>132414032</v>
      </c>
      <c r="D28" s="6" t="s">
        <v>27</v>
      </c>
      <c r="E28" s="6" t="s">
        <v>79</v>
      </c>
      <c r="F28" s="58" t="s">
        <v>80</v>
      </c>
      <c r="G28" s="58" t="s">
        <v>120</v>
      </c>
      <c r="H28" s="68" t="s">
        <v>146</v>
      </c>
      <c r="I28" s="17">
        <v>80</v>
      </c>
      <c r="J28" s="18" t="str">
        <f t="shared" si="0"/>
        <v>A</v>
      </c>
      <c r="K28" s="19">
        <f t="shared" si="1"/>
        <v>4</v>
      </c>
      <c r="L28" s="20">
        <v>2</v>
      </c>
      <c r="M28" s="21">
        <f t="shared" si="2"/>
        <v>8</v>
      </c>
      <c r="N28" s="22">
        <v>78</v>
      </c>
      <c r="O28" s="23" t="str">
        <f t="shared" si="3"/>
        <v>B+</v>
      </c>
      <c r="P28" s="24">
        <f t="shared" si="4"/>
        <v>3.5</v>
      </c>
      <c r="Q28" s="25">
        <v>6</v>
      </c>
      <c r="R28" s="26">
        <f t="shared" si="24"/>
        <v>21</v>
      </c>
      <c r="S28" s="34">
        <v>78</v>
      </c>
      <c r="T28" s="35" t="str">
        <f t="shared" si="5"/>
        <v>B+</v>
      </c>
      <c r="U28" s="36">
        <f t="shared" si="25"/>
        <v>3.5</v>
      </c>
      <c r="V28" s="37">
        <f>3</f>
        <v>3</v>
      </c>
      <c r="W28" s="38">
        <f t="shared" si="26"/>
        <v>10.5</v>
      </c>
      <c r="X28" s="31">
        <v>78</v>
      </c>
      <c r="Y28" s="33" t="str">
        <f t="shared" si="6"/>
        <v>B+</v>
      </c>
      <c r="Z28" s="32">
        <f t="shared" si="7"/>
        <v>3.5</v>
      </c>
      <c r="AA28" s="33">
        <v>4</v>
      </c>
      <c r="AB28" s="86">
        <f t="shared" si="8"/>
        <v>14</v>
      </c>
      <c r="AC28" s="49">
        <v>80</v>
      </c>
      <c r="AD28" s="87" t="str">
        <f t="shared" si="9"/>
        <v>A</v>
      </c>
      <c r="AE28" s="27">
        <f t="shared" si="10"/>
        <v>4</v>
      </c>
      <c r="AF28" s="28">
        <v>3</v>
      </c>
      <c r="AG28" s="29">
        <f t="shared" si="11"/>
        <v>12</v>
      </c>
      <c r="AH28" s="30">
        <v>80</v>
      </c>
      <c r="AI28" s="2" t="str">
        <f t="shared" si="12"/>
        <v>A</v>
      </c>
      <c r="AJ28" s="3">
        <f t="shared" si="13"/>
        <v>4</v>
      </c>
      <c r="AK28" s="4">
        <v>2</v>
      </c>
      <c r="AL28" s="5">
        <f t="shared" si="27"/>
        <v>8</v>
      </c>
      <c r="AM28" s="11">
        <v>85</v>
      </c>
      <c r="AN28" s="7" t="str">
        <f t="shared" si="14"/>
        <v>A</v>
      </c>
      <c r="AO28" s="8">
        <f t="shared" si="15"/>
        <v>4</v>
      </c>
      <c r="AP28" s="7">
        <v>3</v>
      </c>
      <c r="AQ28" s="7">
        <f t="shared" si="16"/>
        <v>12</v>
      </c>
      <c r="AR28" s="9">
        <v>83</v>
      </c>
      <c r="AS28" s="7" t="str">
        <f t="shared" si="28"/>
        <v>A</v>
      </c>
      <c r="AT28" s="8">
        <f t="shared" si="29"/>
        <v>4</v>
      </c>
      <c r="AU28" s="62">
        <v>4</v>
      </c>
      <c r="AV28" s="7">
        <f t="shared" si="30"/>
        <v>16</v>
      </c>
      <c r="AW28" s="63">
        <v>85</v>
      </c>
      <c r="AX28" s="7" t="str">
        <f t="shared" si="31"/>
        <v>A</v>
      </c>
      <c r="AY28" s="8">
        <f t="shared" si="32"/>
        <v>4</v>
      </c>
      <c r="AZ28" s="64">
        <v>4</v>
      </c>
      <c r="BA28" s="62">
        <f t="shared" si="33"/>
        <v>16</v>
      </c>
      <c r="BB28" s="11">
        <v>85</v>
      </c>
      <c r="BC28" s="7" t="str">
        <f t="shared" si="34"/>
        <v>A</v>
      </c>
      <c r="BD28" s="8">
        <f t="shared" si="35"/>
        <v>4</v>
      </c>
      <c r="BE28" s="7">
        <v>5</v>
      </c>
      <c r="BF28" s="7">
        <f t="shared" si="36"/>
        <v>20</v>
      </c>
      <c r="BG28" s="7">
        <v>84</v>
      </c>
      <c r="BH28" s="7" t="str">
        <f t="shared" si="43"/>
        <v>A</v>
      </c>
      <c r="BI28" s="8">
        <f t="shared" si="37"/>
        <v>4</v>
      </c>
      <c r="BJ28" s="62">
        <v>2</v>
      </c>
      <c r="BK28" s="7">
        <f t="shared" si="38"/>
        <v>8</v>
      </c>
      <c r="BL28" s="10">
        <f t="shared" si="17"/>
        <v>73.5</v>
      </c>
      <c r="BM28" s="7">
        <f t="shared" si="18"/>
        <v>20</v>
      </c>
      <c r="BN28" s="55">
        <f t="shared" si="19"/>
        <v>3.6749999999999998</v>
      </c>
      <c r="BO28" s="10">
        <f t="shared" si="44"/>
        <v>72</v>
      </c>
      <c r="BP28" s="9">
        <f t="shared" si="45"/>
        <v>18</v>
      </c>
      <c r="BQ28" s="10">
        <f t="shared" si="39"/>
        <v>4</v>
      </c>
      <c r="BR28" s="65">
        <f t="shared" si="22"/>
        <v>145.5</v>
      </c>
      <c r="BS28" s="10">
        <f t="shared" si="23"/>
        <v>38</v>
      </c>
      <c r="BT28" s="10">
        <f t="shared" si="40"/>
        <v>3.8289473684210527</v>
      </c>
      <c r="BU28" s="54" t="str">
        <f t="shared" si="41"/>
        <v>Cum Laude</v>
      </c>
      <c r="BV28" s="54" t="str">
        <f t="shared" si="42"/>
        <v>Excellent</v>
      </c>
      <c r="BW28" s="54" t="s">
        <v>191</v>
      </c>
    </row>
    <row r="29" spans="1:75" x14ac:dyDescent="0.25">
      <c r="A29" s="6">
        <v>27</v>
      </c>
      <c r="B29" s="69" t="s">
        <v>158</v>
      </c>
      <c r="C29" s="6">
        <v>132414033</v>
      </c>
      <c r="D29" s="6" t="s">
        <v>27</v>
      </c>
      <c r="E29" s="6" t="s">
        <v>81</v>
      </c>
      <c r="F29" s="58" t="s">
        <v>82</v>
      </c>
      <c r="G29" s="58" t="s">
        <v>120</v>
      </c>
      <c r="H29" s="68" t="s">
        <v>147</v>
      </c>
      <c r="I29" s="17">
        <v>75</v>
      </c>
      <c r="J29" s="18" t="str">
        <f t="shared" si="0"/>
        <v>B+</v>
      </c>
      <c r="K29" s="19">
        <f t="shared" si="1"/>
        <v>3.5</v>
      </c>
      <c r="L29" s="20">
        <v>2</v>
      </c>
      <c r="M29" s="21">
        <f t="shared" si="2"/>
        <v>7</v>
      </c>
      <c r="N29" s="22">
        <v>74</v>
      </c>
      <c r="O29" s="23" t="str">
        <f t="shared" si="3"/>
        <v>B</v>
      </c>
      <c r="P29" s="24">
        <f t="shared" si="4"/>
        <v>3</v>
      </c>
      <c r="Q29" s="25">
        <v>6</v>
      </c>
      <c r="R29" s="26">
        <f t="shared" si="24"/>
        <v>18</v>
      </c>
      <c r="S29" s="34">
        <v>74</v>
      </c>
      <c r="T29" s="35" t="str">
        <f t="shared" si="5"/>
        <v>B</v>
      </c>
      <c r="U29" s="36">
        <f t="shared" si="25"/>
        <v>3</v>
      </c>
      <c r="V29" s="37">
        <f>3</f>
        <v>3</v>
      </c>
      <c r="W29" s="38">
        <f t="shared" si="26"/>
        <v>9</v>
      </c>
      <c r="X29" s="31">
        <v>75</v>
      </c>
      <c r="Y29" s="33" t="str">
        <f t="shared" si="6"/>
        <v>B+</v>
      </c>
      <c r="Z29" s="32">
        <f t="shared" si="7"/>
        <v>3.5</v>
      </c>
      <c r="AA29" s="33">
        <v>4</v>
      </c>
      <c r="AB29" s="86">
        <f t="shared" si="8"/>
        <v>14</v>
      </c>
      <c r="AC29" s="49">
        <v>78</v>
      </c>
      <c r="AD29" s="87" t="str">
        <f t="shared" si="9"/>
        <v>B+</v>
      </c>
      <c r="AE29" s="27">
        <f t="shared" si="10"/>
        <v>3.5</v>
      </c>
      <c r="AF29" s="28">
        <v>3</v>
      </c>
      <c r="AG29" s="29">
        <f t="shared" si="11"/>
        <v>10.5</v>
      </c>
      <c r="AH29" s="30">
        <v>77</v>
      </c>
      <c r="AI29" s="2" t="str">
        <f t="shared" si="12"/>
        <v>B+</v>
      </c>
      <c r="AJ29" s="3">
        <f t="shared" si="13"/>
        <v>3.5</v>
      </c>
      <c r="AK29" s="4">
        <v>2</v>
      </c>
      <c r="AL29" s="5">
        <f t="shared" si="27"/>
        <v>7</v>
      </c>
      <c r="AM29" s="11">
        <v>82</v>
      </c>
      <c r="AN29" s="7" t="str">
        <f t="shared" si="14"/>
        <v>A</v>
      </c>
      <c r="AO29" s="8">
        <f t="shared" si="15"/>
        <v>4</v>
      </c>
      <c r="AP29" s="7">
        <v>3</v>
      </c>
      <c r="AQ29" s="7">
        <f t="shared" si="16"/>
        <v>12</v>
      </c>
      <c r="AR29" s="9">
        <v>79</v>
      </c>
      <c r="AS29" s="7" t="str">
        <f t="shared" si="28"/>
        <v>B+</v>
      </c>
      <c r="AT29" s="8">
        <f t="shared" si="29"/>
        <v>3.5</v>
      </c>
      <c r="AU29" s="62">
        <v>4</v>
      </c>
      <c r="AV29" s="7">
        <f t="shared" si="30"/>
        <v>14</v>
      </c>
      <c r="AW29" s="63">
        <v>80</v>
      </c>
      <c r="AX29" s="7" t="str">
        <f t="shared" si="31"/>
        <v>A</v>
      </c>
      <c r="AY29" s="8">
        <f t="shared" si="32"/>
        <v>4</v>
      </c>
      <c r="AZ29" s="64">
        <v>4</v>
      </c>
      <c r="BA29" s="62">
        <f t="shared" si="33"/>
        <v>16</v>
      </c>
      <c r="BB29" s="11">
        <v>82</v>
      </c>
      <c r="BC29" s="7" t="str">
        <f t="shared" si="34"/>
        <v>A</v>
      </c>
      <c r="BD29" s="8">
        <f t="shared" si="35"/>
        <v>4</v>
      </c>
      <c r="BE29" s="7">
        <v>5</v>
      </c>
      <c r="BF29" s="7">
        <f t="shared" si="36"/>
        <v>20</v>
      </c>
      <c r="BG29" s="7">
        <v>81</v>
      </c>
      <c r="BH29" s="7" t="str">
        <f t="shared" si="43"/>
        <v>A</v>
      </c>
      <c r="BI29" s="8">
        <f t="shared" si="37"/>
        <v>4</v>
      </c>
      <c r="BJ29" s="62">
        <v>2</v>
      </c>
      <c r="BK29" s="7">
        <f t="shared" si="38"/>
        <v>8</v>
      </c>
      <c r="BL29" s="10">
        <f t="shared" si="17"/>
        <v>65.5</v>
      </c>
      <c r="BM29" s="7">
        <f t="shared" si="18"/>
        <v>20</v>
      </c>
      <c r="BN29" s="55">
        <f t="shared" si="19"/>
        <v>3.2749999999999999</v>
      </c>
      <c r="BO29" s="10">
        <f t="shared" si="44"/>
        <v>70</v>
      </c>
      <c r="BP29" s="9">
        <f t="shared" si="45"/>
        <v>18</v>
      </c>
      <c r="BQ29" s="10">
        <f t="shared" si="39"/>
        <v>3.8888888888888888</v>
      </c>
      <c r="BR29" s="11">
        <f t="shared" si="22"/>
        <v>135.5</v>
      </c>
      <c r="BS29" s="10">
        <f t="shared" si="23"/>
        <v>38</v>
      </c>
      <c r="BT29" s="10">
        <f t="shared" si="40"/>
        <v>3.5657894736842106</v>
      </c>
      <c r="BU29" s="54" t="str">
        <f t="shared" si="41"/>
        <v>Cum Laude</v>
      </c>
      <c r="BV29" s="54" t="str">
        <f t="shared" si="42"/>
        <v>Excellent</v>
      </c>
      <c r="BW29" s="54" t="s">
        <v>114</v>
      </c>
    </row>
    <row r="30" spans="1:75" x14ac:dyDescent="0.25">
      <c r="A30" s="6">
        <v>28</v>
      </c>
      <c r="B30" s="69" t="s">
        <v>157</v>
      </c>
      <c r="C30" s="6">
        <v>132414035</v>
      </c>
      <c r="D30" s="6" t="s">
        <v>27</v>
      </c>
      <c r="E30" s="6" t="s">
        <v>83</v>
      </c>
      <c r="F30" s="58" t="s">
        <v>84</v>
      </c>
      <c r="G30" s="58" t="s">
        <v>120</v>
      </c>
      <c r="H30" s="68" t="s">
        <v>148</v>
      </c>
      <c r="I30" s="17">
        <v>74</v>
      </c>
      <c r="J30" s="18" t="str">
        <f t="shared" si="0"/>
        <v>B</v>
      </c>
      <c r="K30" s="19">
        <f t="shared" si="1"/>
        <v>3</v>
      </c>
      <c r="L30" s="20">
        <v>2</v>
      </c>
      <c r="M30" s="21">
        <f t="shared" si="2"/>
        <v>6</v>
      </c>
      <c r="N30" s="22">
        <v>73</v>
      </c>
      <c r="O30" s="23" t="str">
        <f t="shared" si="3"/>
        <v>B</v>
      </c>
      <c r="P30" s="24">
        <f t="shared" si="4"/>
        <v>3</v>
      </c>
      <c r="Q30" s="25">
        <v>6</v>
      </c>
      <c r="R30" s="26">
        <f t="shared" si="24"/>
        <v>18</v>
      </c>
      <c r="S30" s="34">
        <v>74</v>
      </c>
      <c r="T30" s="35" t="str">
        <f t="shared" si="5"/>
        <v>B</v>
      </c>
      <c r="U30" s="36">
        <f t="shared" si="25"/>
        <v>3</v>
      </c>
      <c r="V30" s="37">
        <f>3</f>
        <v>3</v>
      </c>
      <c r="W30" s="38">
        <f t="shared" si="26"/>
        <v>9</v>
      </c>
      <c r="X30" s="31">
        <v>75</v>
      </c>
      <c r="Y30" s="33" t="str">
        <f t="shared" si="6"/>
        <v>B+</v>
      </c>
      <c r="Z30" s="32">
        <f t="shared" si="7"/>
        <v>3.5</v>
      </c>
      <c r="AA30" s="33">
        <v>4</v>
      </c>
      <c r="AB30" s="86">
        <f t="shared" si="8"/>
        <v>14</v>
      </c>
      <c r="AC30" s="49">
        <v>77</v>
      </c>
      <c r="AD30" s="87" t="str">
        <f t="shared" si="9"/>
        <v>B+</v>
      </c>
      <c r="AE30" s="27">
        <f t="shared" si="10"/>
        <v>3.5</v>
      </c>
      <c r="AF30" s="28">
        <v>3</v>
      </c>
      <c r="AG30" s="29">
        <f t="shared" si="11"/>
        <v>10.5</v>
      </c>
      <c r="AH30" s="30">
        <v>79</v>
      </c>
      <c r="AI30" s="2" t="str">
        <f t="shared" si="12"/>
        <v>B+</v>
      </c>
      <c r="AJ30" s="3">
        <f t="shared" si="13"/>
        <v>3.5</v>
      </c>
      <c r="AK30" s="4">
        <v>2</v>
      </c>
      <c r="AL30" s="5">
        <f t="shared" si="27"/>
        <v>7</v>
      </c>
      <c r="AM30" s="11">
        <v>81</v>
      </c>
      <c r="AN30" s="7" t="str">
        <f t="shared" si="14"/>
        <v>A</v>
      </c>
      <c r="AO30" s="8">
        <f t="shared" si="15"/>
        <v>4</v>
      </c>
      <c r="AP30" s="7">
        <v>3</v>
      </c>
      <c r="AQ30" s="7">
        <f t="shared" si="16"/>
        <v>12</v>
      </c>
      <c r="AR30" s="9">
        <v>78</v>
      </c>
      <c r="AS30" s="7" t="str">
        <f t="shared" si="28"/>
        <v>B+</v>
      </c>
      <c r="AT30" s="8">
        <f t="shared" si="29"/>
        <v>3.5</v>
      </c>
      <c r="AU30" s="62">
        <v>4</v>
      </c>
      <c r="AV30" s="7">
        <f t="shared" si="30"/>
        <v>14</v>
      </c>
      <c r="AW30" s="63">
        <v>80</v>
      </c>
      <c r="AX30" s="7" t="str">
        <f t="shared" si="31"/>
        <v>A</v>
      </c>
      <c r="AY30" s="8">
        <f t="shared" si="32"/>
        <v>4</v>
      </c>
      <c r="AZ30" s="64">
        <v>4</v>
      </c>
      <c r="BA30" s="62">
        <f t="shared" si="33"/>
        <v>16</v>
      </c>
      <c r="BB30" s="11">
        <v>81</v>
      </c>
      <c r="BC30" s="7" t="str">
        <f t="shared" si="34"/>
        <v>A</v>
      </c>
      <c r="BD30" s="8">
        <f t="shared" si="35"/>
        <v>4</v>
      </c>
      <c r="BE30" s="7">
        <v>5</v>
      </c>
      <c r="BF30" s="7">
        <f t="shared" si="36"/>
        <v>20</v>
      </c>
      <c r="BG30" s="66">
        <v>76</v>
      </c>
      <c r="BH30" s="7" t="str">
        <f t="shared" si="43"/>
        <v>B+</v>
      </c>
      <c r="BI30" s="8">
        <f t="shared" si="37"/>
        <v>3.5</v>
      </c>
      <c r="BJ30" s="62">
        <v>2</v>
      </c>
      <c r="BK30" s="7">
        <f t="shared" si="38"/>
        <v>7</v>
      </c>
      <c r="BL30" s="10">
        <f t="shared" si="17"/>
        <v>64.5</v>
      </c>
      <c r="BM30" s="7">
        <f t="shared" si="18"/>
        <v>20</v>
      </c>
      <c r="BN30" s="55">
        <f t="shared" si="19"/>
        <v>3.2250000000000001</v>
      </c>
      <c r="BO30" s="10">
        <f t="shared" si="44"/>
        <v>69</v>
      </c>
      <c r="BP30" s="9">
        <f t="shared" si="45"/>
        <v>18</v>
      </c>
      <c r="BQ30" s="10">
        <f t="shared" si="39"/>
        <v>3.8333333333333335</v>
      </c>
      <c r="BR30" s="11">
        <f t="shared" si="22"/>
        <v>133.5</v>
      </c>
      <c r="BS30" s="10">
        <f t="shared" si="23"/>
        <v>38</v>
      </c>
      <c r="BT30" s="10">
        <f t="shared" si="40"/>
        <v>3.513157894736842</v>
      </c>
      <c r="BU30" s="54" t="str">
        <f t="shared" si="41"/>
        <v>Cum Laude</v>
      </c>
      <c r="BV30" s="54" t="str">
        <f t="shared" si="42"/>
        <v>Excellent</v>
      </c>
      <c r="BW30" s="54" t="s">
        <v>115</v>
      </c>
    </row>
    <row r="31" spans="1:75" ht="30" x14ac:dyDescent="0.25">
      <c r="A31" s="6">
        <v>29</v>
      </c>
      <c r="B31" s="69" t="s">
        <v>156</v>
      </c>
      <c r="C31" s="6">
        <v>132414037</v>
      </c>
      <c r="D31" s="6" t="s">
        <v>27</v>
      </c>
      <c r="E31" s="6" t="s">
        <v>85</v>
      </c>
      <c r="F31" s="58" t="s">
        <v>86</v>
      </c>
      <c r="G31" s="58" t="s">
        <v>120</v>
      </c>
      <c r="H31" s="68" t="s">
        <v>149</v>
      </c>
      <c r="I31" s="17">
        <v>78</v>
      </c>
      <c r="J31" s="18" t="str">
        <f t="shared" si="0"/>
        <v>B+</v>
      </c>
      <c r="K31" s="19">
        <f t="shared" si="1"/>
        <v>3.5</v>
      </c>
      <c r="L31" s="20">
        <v>2</v>
      </c>
      <c r="M31" s="21">
        <f t="shared" si="2"/>
        <v>7</v>
      </c>
      <c r="N31" s="22">
        <v>74</v>
      </c>
      <c r="O31" s="23" t="str">
        <f t="shared" si="3"/>
        <v>B</v>
      </c>
      <c r="P31" s="24">
        <f t="shared" si="4"/>
        <v>3</v>
      </c>
      <c r="Q31" s="25">
        <v>6</v>
      </c>
      <c r="R31" s="26">
        <f t="shared" si="24"/>
        <v>18</v>
      </c>
      <c r="S31" s="34">
        <v>75</v>
      </c>
      <c r="T31" s="35" t="str">
        <f t="shared" si="5"/>
        <v>B+</v>
      </c>
      <c r="U31" s="36">
        <f t="shared" si="25"/>
        <v>3.5</v>
      </c>
      <c r="V31" s="37">
        <f>3</f>
        <v>3</v>
      </c>
      <c r="W31" s="38">
        <f t="shared" si="26"/>
        <v>10.5</v>
      </c>
      <c r="X31" s="31">
        <v>77</v>
      </c>
      <c r="Y31" s="33" t="str">
        <f t="shared" si="6"/>
        <v>B+</v>
      </c>
      <c r="Z31" s="32">
        <f t="shared" si="7"/>
        <v>3.5</v>
      </c>
      <c r="AA31" s="33">
        <v>4</v>
      </c>
      <c r="AB31" s="86">
        <f t="shared" si="8"/>
        <v>14</v>
      </c>
      <c r="AC31" s="49">
        <v>79</v>
      </c>
      <c r="AD31" s="87" t="str">
        <f t="shared" si="9"/>
        <v>B+</v>
      </c>
      <c r="AE31" s="27">
        <f t="shared" si="10"/>
        <v>3.5</v>
      </c>
      <c r="AF31" s="28">
        <v>3</v>
      </c>
      <c r="AG31" s="29">
        <f t="shared" si="11"/>
        <v>10.5</v>
      </c>
      <c r="AH31" s="30">
        <v>79</v>
      </c>
      <c r="AI31" s="2" t="str">
        <f t="shared" si="12"/>
        <v>B+</v>
      </c>
      <c r="AJ31" s="3">
        <f t="shared" si="13"/>
        <v>3.5</v>
      </c>
      <c r="AK31" s="4">
        <v>2</v>
      </c>
      <c r="AL31" s="5">
        <f t="shared" si="27"/>
        <v>7</v>
      </c>
      <c r="AM31" s="11">
        <v>82</v>
      </c>
      <c r="AN31" s="7" t="str">
        <f t="shared" si="14"/>
        <v>A</v>
      </c>
      <c r="AO31" s="8">
        <f t="shared" si="15"/>
        <v>4</v>
      </c>
      <c r="AP31" s="7">
        <v>3</v>
      </c>
      <c r="AQ31" s="7">
        <f t="shared" si="16"/>
        <v>12</v>
      </c>
      <c r="AR31" s="9">
        <v>80</v>
      </c>
      <c r="AS31" s="7" t="str">
        <f t="shared" si="28"/>
        <v>A</v>
      </c>
      <c r="AT31" s="8">
        <f t="shared" si="29"/>
        <v>4</v>
      </c>
      <c r="AU31" s="62">
        <v>4</v>
      </c>
      <c r="AV31" s="7">
        <f t="shared" si="30"/>
        <v>16</v>
      </c>
      <c r="AW31" s="9">
        <v>83.6</v>
      </c>
      <c r="AX31" s="7" t="str">
        <f t="shared" si="31"/>
        <v>A</v>
      </c>
      <c r="AY31" s="8">
        <f t="shared" si="32"/>
        <v>4</v>
      </c>
      <c r="AZ31" s="64">
        <v>4</v>
      </c>
      <c r="BA31" s="62">
        <f t="shared" si="33"/>
        <v>16</v>
      </c>
      <c r="BB31" s="11">
        <v>82</v>
      </c>
      <c r="BC31" s="7" t="str">
        <f t="shared" si="34"/>
        <v>A</v>
      </c>
      <c r="BD31" s="8">
        <f t="shared" si="35"/>
        <v>4</v>
      </c>
      <c r="BE31" s="7">
        <v>5</v>
      </c>
      <c r="BF31" s="7">
        <f t="shared" si="36"/>
        <v>20</v>
      </c>
      <c r="BG31" s="7">
        <v>82</v>
      </c>
      <c r="BH31" s="7" t="str">
        <f t="shared" si="43"/>
        <v>A</v>
      </c>
      <c r="BI31" s="8">
        <f t="shared" si="37"/>
        <v>4</v>
      </c>
      <c r="BJ31" s="62">
        <v>2</v>
      </c>
      <c r="BK31" s="7">
        <f t="shared" si="38"/>
        <v>8</v>
      </c>
      <c r="BL31" s="10">
        <f t="shared" si="17"/>
        <v>67</v>
      </c>
      <c r="BM31" s="7">
        <f t="shared" si="18"/>
        <v>20</v>
      </c>
      <c r="BN31" s="55">
        <f t="shared" si="19"/>
        <v>3.35</v>
      </c>
      <c r="BO31" s="10">
        <f t="shared" si="44"/>
        <v>72</v>
      </c>
      <c r="BP31" s="9">
        <f t="shared" si="45"/>
        <v>18</v>
      </c>
      <c r="BQ31" s="10">
        <f t="shared" si="39"/>
        <v>4</v>
      </c>
      <c r="BR31" s="11">
        <f t="shared" si="22"/>
        <v>139</v>
      </c>
      <c r="BS31" s="10">
        <f t="shared" si="23"/>
        <v>38</v>
      </c>
      <c r="BT31" s="10">
        <f t="shared" si="40"/>
        <v>3.6578947368421053</v>
      </c>
      <c r="BU31" s="54" t="str">
        <f t="shared" si="41"/>
        <v>Cum Laude</v>
      </c>
      <c r="BV31" s="54" t="str">
        <f t="shared" si="42"/>
        <v>Excellent</v>
      </c>
      <c r="BW31" s="54" t="s">
        <v>116</v>
      </c>
    </row>
    <row r="32" spans="1:75" x14ac:dyDescent="0.25">
      <c r="A32" s="6">
        <v>30</v>
      </c>
      <c r="B32" s="69" t="s">
        <v>155</v>
      </c>
      <c r="C32" s="6">
        <v>132414038</v>
      </c>
      <c r="D32" s="6" t="s">
        <v>27</v>
      </c>
      <c r="E32" s="6" t="s">
        <v>58</v>
      </c>
      <c r="F32" s="58" t="s">
        <v>87</v>
      </c>
      <c r="G32" s="58" t="s">
        <v>120</v>
      </c>
      <c r="H32" s="68" t="s">
        <v>150</v>
      </c>
      <c r="I32" s="17">
        <v>80</v>
      </c>
      <c r="J32" s="18" t="str">
        <f t="shared" si="0"/>
        <v>A</v>
      </c>
      <c r="K32" s="19">
        <f t="shared" si="1"/>
        <v>4</v>
      </c>
      <c r="L32" s="20">
        <v>2</v>
      </c>
      <c r="M32" s="21">
        <f t="shared" si="2"/>
        <v>8</v>
      </c>
      <c r="N32" s="22">
        <v>74</v>
      </c>
      <c r="O32" s="23" t="str">
        <f t="shared" si="3"/>
        <v>B</v>
      </c>
      <c r="P32" s="24">
        <f t="shared" si="4"/>
        <v>3</v>
      </c>
      <c r="Q32" s="25">
        <v>6</v>
      </c>
      <c r="R32" s="26">
        <f t="shared" si="24"/>
        <v>18</v>
      </c>
      <c r="S32" s="34">
        <v>75</v>
      </c>
      <c r="T32" s="35" t="str">
        <f t="shared" si="5"/>
        <v>B+</v>
      </c>
      <c r="U32" s="36">
        <f t="shared" si="25"/>
        <v>3.5</v>
      </c>
      <c r="V32" s="37">
        <f>3</f>
        <v>3</v>
      </c>
      <c r="W32" s="38">
        <f t="shared" si="26"/>
        <v>10.5</v>
      </c>
      <c r="X32" s="31">
        <v>74</v>
      </c>
      <c r="Y32" s="33" t="str">
        <f t="shared" si="6"/>
        <v>B</v>
      </c>
      <c r="Z32" s="32">
        <f t="shared" si="7"/>
        <v>3</v>
      </c>
      <c r="AA32" s="33">
        <v>4</v>
      </c>
      <c r="AB32" s="86">
        <f t="shared" si="8"/>
        <v>12</v>
      </c>
      <c r="AC32" s="49">
        <v>76</v>
      </c>
      <c r="AD32" s="87" t="str">
        <f t="shared" si="9"/>
        <v>B+</v>
      </c>
      <c r="AE32" s="27">
        <f t="shared" si="10"/>
        <v>3.5</v>
      </c>
      <c r="AF32" s="28">
        <v>3</v>
      </c>
      <c r="AG32" s="29">
        <f t="shared" si="11"/>
        <v>10.5</v>
      </c>
      <c r="AH32" s="30">
        <v>78</v>
      </c>
      <c r="AI32" s="2" t="str">
        <f t="shared" si="12"/>
        <v>B+</v>
      </c>
      <c r="AJ32" s="3">
        <f t="shared" si="13"/>
        <v>3.5</v>
      </c>
      <c r="AK32" s="4">
        <v>2</v>
      </c>
      <c r="AL32" s="5">
        <f t="shared" si="27"/>
        <v>7</v>
      </c>
      <c r="AM32" s="11">
        <v>83</v>
      </c>
      <c r="AN32" s="7" t="str">
        <f t="shared" si="14"/>
        <v>A</v>
      </c>
      <c r="AO32" s="8">
        <f t="shared" si="15"/>
        <v>4</v>
      </c>
      <c r="AP32" s="7">
        <v>3</v>
      </c>
      <c r="AQ32" s="7">
        <f t="shared" si="16"/>
        <v>12</v>
      </c>
      <c r="AR32" s="9">
        <v>79</v>
      </c>
      <c r="AS32" s="7" t="str">
        <f t="shared" si="28"/>
        <v>B+</v>
      </c>
      <c r="AT32" s="8">
        <f t="shared" si="29"/>
        <v>3.5</v>
      </c>
      <c r="AU32" s="62">
        <v>4</v>
      </c>
      <c r="AV32" s="7">
        <f t="shared" si="30"/>
        <v>14</v>
      </c>
      <c r="AW32" s="63">
        <v>82.1</v>
      </c>
      <c r="AX32" s="7" t="str">
        <f t="shared" si="31"/>
        <v>A</v>
      </c>
      <c r="AY32" s="8">
        <f t="shared" si="32"/>
        <v>4</v>
      </c>
      <c r="AZ32" s="64">
        <v>4</v>
      </c>
      <c r="BA32" s="62">
        <f t="shared" si="33"/>
        <v>16</v>
      </c>
      <c r="BB32" s="11">
        <v>83</v>
      </c>
      <c r="BC32" s="7" t="str">
        <f t="shared" si="34"/>
        <v>A</v>
      </c>
      <c r="BD32" s="8">
        <f t="shared" si="35"/>
        <v>4</v>
      </c>
      <c r="BE32" s="7">
        <v>5</v>
      </c>
      <c r="BF32" s="7">
        <f t="shared" si="36"/>
        <v>20</v>
      </c>
      <c r="BG32" s="7">
        <v>81</v>
      </c>
      <c r="BH32" s="7" t="str">
        <f t="shared" si="43"/>
        <v>A</v>
      </c>
      <c r="BI32" s="8">
        <f t="shared" si="37"/>
        <v>4</v>
      </c>
      <c r="BJ32" s="62">
        <v>2</v>
      </c>
      <c r="BK32" s="7">
        <f t="shared" si="38"/>
        <v>8</v>
      </c>
      <c r="BL32" s="10">
        <f t="shared" si="17"/>
        <v>66</v>
      </c>
      <c r="BM32" s="7">
        <f t="shared" si="18"/>
        <v>20</v>
      </c>
      <c r="BN32" s="55">
        <f t="shared" si="19"/>
        <v>3.3</v>
      </c>
      <c r="BO32" s="10">
        <f t="shared" si="44"/>
        <v>70</v>
      </c>
      <c r="BP32" s="9">
        <f t="shared" si="45"/>
        <v>18</v>
      </c>
      <c r="BQ32" s="10">
        <f t="shared" si="39"/>
        <v>3.8888888888888888</v>
      </c>
      <c r="BR32" s="11">
        <f t="shared" si="22"/>
        <v>136</v>
      </c>
      <c r="BS32" s="10">
        <f t="shared" si="23"/>
        <v>38</v>
      </c>
      <c r="BT32" s="10">
        <f t="shared" si="40"/>
        <v>3.5789473684210527</v>
      </c>
      <c r="BU32" s="54" t="str">
        <f t="shared" si="41"/>
        <v>Cum Laude</v>
      </c>
      <c r="BV32" s="54" t="str">
        <f t="shared" si="42"/>
        <v>Excellent</v>
      </c>
      <c r="BW32" s="54" t="s">
        <v>117</v>
      </c>
    </row>
    <row r="33" spans="1:75" x14ac:dyDescent="0.25">
      <c r="A33" s="6">
        <v>31</v>
      </c>
      <c r="B33" s="71" t="s">
        <v>154</v>
      </c>
      <c r="C33" s="16">
        <v>132414040</v>
      </c>
      <c r="D33" s="6" t="s">
        <v>27</v>
      </c>
      <c r="E33" s="6" t="s">
        <v>60</v>
      </c>
      <c r="F33" s="58" t="s">
        <v>88</v>
      </c>
      <c r="G33" s="58" t="s">
        <v>120</v>
      </c>
      <c r="H33" s="68" t="s">
        <v>151</v>
      </c>
      <c r="I33" s="17">
        <v>74</v>
      </c>
      <c r="J33" s="18" t="str">
        <f t="shared" si="0"/>
        <v>B</v>
      </c>
      <c r="K33" s="19">
        <f t="shared" si="1"/>
        <v>3</v>
      </c>
      <c r="L33" s="20">
        <v>2</v>
      </c>
      <c r="M33" s="21">
        <f t="shared" si="2"/>
        <v>6</v>
      </c>
      <c r="N33" s="22">
        <v>75</v>
      </c>
      <c r="O33" s="23" t="str">
        <f t="shared" si="3"/>
        <v>B+</v>
      </c>
      <c r="P33" s="24">
        <f t="shared" si="4"/>
        <v>3.5</v>
      </c>
      <c r="Q33" s="25">
        <v>6</v>
      </c>
      <c r="R33" s="26">
        <f t="shared" si="24"/>
        <v>21</v>
      </c>
      <c r="S33" s="34">
        <v>75</v>
      </c>
      <c r="T33" s="35" t="str">
        <f t="shared" si="5"/>
        <v>B+</v>
      </c>
      <c r="U33" s="36">
        <f t="shared" si="25"/>
        <v>3.5</v>
      </c>
      <c r="V33" s="37">
        <f>3</f>
        <v>3</v>
      </c>
      <c r="W33" s="38">
        <f t="shared" si="26"/>
        <v>10.5</v>
      </c>
      <c r="X33" s="31">
        <v>73</v>
      </c>
      <c r="Y33" s="33" t="str">
        <f t="shared" si="6"/>
        <v>B</v>
      </c>
      <c r="Z33" s="32">
        <f t="shared" si="7"/>
        <v>3</v>
      </c>
      <c r="AA33" s="33">
        <v>4</v>
      </c>
      <c r="AB33" s="86">
        <f t="shared" si="8"/>
        <v>12</v>
      </c>
      <c r="AC33" s="49">
        <v>80</v>
      </c>
      <c r="AD33" s="87" t="str">
        <f t="shared" si="9"/>
        <v>A</v>
      </c>
      <c r="AE33" s="27">
        <f t="shared" si="10"/>
        <v>4</v>
      </c>
      <c r="AF33" s="28">
        <v>3</v>
      </c>
      <c r="AG33" s="29">
        <f t="shared" si="11"/>
        <v>12</v>
      </c>
      <c r="AH33" s="30">
        <v>80</v>
      </c>
      <c r="AI33" s="2" t="str">
        <f t="shared" si="12"/>
        <v>A</v>
      </c>
      <c r="AJ33" s="3">
        <f t="shared" si="13"/>
        <v>4</v>
      </c>
      <c r="AK33" s="4">
        <v>2</v>
      </c>
      <c r="AL33" s="5">
        <f t="shared" si="27"/>
        <v>8</v>
      </c>
      <c r="AM33" s="11">
        <v>84</v>
      </c>
      <c r="AN33" s="7" t="str">
        <f t="shared" si="14"/>
        <v>A</v>
      </c>
      <c r="AO33" s="8">
        <f t="shared" si="15"/>
        <v>4</v>
      </c>
      <c r="AP33" s="7">
        <v>3</v>
      </c>
      <c r="AQ33" s="7">
        <f t="shared" si="16"/>
        <v>12</v>
      </c>
      <c r="AR33" s="9">
        <v>78</v>
      </c>
      <c r="AS33" s="7" t="str">
        <f t="shared" si="28"/>
        <v>B+</v>
      </c>
      <c r="AT33" s="8">
        <f t="shared" si="29"/>
        <v>3.5</v>
      </c>
      <c r="AU33" s="62">
        <v>4</v>
      </c>
      <c r="AV33" s="7">
        <f t="shared" si="30"/>
        <v>14</v>
      </c>
      <c r="AW33" s="67">
        <v>75</v>
      </c>
      <c r="AX33" s="7" t="str">
        <f t="shared" si="31"/>
        <v>B+</v>
      </c>
      <c r="AY33" s="8">
        <f t="shared" si="32"/>
        <v>3.5</v>
      </c>
      <c r="AZ33" s="64">
        <v>4</v>
      </c>
      <c r="BA33" s="62">
        <f t="shared" si="33"/>
        <v>14</v>
      </c>
      <c r="BB33" s="11">
        <v>84</v>
      </c>
      <c r="BC33" s="7" t="str">
        <f t="shared" si="34"/>
        <v>A</v>
      </c>
      <c r="BD33" s="8">
        <f t="shared" si="35"/>
        <v>4</v>
      </c>
      <c r="BE33" s="7">
        <v>5</v>
      </c>
      <c r="BF33" s="7">
        <f t="shared" si="36"/>
        <v>20</v>
      </c>
      <c r="BG33" s="7">
        <v>82</v>
      </c>
      <c r="BH33" s="7" t="str">
        <f t="shared" si="43"/>
        <v>A</v>
      </c>
      <c r="BI33" s="8">
        <f t="shared" si="37"/>
        <v>4</v>
      </c>
      <c r="BJ33" s="62">
        <v>2</v>
      </c>
      <c r="BK33" s="7">
        <f t="shared" si="38"/>
        <v>8</v>
      </c>
      <c r="BL33" s="10">
        <f t="shared" si="17"/>
        <v>69.5</v>
      </c>
      <c r="BM33" s="7">
        <f t="shared" si="18"/>
        <v>20</v>
      </c>
      <c r="BN33" s="55">
        <f t="shared" si="19"/>
        <v>3.4750000000000001</v>
      </c>
      <c r="BO33" s="10">
        <f t="shared" si="44"/>
        <v>68</v>
      </c>
      <c r="BP33" s="9">
        <f t="shared" si="45"/>
        <v>18</v>
      </c>
      <c r="BQ33" s="10">
        <f t="shared" si="39"/>
        <v>3.7777777777777777</v>
      </c>
      <c r="BR33" s="11">
        <f t="shared" si="22"/>
        <v>137.5</v>
      </c>
      <c r="BS33" s="10">
        <f t="shared" si="23"/>
        <v>38</v>
      </c>
      <c r="BT33" s="10">
        <f t="shared" si="40"/>
        <v>3.6184210526315788</v>
      </c>
      <c r="BU33" s="54" t="str">
        <f t="shared" si="41"/>
        <v>Cum Laude</v>
      </c>
      <c r="BV33" s="54" t="str">
        <f t="shared" si="42"/>
        <v>Excellent</v>
      </c>
      <c r="BW33" s="54" t="s">
        <v>118</v>
      </c>
    </row>
    <row r="34" spans="1:75" ht="30" x14ac:dyDescent="0.25">
      <c r="A34" s="6">
        <v>32</v>
      </c>
      <c r="B34" s="71" t="s">
        <v>153</v>
      </c>
      <c r="C34" s="16">
        <v>132414042</v>
      </c>
      <c r="D34" s="6" t="s">
        <v>27</v>
      </c>
      <c r="E34" s="6" t="s">
        <v>89</v>
      </c>
      <c r="F34" s="58" t="s">
        <v>90</v>
      </c>
      <c r="G34" s="58" t="s">
        <v>120</v>
      </c>
      <c r="H34" s="68" t="s">
        <v>152</v>
      </c>
      <c r="I34" s="17">
        <v>75</v>
      </c>
      <c r="J34" s="18" t="str">
        <f t="shared" si="0"/>
        <v>B+</v>
      </c>
      <c r="K34" s="19">
        <f t="shared" si="1"/>
        <v>3.5</v>
      </c>
      <c r="L34" s="20">
        <v>2</v>
      </c>
      <c r="M34" s="21">
        <f t="shared" si="2"/>
        <v>7</v>
      </c>
      <c r="N34" s="22">
        <v>74</v>
      </c>
      <c r="O34" s="23" t="str">
        <f t="shared" si="3"/>
        <v>B</v>
      </c>
      <c r="P34" s="24">
        <f t="shared" si="4"/>
        <v>3</v>
      </c>
      <c r="Q34" s="25">
        <v>6</v>
      </c>
      <c r="R34" s="26">
        <f t="shared" si="24"/>
        <v>18</v>
      </c>
      <c r="S34" s="34">
        <v>75</v>
      </c>
      <c r="T34" s="35" t="str">
        <f t="shared" si="5"/>
        <v>B+</v>
      </c>
      <c r="U34" s="36">
        <f t="shared" si="25"/>
        <v>3.5</v>
      </c>
      <c r="V34" s="37">
        <f>3</f>
        <v>3</v>
      </c>
      <c r="W34" s="38">
        <f t="shared" si="26"/>
        <v>10.5</v>
      </c>
      <c r="X34" s="31">
        <v>75</v>
      </c>
      <c r="Y34" s="33" t="str">
        <f t="shared" si="6"/>
        <v>B+</v>
      </c>
      <c r="Z34" s="32">
        <f t="shared" si="7"/>
        <v>3.5</v>
      </c>
      <c r="AA34" s="33">
        <v>4</v>
      </c>
      <c r="AB34" s="86">
        <f t="shared" si="8"/>
        <v>14</v>
      </c>
      <c r="AC34" s="49">
        <v>76</v>
      </c>
      <c r="AD34" s="87" t="str">
        <f t="shared" si="9"/>
        <v>B+</v>
      </c>
      <c r="AE34" s="27">
        <f t="shared" si="10"/>
        <v>3.5</v>
      </c>
      <c r="AF34" s="28">
        <v>3</v>
      </c>
      <c r="AG34" s="29">
        <f t="shared" si="11"/>
        <v>10.5</v>
      </c>
      <c r="AH34" s="30">
        <v>77</v>
      </c>
      <c r="AI34" s="2" t="str">
        <f t="shared" si="12"/>
        <v>B+</v>
      </c>
      <c r="AJ34" s="3">
        <f t="shared" si="13"/>
        <v>3.5</v>
      </c>
      <c r="AK34" s="4">
        <v>2</v>
      </c>
      <c r="AL34" s="5">
        <f t="shared" si="27"/>
        <v>7</v>
      </c>
      <c r="AM34" s="11">
        <v>79</v>
      </c>
      <c r="AN34" s="7" t="str">
        <f t="shared" si="14"/>
        <v>B+</v>
      </c>
      <c r="AO34" s="8">
        <f t="shared" si="15"/>
        <v>3.5</v>
      </c>
      <c r="AP34" s="7">
        <v>3</v>
      </c>
      <c r="AQ34" s="7">
        <f t="shared" si="16"/>
        <v>10.5</v>
      </c>
      <c r="AR34" s="9">
        <v>78</v>
      </c>
      <c r="AS34" s="7" t="str">
        <f t="shared" si="28"/>
        <v>B+</v>
      </c>
      <c r="AT34" s="8">
        <f t="shared" si="29"/>
        <v>3.5</v>
      </c>
      <c r="AU34" s="62">
        <v>4</v>
      </c>
      <c r="AV34" s="7">
        <f t="shared" si="30"/>
        <v>14</v>
      </c>
      <c r="AW34" s="67">
        <v>75</v>
      </c>
      <c r="AX34" s="7" t="str">
        <f t="shared" si="31"/>
        <v>B+</v>
      </c>
      <c r="AY34" s="8">
        <f t="shared" si="32"/>
        <v>3.5</v>
      </c>
      <c r="AZ34" s="64">
        <v>4</v>
      </c>
      <c r="BA34" s="62">
        <f t="shared" si="33"/>
        <v>14</v>
      </c>
      <c r="BB34" s="11">
        <v>80</v>
      </c>
      <c r="BC34" s="7" t="str">
        <f t="shared" si="34"/>
        <v>A</v>
      </c>
      <c r="BD34" s="8">
        <f t="shared" si="35"/>
        <v>4</v>
      </c>
      <c r="BE34" s="7">
        <v>5</v>
      </c>
      <c r="BF34" s="7">
        <f t="shared" si="36"/>
        <v>20</v>
      </c>
      <c r="BG34" s="7">
        <v>80</v>
      </c>
      <c r="BH34" s="7" t="str">
        <f t="shared" si="43"/>
        <v>A</v>
      </c>
      <c r="BI34" s="8">
        <f t="shared" si="37"/>
        <v>4</v>
      </c>
      <c r="BJ34" s="62">
        <v>2</v>
      </c>
      <c r="BK34" s="7">
        <f t="shared" si="38"/>
        <v>8</v>
      </c>
      <c r="BL34" s="10">
        <f t="shared" si="17"/>
        <v>67</v>
      </c>
      <c r="BM34" s="7">
        <f t="shared" si="18"/>
        <v>20</v>
      </c>
      <c r="BN34" s="55">
        <f t="shared" si="19"/>
        <v>3.35</v>
      </c>
      <c r="BO34" s="10">
        <f t="shared" si="44"/>
        <v>66.5</v>
      </c>
      <c r="BP34" s="9">
        <f t="shared" si="45"/>
        <v>18</v>
      </c>
      <c r="BQ34" s="10">
        <f t="shared" si="39"/>
        <v>3.6944444444444446</v>
      </c>
      <c r="BR34" s="11">
        <f t="shared" si="22"/>
        <v>133.5</v>
      </c>
      <c r="BS34" s="10">
        <f t="shared" si="23"/>
        <v>38</v>
      </c>
      <c r="BT34" s="10">
        <f t="shared" si="40"/>
        <v>3.513157894736842</v>
      </c>
      <c r="BU34" s="54" t="str">
        <f t="shared" si="41"/>
        <v>Cum Laude</v>
      </c>
      <c r="BV34" s="54" t="str">
        <f t="shared" si="42"/>
        <v>Excellent</v>
      </c>
      <c r="BW34" s="54" t="s">
        <v>119</v>
      </c>
    </row>
    <row r="35" spans="1:75" ht="15.75" x14ac:dyDescent="0.25">
      <c r="I35" s="1"/>
      <c r="N35" s="1"/>
      <c r="S35" s="1"/>
      <c r="AV35" s="50"/>
      <c r="BF35" s="50"/>
      <c r="BN35" s="56"/>
      <c r="BQ35" s="51"/>
      <c r="BR35" s="15"/>
      <c r="BT35" s="52"/>
    </row>
    <row r="36" spans="1:75" x14ac:dyDescent="0.25">
      <c r="B36" s="53"/>
      <c r="C36" s="53"/>
    </row>
    <row r="37" spans="1:75" x14ac:dyDescent="0.25">
      <c r="B37" s="53"/>
      <c r="C37" s="53"/>
    </row>
    <row r="38" spans="1:75" x14ac:dyDescent="0.25">
      <c r="B38" s="53"/>
      <c r="C38" s="53"/>
    </row>
    <row r="39" spans="1:75" x14ac:dyDescent="0.25">
      <c r="B39" s="53"/>
      <c r="C39" s="53"/>
    </row>
    <row r="40" spans="1:75" x14ac:dyDescent="0.25">
      <c r="B40" s="53"/>
      <c r="C40" s="53"/>
    </row>
    <row r="41" spans="1:75" x14ac:dyDescent="0.25">
      <c r="B41" s="53"/>
      <c r="C41" s="53"/>
    </row>
    <row r="42" spans="1:75" x14ac:dyDescent="0.25">
      <c r="B42" s="53"/>
      <c r="C42" s="53"/>
    </row>
    <row r="43" spans="1:75" x14ac:dyDescent="0.25">
      <c r="B43" s="53"/>
      <c r="C43" s="53"/>
    </row>
    <row r="44" spans="1:75" x14ac:dyDescent="0.25">
      <c r="B44" s="53"/>
      <c r="C44" s="53"/>
    </row>
    <row r="45" spans="1:75" x14ac:dyDescent="0.25">
      <c r="B45" s="53"/>
      <c r="C45" s="53"/>
    </row>
    <row r="46" spans="1:75" x14ac:dyDescent="0.25">
      <c r="B46" s="53"/>
      <c r="C46" s="53"/>
    </row>
    <row r="47" spans="1:75" x14ac:dyDescent="0.25">
      <c r="B47" s="53"/>
      <c r="C47" s="53"/>
    </row>
    <row r="48" spans="1:75" x14ac:dyDescent="0.25">
      <c r="B48" s="53"/>
      <c r="C48" s="53"/>
    </row>
    <row r="49" spans="2:3" x14ac:dyDescent="0.25">
      <c r="B49" s="53"/>
      <c r="C49" s="53"/>
    </row>
    <row r="50" spans="2:3" x14ac:dyDescent="0.25">
      <c r="B50" s="53"/>
      <c r="C50" s="53"/>
    </row>
  </sheetData>
  <mergeCells count="29">
    <mergeCell ref="BU1:BU2"/>
    <mergeCell ref="BV1:BV2"/>
    <mergeCell ref="BW1:BW2"/>
    <mergeCell ref="G1:G2"/>
    <mergeCell ref="BQ1:BQ2"/>
    <mergeCell ref="BT1:BT2"/>
    <mergeCell ref="AW1:BA1"/>
    <mergeCell ref="BB1:BF1"/>
    <mergeCell ref="BG1:BK1"/>
    <mergeCell ref="BO1:BO2"/>
    <mergeCell ref="BP1:BP2"/>
    <mergeCell ref="BL1:BL2"/>
    <mergeCell ref="BM1:BM2"/>
    <mergeCell ref="BN1:BN2"/>
    <mergeCell ref="AM1:AQ1"/>
    <mergeCell ref="AR1:AV1"/>
    <mergeCell ref="N1:R1"/>
    <mergeCell ref="S1:W1"/>
    <mergeCell ref="X1:AB1"/>
    <mergeCell ref="AC1:AG1"/>
    <mergeCell ref="AH1:AL1"/>
    <mergeCell ref="A1:A2"/>
    <mergeCell ref="B1:B2"/>
    <mergeCell ref="C1:C2"/>
    <mergeCell ref="D1:D2"/>
    <mergeCell ref="I1:M1"/>
    <mergeCell ref="H1:H2"/>
    <mergeCell ref="E1:E2"/>
    <mergeCell ref="F1:F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2025-11-30T06:37:21Z</dcterms:created>
  <dcterms:modified xsi:type="dcterms:W3CDTF">2025-12-01T09:21:37Z</dcterms:modified>
</cp:coreProperties>
</file>