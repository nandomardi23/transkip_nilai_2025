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Ners\2023-2024\"/>
    </mc:Choice>
  </mc:AlternateContent>
  <xr:revisionPtr revIDLastSave="0" documentId="13_ncr:1_{4FFB8D91-3D7C-4A14-A9E9-B7AC2C838359}" xr6:coauthVersionLast="47" xr6:coauthVersionMax="47" xr10:uidLastSave="{00000000-0000-0000-0000-000000000000}"/>
  <bookViews>
    <workbookView xWindow="-120" yWindow="-120" windowWidth="29040" windowHeight="15720" xr2:uid="{435B60B8-694F-4DDA-ADD2-15262503367A}"/>
  </bookViews>
  <sheets>
    <sheet name="Transk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22" i="1" l="1"/>
  <c r="BM22" i="1"/>
  <c r="BS22" i="1" s="1"/>
  <c r="BI22" i="1"/>
  <c r="BK22" i="1" s="1"/>
  <c r="BH22" i="1"/>
  <c r="BC22" i="1"/>
  <c r="BD22" i="1" s="1"/>
  <c r="BF22" i="1" s="1"/>
  <c r="AY22" i="1"/>
  <c r="BA22" i="1" s="1"/>
  <c r="AX22" i="1"/>
  <c r="AS22" i="1"/>
  <c r="AT22" i="1" s="1"/>
  <c r="AV22" i="1" s="1"/>
  <c r="AN22" i="1"/>
  <c r="AO22" i="1" s="1"/>
  <c r="AQ22" i="1" s="1"/>
  <c r="BO22" i="1" s="1"/>
  <c r="BQ22" i="1" s="1"/>
  <c r="AI22" i="1"/>
  <c r="AJ22" i="1" s="1"/>
  <c r="AL22" i="1" s="1"/>
  <c r="AD22" i="1"/>
  <c r="AE22" i="1" s="1"/>
  <c r="AG22" i="1" s="1"/>
  <c r="Y22" i="1"/>
  <c r="Z22" i="1" s="1"/>
  <c r="AB22" i="1" s="1"/>
  <c r="V22" i="1"/>
  <c r="T22" i="1"/>
  <c r="U22" i="1" s="1"/>
  <c r="W22" i="1" s="1"/>
  <c r="O22" i="1"/>
  <c r="P22" i="1" s="1"/>
  <c r="R22" i="1" s="1"/>
  <c r="J22" i="1"/>
  <c r="K22" i="1" s="1"/>
  <c r="M22" i="1" s="1"/>
  <c r="BL22" i="1" s="1"/>
  <c r="BR22" i="1" s="1"/>
  <c r="BT22" i="1" s="1"/>
  <c r="BP47" i="1"/>
  <c r="BH47" i="1"/>
  <c r="BI47" i="1" s="1"/>
  <c r="BK47" i="1" s="1"/>
  <c r="BC47" i="1"/>
  <c r="BD47" i="1" s="1"/>
  <c r="BF47" i="1" s="1"/>
  <c r="AX47" i="1"/>
  <c r="AY47" i="1" s="1"/>
  <c r="BA47" i="1" s="1"/>
  <c r="AS47" i="1"/>
  <c r="AT47" i="1" s="1"/>
  <c r="AV47" i="1" s="1"/>
  <c r="AN47" i="1"/>
  <c r="AO47" i="1" s="1"/>
  <c r="AQ47" i="1" s="1"/>
  <c r="AI47" i="1"/>
  <c r="AJ47" i="1" s="1"/>
  <c r="AL47" i="1" s="1"/>
  <c r="AD47" i="1"/>
  <c r="AE47" i="1" s="1"/>
  <c r="AG47" i="1" s="1"/>
  <c r="Y47" i="1"/>
  <c r="Z47" i="1" s="1"/>
  <c r="AB47" i="1" s="1"/>
  <c r="V47" i="1"/>
  <c r="BM47" i="1" s="1"/>
  <c r="T47" i="1"/>
  <c r="U47" i="1" s="1"/>
  <c r="O47" i="1"/>
  <c r="P47" i="1" s="1"/>
  <c r="R47" i="1" s="1"/>
  <c r="J47" i="1"/>
  <c r="K47" i="1" s="1"/>
  <c r="M47" i="1" s="1"/>
  <c r="BP46" i="1"/>
  <c r="BH46" i="1"/>
  <c r="BI46" i="1" s="1"/>
  <c r="BK46" i="1" s="1"/>
  <c r="BC46" i="1"/>
  <c r="BD46" i="1" s="1"/>
  <c r="BF46" i="1" s="1"/>
  <c r="AX46" i="1"/>
  <c r="AY46" i="1" s="1"/>
  <c r="BA46" i="1" s="1"/>
  <c r="AS46" i="1"/>
  <c r="AT46" i="1" s="1"/>
  <c r="AV46" i="1" s="1"/>
  <c r="AN46" i="1"/>
  <c r="AO46" i="1" s="1"/>
  <c r="AQ46" i="1" s="1"/>
  <c r="AI46" i="1"/>
  <c r="AJ46" i="1" s="1"/>
  <c r="AL46" i="1" s="1"/>
  <c r="AD46" i="1"/>
  <c r="AE46" i="1" s="1"/>
  <c r="AG46" i="1" s="1"/>
  <c r="Y46" i="1"/>
  <c r="Z46" i="1" s="1"/>
  <c r="AB46" i="1" s="1"/>
  <c r="V46" i="1"/>
  <c r="BM46" i="1" s="1"/>
  <c r="T46" i="1"/>
  <c r="U46" i="1" s="1"/>
  <c r="O46" i="1"/>
  <c r="P46" i="1" s="1"/>
  <c r="R46" i="1" s="1"/>
  <c r="J46" i="1"/>
  <c r="K46" i="1" s="1"/>
  <c r="M46" i="1" s="1"/>
  <c r="BP45" i="1"/>
  <c r="BH45" i="1"/>
  <c r="BI45" i="1" s="1"/>
  <c r="BK45" i="1" s="1"/>
  <c r="BC45" i="1"/>
  <c r="BD45" i="1" s="1"/>
  <c r="BF45" i="1" s="1"/>
  <c r="AX45" i="1"/>
  <c r="AY45" i="1" s="1"/>
  <c r="BA45" i="1" s="1"/>
  <c r="AS45" i="1"/>
  <c r="AT45" i="1" s="1"/>
  <c r="AV45" i="1" s="1"/>
  <c r="AN45" i="1"/>
  <c r="AO45" i="1" s="1"/>
  <c r="AQ45" i="1" s="1"/>
  <c r="AI45" i="1"/>
  <c r="AJ45" i="1" s="1"/>
  <c r="AL45" i="1" s="1"/>
  <c r="AD45" i="1"/>
  <c r="AE45" i="1" s="1"/>
  <c r="AG45" i="1" s="1"/>
  <c r="Y45" i="1"/>
  <c r="Z45" i="1" s="1"/>
  <c r="AB45" i="1" s="1"/>
  <c r="V45" i="1"/>
  <c r="BM45" i="1" s="1"/>
  <c r="T45" i="1"/>
  <c r="U45" i="1" s="1"/>
  <c r="O45" i="1"/>
  <c r="P45" i="1" s="1"/>
  <c r="R45" i="1" s="1"/>
  <c r="J45" i="1"/>
  <c r="K45" i="1" s="1"/>
  <c r="M45" i="1" s="1"/>
  <c r="BP44" i="1"/>
  <c r="BH44" i="1"/>
  <c r="BI44" i="1" s="1"/>
  <c r="BK44" i="1" s="1"/>
  <c r="BC44" i="1"/>
  <c r="BD44" i="1" s="1"/>
  <c r="BF44" i="1" s="1"/>
  <c r="AX44" i="1"/>
  <c r="AY44" i="1" s="1"/>
  <c r="BA44" i="1" s="1"/>
  <c r="AS44" i="1"/>
  <c r="AT44" i="1" s="1"/>
  <c r="AV44" i="1" s="1"/>
  <c r="AN44" i="1"/>
  <c r="AO44" i="1" s="1"/>
  <c r="AQ44" i="1" s="1"/>
  <c r="AI44" i="1"/>
  <c r="AJ44" i="1" s="1"/>
  <c r="AL44" i="1" s="1"/>
  <c r="AD44" i="1"/>
  <c r="AE44" i="1" s="1"/>
  <c r="AG44" i="1" s="1"/>
  <c r="Y44" i="1"/>
  <c r="Z44" i="1" s="1"/>
  <c r="AB44" i="1" s="1"/>
  <c r="V44" i="1"/>
  <c r="BM44" i="1" s="1"/>
  <c r="T44" i="1"/>
  <c r="U44" i="1" s="1"/>
  <c r="O44" i="1"/>
  <c r="P44" i="1" s="1"/>
  <c r="R44" i="1" s="1"/>
  <c r="J44" i="1"/>
  <c r="K44" i="1" s="1"/>
  <c r="M44" i="1" s="1"/>
  <c r="BP43" i="1"/>
  <c r="BH43" i="1"/>
  <c r="BI43" i="1" s="1"/>
  <c r="BK43" i="1" s="1"/>
  <c r="BC43" i="1"/>
  <c r="BD43" i="1" s="1"/>
  <c r="BF43" i="1" s="1"/>
  <c r="AX43" i="1"/>
  <c r="AY43" i="1" s="1"/>
  <c r="BA43" i="1" s="1"/>
  <c r="AS43" i="1"/>
  <c r="AT43" i="1" s="1"/>
  <c r="AV43" i="1" s="1"/>
  <c r="AN43" i="1"/>
  <c r="AO43" i="1" s="1"/>
  <c r="AQ43" i="1" s="1"/>
  <c r="AI43" i="1"/>
  <c r="AJ43" i="1" s="1"/>
  <c r="AL43" i="1" s="1"/>
  <c r="AD43" i="1"/>
  <c r="AE43" i="1" s="1"/>
  <c r="AG43" i="1" s="1"/>
  <c r="Y43" i="1"/>
  <c r="Z43" i="1" s="1"/>
  <c r="AB43" i="1" s="1"/>
  <c r="V43" i="1"/>
  <c r="BM43" i="1" s="1"/>
  <c r="T43" i="1"/>
  <c r="U43" i="1" s="1"/>
  <c r="O43" i="1"/>
  <c r="P43" i="1" s="1"/>
  <c r="R43" i="1" s="1"/>
  <c r="J43" i="1"/>
  <c r="K43" i="1" s="1"/>
  <c r="M43" i="1" s="1"/>
  <c r="BP42" i="1"/>
  <c r="BH42" i="1"/>
  <c r="BI42" i="1" s="1"/>
  <c r="BK42" i="1" s="1"/>
  <c r="BC42" i="1"/>
  <c r="BD42" i="1" s="1"/>
  <c r="BF42" i="1" s="1"/>
  <c r="AX42" i="1"/>
  <c r="AY42" i="1" s="1"/>
  <c r="BA42" i="1" s="1"/>
  <c r="AS42" i="1"/>
  <c r="AT42" i="1" s="1"/>
  <c r="AV42" i="1" s="1"/>
  <c r="AN42" i="1"/>
  <c r="AO42" i="1" s="1"/>
  <c r="AQ42" i="1" s="1"/>
  <c r="AI42" i="1"/>
  <c r="AJ42" i="1" s="1"/>
  <c r="AL42" i="1" s="1"/>
  <c r="AD42" i="1"/>
  <c r="AE42" i="1" s="1"/>
  <c r="AG42" i="1" s="1"/>
  <c r="Y42" i="1"/>
  <c r="Z42" i="1" s="1"/>
  <c r="AB42" i="1" s="1"/>
  <c r="V42" i="1"/>
  <c r="BM42" i="1" s="1"/>
  <c r="T42" i="1"/>
  <c r="U42" i="1" s="1"/>
  <c r="W42" i="1" s="1"/>
  <c r="O42" i="1"/>
  <c r="P42" i="1" s="1"/>
  <c r="R42" i="1" s="1"/>
  <c r="J42" i="1"/>
  <c r="K42" i="1" s="1"/>
  <c r="M42" i="1" s="1"/>
  <c r="BP41" i="1"/>
  <c r="BH41" i="1"/>
  <c r="BI41" i="1" s="1"/>
  <c r="BK41" i="1" s="1"/>
  <c r="BC41" i="1"/>
  <c r="BD41" i="1" s="1"/>
  <c r="BF41" i="1" s="1"/>
  <c r="AX41" i="1"/>
  <c r="AY41" i="1" s="1"/>
  <c r="BA41" i="1" s="1"/>
  <c r="AS41" i="1"/>
  <c r="AT41" i="1" s="1"/>
  <c r="AV41" i="1" s="1"/>
  <c r="AN41" i="1"/>
  <c r="AO41" i="1" s="1"/>
  <c r="AQ41" i="1" s="1"/>
  <c r="AI41" i="1"/>
  <c r="AJ41" i="1" s="1"/>
  <c r="AL41" i="1" s="1"/>
  <c r="AD41" i="1"/>
  <c r="AE41" i="1" s="1"/>
  <c r="AG41" i="1" s="1"/>
  <c r="Y41" i="1"/>
  <c r="Z41" i="1" s="1"/>
  <c r="AB41" i="1" s="1"/>
  <c r="V41" i="1"/>
  <c r="BM41" i="1" s="1"/>
  <c r="T41" i="1"/>
  <c r="U41" i="1" s="1"/>
  <c r="O41" i="1"/>
  <c r="P41" i="1" s="1"/>
  <c r="R41" i="1" s="1"/>
  <c r="J41" i="1"/>
  <c r="K41" i="1" s="1"/>
  <c r="M41" i="1" s="1"/>
  <c r="BP40" i="1"/>
  <c r="BH40" i="1"/>
  <c r="BI40" i="1" s="1"/>
  <c r="BK40" i="1" s="1"/>
  <c r="BC40" i="1"/>
  <c r="BD40" i="1" s="1"/>
  <c r="BF40" i="1" s="1"/>
  <c r="AY40" i="1"/>
  <c r="BA40" i="1" s="1"/>
  <c r="AS40" i="1"/>
  <c r="AT40" i="1" s="1"/>
  <c r="AV40" i="1" s="1"/>
  <c r="AN40" i="1"/>
  <c r="AO40" i="1" s="1"/>
  <c r="AQ40" i="1" s="1"/>
  <c r="AI40" i="1"/>
  <c r="AJ40" i="1" s="1"/>
  <c r="AL40" i="1" s="1"/>
  <c r="AD40" i="1"/>
  <c r="AE40" i="1" s="1"/>
  <c r="AG40" i="1" s="1"/>
  <c r="Y40" i="1"/>
  <c r="Z40" i="1" s="1"/>
  <c r="AB40" i="1" s="1"/>
  <c r="V40" i="1"/>
  <c r="BM40" i="1" s="1"/>
  <c r="T40" i="1"/>
  <c r="U40" i="1" s="1"/>
  <c r="W40" i="1" s="1"/>
  <c r="O40" i="1"/>
  <c r="P40" i="1" s="1"/>
  <c r="R40" i="1" s="1"/>
  <c r="J40" i="1"/>
  <c r="K40" i="1" s="1"/>
  <c r="M40" i="1" s="1"/>
  <c r="BP39" i="1"/>
  <c r="BH39" i="1"/>
  <c r="BI39" i="1" s="1"/>
  <c r="BK39" i="1" s="1"/>
  <c r="BC39" i="1"/>
  <c r="BD39" i="1" s="1"/>
  <c r="BF39" i="1" s="1"/>
  <c r="AX39" i="1"/>
  <c r="AY39" i="1" s="1"/>
  <c r="BA39" i="1" s="1"/>
  <c r="AS39" i="1"/>
  <c r="AT39" i="1" s="1"/>
  <c r="AV39" i="1" s="1"/>
  <c r="AN39" i="1"/>
  <c r="AO39" i="1" s="1"/>
  <c r="AQ39" i="1" s="1"/>
  <c r="AI39" i="1"/>
  <c r="AJ39" i="1" s="1"/>
  <c r="AL39" i="1" s="1"/>
  <c r="AD39" i="1"/>
  <c r="AE39" i="1" s="1"/>
  <c r="AG39" i="1" s="1"/>
  <c r="Y39" i="1"/>
  <c r="Z39" i="1" s="1"/>
  <c r="AB39" i="1" s="1"/>
  <c r="V39" i="1"/>
  <c r="BM39" i="1" s="1"/>
  <c r="T39" i="1"/>
  <c r="U39" i="1" s="1"/>
  <c r="O39" i="1"/>
  <c r="P39" i="1" s="1"/>
  <c r="R39" i="1" s="1"/>
  <c r="J39" i="1"/>
  <c r="K39" i="1" s="1"/>
  <c r="M39" i="1" s="1"/>
  <c r="BP38" i="1"/>
  <c r="BH38" i="1"/>
  <c r="BI38" i="1" s="1"/>
  <c r="BK38" i="1" s="1"/>
  <c r="BC38" i="1"/>
  <c r="BD38" i="1" s="1"/>
  <c r="BF38" i="1" s="1"/>
  <c r="AX38" i="1"/>
  <c r="AY38" i="1" s="1"/>
  <c r="BA38" i="1" s="1"/>
  <c r="AS38" i="1"/>
  <c r="AT38" i="1" s="1"/>
  <c r="AV38" i="1" s="1"/>
  <c r="AN38" i="1"/>
  <c r="AO38" i="1" s="1"/>
  <c r="AQ38" i="1" s="1"/>
  <c r="AI38" i="1"/>
  <c r="AJ38" i="1" s="1"/>
  <c r="AL38" i="1" s="1"/>
  <c r="AD38" i="1"/>
  <c r="AE38" i="1" s="1"/>
  <c r="AG38" i="1" s="1"/>
  <c r="Y38" i="1"/>
  <c r="Z38" i="1" s="1"/>
  <c r="AB38" i="1" s="1"/>
  <c r="V38" i="1"/>
  <c r="BM38" i="1" s="1"/>
  <c r="T38" i="1"/>
  <c r="U38" i="1" s="1"/>
  <c r="O38" i="1"/>
  <c r="P38" i="1" s="1"/>
  <c r="R38" i="1" s="1"/>
  <c r="J38" i="1"/>
  <c r="K38" i="1" s="1"/>
  <c r="M38" i="1" s="1"/>
  <c r="BP37" i="1"/>
  <c r="BH37" i="1"/>
  <c r="BI37" i="1" s="1"/>
  <c r="BK37" i="1" s="1"/>
  <c r="BC37" i="1"/>
  <c r="BD37" i="1" s="1"/>
  <c r="BF37" i="1" s="1"/>
  <c r="AX37" i="1"/>
  <c r="AY37" i="1" s="1"/>
  <c r="BA37" i="1" s="1"/>
  <c r="AS37" i="1"/>
  <c r="AT37" i="1" s="1"/>
  <c r="AV37" i="1" s="1"/>
  <c r="AN37" i="1"/>
  <c r="AO37" i="1" s="1"/>
  <c r="AQ37" i="1" s="1"/>
  <c r="AI37" i="1"/>
  <c r="AJ37" i="1" s="1"/>
  <c r="AL37" i="1" s="1"/>
  <c r="AD37" i="1"/>
  <c r="AE37" i="1" s="1"/>
  <c r="AG37" i="1" s="1"/>
  <c r="Y37" i="1"/>
  <c r="Z37" i="1" s="1"/>
  <c r="AB37" i="1" s="1"/>
  <c r="V37" i="1"/>
  <c r="BM37" i="1" s="1"/>
  <c r="T37" i="1"/>
  <c r="U37" i="1" s="1"/>
  <c r="O37" i="1"/>
  <c r="P37" i="1" s="1"/>
  <c r="R37" i="1" s="1"/>
  <c r="J37" i="1"/>
  <c r="K37" i="1" s="1"/>
  <c r="M37" i="1" s="1"/>
  <c r="BP36" i="1"/>
  <c r="BH36" i="1"/>
  <c r="BI36" i="1" s="1"/>
  <c r="BK36" i="1" s="1"/>
  <c r="BC36" i="1"/>
  <c r="BD36" i="1" s="1"/>
  <c r="BF36" i="1" s="1"/>
  <c r="AX36" i="1"/>
  <c r="AY36" i="1" s="1"/>
  <c r="BA36" i="1" s="1"/>
  <c r="AS36" i="1"/>
  <c r="AT36" i="1" s="1"/>
  <c r="AV36" i="1" s="1"/>
  <c r="AN36" i="1"/>
  <c r="AO36" i="1" s="1"/>
  <c r="AQ36" i="1" s="1"/>
  <c r="AI36" i="1"/>
  <c r="AJ36" i="1" s="1"/>
  <c r="AL36" i="1" s="1"/>
  <c r="AD36" i="1"/>
  <c r="AE36" i="1" s="1"/>
  <c r="AG36" i="1" s="1"/>
  <c r="Y36" i="1"/>
  <c r="Z36" i="1" s="1"/>
  <c r="AB36" i="1" s="1"/>
  <c r="V36" i="1"/>
  <c r="BM36" i="1" s="1"/>
  <c r="T36" i="1"/>
  <c r="U36" i="1" s="1"/>
  <c r="O36" i="1"/>
  <c r="P36" i="1" s="1"/>
  <c r="R36" i="1" s="1"/>
  <c r="J36" i="1"/>
  <c r="K36" i="1" s="1"/>
  <c r="M36" i="1" s="1"/>
  <c r="BP35" i="1"/>
  <c r="BH35" i="1"/>
  <c r="BI35" i="1" s="1"/>
  <c r="BK35" i="1" s="1"/>
  <c r="BC35" i="1"/>
  <c r="BD35" i="1" s="1"/>
  <c r="BF35" i="1" s="1"/>
  <c r="AX35" i="1"/>
  <c r="AY35" i="1" s="1"/>
  <c r="BA35" i="1" s="1"/>
  <c r="AS35" i="1"/>
  <c r="AT35" i="1" s="1"/>
  <c r="AV35" i="1" s="1"/>
  <c r="AN35" i="1"/>
  <c r="AO35" i="1" s="1"/>
  <c r="AQ35" i="1" s="1"/>
  <c r="AI35" i="1"/>
  <c r="AJ35" i="1" s="1"/>
  <c r="AL35" i="1" s="1"/>
  <c r="AD35" i="1"/>
  <c r="AE35" i="1" s="1"/>
  <c r="AG35" i="1" s="1"/>
  <c r="Y35" i="1"/>
  <c r="Z35" i="1" s="1"/>
  <c r="AB35" i="1" s="1"/>
  <c r="V35" i="1"/>
  <c r="BM35" i="1" s="1"/>
  <c r="T35" i="1"/>
  <c r="U35" i="1" s="1"/>
  <c r="O35" i="1"/>
  <c r="P35" i="1" s="1"/>
  <c r="R35" i="1" s="1"/>
  <c r="J35" i="1"/>
  <c r="K35" i="1" s="1"/>
  <c r="M35" i="1" s="1"/>
  <c r="BP34" i="1"/>
  <c r="BH34" i="1"/>
  <c r="BI34" i="1" s="1"/>
  <c r="BK34" i="1" s="1"/>
  <c r="BC34" i="1"/>
  <c r="BD34" i="1" s="1"/>
  <c r="BF34" i="1" s="1"/>
  <c r="AX34" i="1"/>
  <c r="AY34" i="1" s="1"/>
  <c r="BA34" i="1" s="1"/>
  <c r="AS34" i="1"/>
  <c r="AT34" i="1" s="1"/>
  <c r="AV34" i="1" s="1"/>
  <c r="AN34" i="1"/>
  <c r="AO34" i="1" s="1"/>
  <c r="AQ34" i="1" s="1"/>
  <c r="AI34" i="1"/>
  <c r="AJ34" i="1" s="1"/>
  <c r="AL34" i="1" s="1"/>
  <c r="AD34" i="1"/>
  <c r="AE34" i="1" s="1"/>
  <c r="AG34" i="1" s="1"/>
  <c r="Y34" i="1"/>
  <c r="Z34" i="1" s="1"/>
  <c r="AB34" i="1" s="1"/>
  <c r="V34" i="1"/>
  <c r="BM34" i="1" s="1"/>
  <c r="T34" i="1"/>
  <c r="U34" i="1" s="1"/>
  <c r="O34" i="1"/>
  <c r="P34" i="1" s="1"/>
  <c r="R34" i="1" s="1"/>
  <c r="J34" i="1"/>
  <c r="K34" i="1" s="1"/>
  <c r="M34" i="1" s="1"/>
  <c r="BP33" i="1"/>
  <c r="BH33" i="1"/>
  <c r="BI33" i="1" s="1"/>
  <c r="BK33" i="1" s="1"/>
  <c r="BC33" i="1"/>
  <c r="BD33" i="1" s="1"/>
  <c r="BF33" i="1" s="1"/>
  <c r="AX33" i="1"/>
  <c r="AY33" i="1" s="1"/>
  <c r="BA33" i="1" s="1"/>
  <c r="AS33" i="1"/>
  <c r="AT33" i="1" s="1"/>
  <c r="AV33" i="1" s="1"/>
  <c r="AN33" i="1"/>
  <c r="AO33" i="1" s="1"/>
  <c r="AQ33" i="1" s="1"/>
  <c r="AI33" i="1"/>
  <c r="AJ33" i="1" s="1"/>
  <c r="AL33" i="1" s="1"/>
  <c r="AD33" i="1"/>
  <c r="AE33" i="1" s="1"/>
  <c r="AG33" i="1" s="1"/>
  <c r="Y33" i="1"/>
  <c r="Z33" i="1" s="1"/>
  <c r="AB33" i="1" s="1"/>
  <c r="V33" i="1"/>
  <c r="BM33" i="1" s="1"/>
  <c r="T33" i="1"/>
  <c r="U33" i="1" s="1"/>
  <c r="O33" i="1"/>
  <c r="P33" i="1" s="1"/>
  <c r="R33" i="1" s="1"/>
  <c r="J33" i="1"/>
  <c r="K33" i="1" s="1"/>
  <c r="M33" i="1" s="1"/>
  <c r="BP32" i="1"/>
  <c r="BH32" i="1"/>
  <c r="BI32" i="1" s="1"/>
  <c r="BK32" i="1" s="1"/>
  <c r="BC32" i="1"/>
  <c r="BD32" i="1" s="1"/>
  <c r="BF32" i="1" s="1"/>
  <c r="AX32" i="1"/>
  <c r="AY32" i="1" s="1"/>
  <c r="BA32" i="1" s="1"/>
  <c r="AS32" i="1"/>
  <c r="AT32" i="1" s="1"/>
  <c r="AV32" i="1" s="1"/>
  <c r="AN32" i="1"/>
  <c r="AO32" i="1" s="1"/>
  <c r="AQ32" i="1" s="1"/>
  <c r="AI32" i="1"/>
  <c r="AJ32" i="1" s="1"/>
  <c r="AL32" i="1" s="1"/>
  <c r="AD32" i="1"/>
  <c r="AE32" i="1" s="1"/>
  <c r="AG32" i="1" s="1"/>
  <c r="Y32" i="1"/>
  <c r="Z32" i="1" s="1"/>
  <c r="AB32" i="1" s="1"/>
  <c r="V32" i="1"/>
  <c r="BM32" i="1" s="1"/>
  <c r="T32" i="1"/>
  <c r="U32" i="1" s="1"/>
  <c r="O32" i="1"/>
  <c r="P32" i="1" s="1"/>
  <c r="R32" i="1" s="1"/>
  <c r="J32" i="1"/>
  <c r="K32" i="1" s="1"/>
  <c r="M32" i="1" s="1"/>
  <c r="BP31" i="1"/>
  <c r="BH31" i="1"/>
  <c r="BI31" i="1" s="1"/>
  <c r="BK31" i="1" s="1"/>
  <c r="BC31" i="1"/>
  <c r="BD31" i="1" s="1"/>
  <c r="BF31" i="1" s="1"/>
  <c r="AX31" i="1"/>
  <c r="AY31" i="1" s="1"/>
  <c r="BA31" i="1" s="1"/>
  <c r="AS31" i="1"/>
  <c r="AT31" i="1" s="1"/>
  <c r="AV31" i="1" s="1"/>
  <c r="AN31" i="1"/>
  <c r="AO31" i="1" s="1"/>
  <c r="AQ31" i="1" s="1"/>
  <c r="AI31" i="1"/>
  <c r="AJ31" i="1" s="1"/>
  <c r="AL31" i="1" s="1"/>
  <c r="AD31" i="1"/>
  <c r="AE31" i="1" s="1"/>
  <c r="AG31" i="1" s="1"/>
  <c r="Y31" i="1"/>
  <c r="Z31" i="1" s="1"/>
  <c r="AB31" i="1" s="1"/>
  <c r="V31" i="1"/>
  <c r="BM31" i="1" s="1"/>
  <c r="T31" i="1"/>
  <c r="U31" i="1" s="1"/>
  <c r="O31" i="1"/>
  <c r="P31" i="1" s="1"/>
  <c r="R31" i="1" s="1"/>
  <c r="J31" i="1"/>
  <c r="K31" i="1" s="1"/>
  <c r="M31" i="1" s="1"/>
  <c r="BP30" i="1"/>
  <c r="BH30" i="1"/>
  <c r="BI30" i="1" s="1"/>
  <c r="BK30" i="1" s="1"/>
  <c r="BC30" i="1"/>
  <c r="BD30" i="1" s="1"/>
  <c r="BF30" i="1" s="1"/>
  <c r="AX30" i="1"/>
  <c r="AY30" i="1" s="1"/>
  <c r="BA30" i="1" s="1"/>
  <c r="AS30" i="1"/>
  <c r="AT30" i="1" s="1"/>
  <c r="AV30" i="1" s="1"/>
  <c r="AN30" i="1"/>
  <c r="AO30" i="1" s="1"/>
  <c r="AQ30" i="1" s="1"/>
  <c r="AI30" i="1"/>
  <c r="AJ30" i="1" s="1"/>
  <c r="AL30" i="1" s="1"/>
  <c r="AD30" i="1"/>
  <c r="AE30" i="1" s="1"/>
  <c r="AG30" i="1" s="1"/>
  <c r="Y30" i="1"/>
  <c r="Z30" i="1" s="1"/>
  <c r="AB30" i="1" s="1"/>
  <c r="V30" i="1"/>
  <c r="BM30" i="1" s="1"/>
  <c r="T30" i="1"/>
  <c r="U30" i="1" s="1"/>
  <c r="O30" i="1"/>
  <c r="P30" i="1" s="1"/>
  <c r="R30" i="1" s="1"/>
  <c r="J30" i="1"/>
  <c r="K30" i="1" s="1"/>
  <c r="M30" i="1" s="1"/>
  <c r="BP29" i="1"/>
  <c r="BH29" i="1"/>
  <c r="BI29" i="1" s="1"/>
  <c r="BK29" i="1" s="1"/>
  <c r="BC29" i="1"/>
  <c r="BD29" i="1" s="1"/>
  <c r="BF29" i="1" s="1"/>
  <c r="AX29" i="1"/>
  <c r="AY29" i="1" s="1"/>
  <c r="BA29" i="1" s="1"/>
  <c r="AS29" i="1"/>
  <c r="AT29" i="1" s="1"/>
  <c r="AV29" i="1" s="1"/>
  <c r="AN29" i="1"/>
  <c r="AO29" i="1" s="1"/>
  <c r="AQ29" i="1" s="1"/>
  <c r="AI29" i="1"/>
  <c r="AJ29" i="1" s="1"/>
  <c r="AL29" i="1" s="1"/>
  <c r="AD29" i="1"/>
  <c r="AE29" i="1" s="1"/>
  <c r="AG29" i="1" s="1"/>
  <c r="Y29" i="1"/>
  <c r="Z29" i="1" s="1"/>
  <c r="AB29" i="1" s="1"/>
  <c r="V29" i="1"/>
  <c r="BM29" i="1" s="1"/>
  <c r="T29" i="1"/>
  <c r="U29" i="1" s="1"/>
  <c r="O29" i="1"/>
  <c r="P29" i="1" s="1"/>
  <c r="R29" i="1" s="1"/>
  <c r="J29" i="1"/>
  <c r="K29" i="1" s="1"/>
  <c r="M29" i="1" s="1"/>
  <c r="BP28" i="1"/>
  <c r="BH28" i="1"/>
  <c r="BI28" i="1" s="1"/>
  <c r="BK28" i="1" s="1"/>
  <c r="BC28" i="1"/>
  <c r="BD28" i="1" s="1"/>
  <c r="BF28" i="1" s="1"/>
  <c r="AX28" i="1"/>
  <c r="AY28" i="1" s="1"/>
  <c r="BA28" i="1" s="1"/>
  <c r="AS28" i="1"/>
  <c r="AT28" i="1" s="1"/>
  <c r="AV28" i="1" s="1"/>
  <c r="AN28" i="1"/>
  <c r="AO28" i="1" s="1"/>
  <c r="AQ28" i="1" s="1"/>
  <c r="AI28" i="1"/>
  <c r="AJ28" i="1" s="1"/>
  <c r="AL28" i="1" s="1"/>
  <c r="AD28" i="1"/>
  <c r="AE28" i="1" s="1"/>
  <c r="AG28" i="1" s="1"/>
  <c r="Y28" i="1"/>
  <c r="Z28" i="1" s="1"/>
  <c r="AB28" i="1" s="1"/>
  <c r="V28" i="1"/>
  <c r="BM28" i="1" s="1"/>
  <c r="T28" i="1"/>
  <c r="U28" i="1" s="1"/>
  <c r="O28" i="1"/>
  <c r="P28" i="1" s="1"/>
  <c r="R28" i="1" s="1"/>
  <c r="J28" i="1"/>
  <c r="K28" i="1" s="1"/>
  <c r="M28" i="1" s="1"/>
  <c r="BP27" i="1"/>
  <c r="BH27" i="1"/>
  <c r="BI27" i="1" s="1"/>
  <c r="BK27" i="1" s="1"/>
  <c r="BC27" i="1"/>
  <c r="BD27" i="1" s="1"/>
  <c r="BF27" i="1" s="1"/>
  <c r="AX27" i="1"/>
  <c r="AY27" i="1" s="1"/>
  <c r="BA27" i="1" s="1"/>
  <c r="AS27" i="1"/>
  <c r="AT27" i="1" s="1"/>
  <c r="AV27" i="1" s="1"/>
  <c r="AN27" i="1"/>
  <c r="AO27" i="1" s="1"/>
  <c r="AQ27" i="1" s="1"/>
  <c r="AI27" i="1"/>
  <c r="AJ27" i="1" s="1"/>
  <c r="AL27" i="1" s="1"/>
  <c r="AD27" i="1"/>
  <c r="AE27" i="1" s="1"/>
  <c r="AG27" i="1" s="1"/>
  <c r="Y27" i="1"/>
  <c r="Z27" i="1" s="1"/>
  <c r="AB27" i="1" s="1"/>
  <c r="V27" i="1"/>
  <c r="BM27" i="1" s="1"/>
  <c r="T27" i="1"/>
  <c r="U27" i="1" s="1"/>
  <c r="O27" i="1"/>
  <c r="P27" i="1" s="1"/>
  <c r="R27" i="1" s="1"/>
  <c r="J27" i="1"/>
  <c r="K27" i="1" s="1"/>
  <c r="M27" i="1" s="1"/>
  <c r="BP26" i="1"/>
  <c r="BH26" i="1"/>
  <c r="BI26" i="1" s="1"/>
  <c r="BK26" i="1" s="1"/>
  <c r="BC26" i="1"/>
  <c r="BD26" i="1" s="1"/>
  <c r="BF26" i="1" s="1"/>
  <c r="AX26" i="1"/>
  <c r="AY26" i="1" s="1"/>
  <c r="BA26" i="1" s="1"/>
  <c r="AS26" i="1"/>
  <c r="AT26" i="1" s="1"/>
  <c r="AV26" i="1" s="1"/>
  <c r="AN26" i="1"/>
  <c r="AO26" i="1" s="1"/>
  <c r="AQ26" i="1" s="1"/>
  <c r="AI26" i="1"/>
  <c r="AJ26" i="1" s="1"/>
  <c r="AL26" i="1" s="1"/>
  <c r="AD26" i="1"/>
  <c r="AE26" i="1" s="1"/>
  <c r="AG26" i="1" s="1"/>
  <c r="Y26" i="1"/>
  <c r="Z26" i="1" s="1"/>
  <c r="AB26" i="1" s="1"/>
  <c r="V26" i="1"/>
  <c r="BM26" i="1" s="1"/>
  <c r="T26" i="1"/>
  <c r="U26" i="1" s="1"/>
  <c r="O26" i="1"/>
  <c r="P26" i="1" s="1"/>
  <c r="R26" i="1" s="1"/>
  <c r="J26" i="1"/>
  <c r="K26" i="1" s="1"/>
  <c r="M26" i="1" s="1"/>
  <c r="BP25" i="1"/>
  <c r="BH25" i="1"/>
  <c r="BI25" i="1" s="1"/>
  <c r="BK25" i="1" s="1"/>
  <c r="BC25" i="1"/>
  <c r="BD25" i="1" s="1"/>
  <c r="BF25" i="1" s="1"/>
  <c r="AX25" i="1"/>
  <c r="AY25" i="1" s="1"/>
  <c r="BA25" i="1" s="1"/>
  <c r="AS25" i="1"/>
  <c r="AT25" i="1" s="1"/>
  <c r="AV25" i="1" s="1"/>
  <c r="AN25" i="1"/>
  <c r="AO25" i="1" s="1"/>
  <c r="AQ25" i="1" s="1"/>
  <c r="AI25" i="1"/>
  <c r="AJ25" i="1" s="1"/>
  <c r="AL25" i="1" s="1"/>
  <c r="AD25" i="1"/>
  <c r="AE25" i="1" s="1"/>
  <c r="AG25" i="1" s="1"/>
  <c r="Y25" i="1"/>
  <c r="Z25" i="1" s="1"/>
  <c r="AB25" i="1" s="1"/>
  <c r="V25" i="1"/>
  <c r="BM25" i="1" s="1"/>
  <c r="T25" i="1"/>
  <c r="U25" i="1" s="1"/>
  <c r="O25" i="1"/>
  <c r="P25" i="1" s="1"/>
  <c r="R25" i="1" s="1"/>
  <c r="J25" i="1"/>
  <c r="K25" i="1" s="1"/>
  <c r="M25" i="1" s="1"/>
  <c r="BP24" i="1"/>
  <c r="BH24" i="1"/>
  <c r="BI24" i="1" s="1"/>
  <c r="BK24" i="1" s="1"/>
  <c r="BC24" i="1"/>
  <c r="BD24" i="1" s="1"/>
  <c r="BF24" i="1" s="1"/>
  <c r="AX24" i="1"/>
  <c r="AY24" i="1" s="1"/>
  <c r="BA24" i="1" s="1"/>
  <c r="AS24" i="1"/>
  <c r="AT24" i="1" s="1"/>
  <c r="AV24" i="1" s="1"/>
  <c r="AN24" i="1"/>
  <c r="AO24" i="1" s="1"/>
  <c r="AQ24" i="1" s="1"/>
  <c r="AI24" i="1"/>
  <c r="AJ24" i="1" s="1"/>
  <c r="AL24" i="1" s="1"/>
  <c r="AD24" i="1"/>
  <c r="AE24" i="1" s="1"/>
  <c r="AG24" i="1" s="1"/>
  <c r="Y24" i="1"/>
  <c r="Z24" i="1" s="1"/>
  <c r="AB24" i="1" s="1"/>
  <c r="V24" i="1"/>
  <c r="BM24" i="1" s="1"/>
  <c r="T24" i="1"/>
  <c r="U24" i="1" s="1"/>
  <c r="O24" i="1"/>
  <c r="P24" i="1" s="1"/>
  <c r="R24" i="1" s="1"/>
  <c r="J24" i="1"/>
  <c r="K24" i="1" s="1"/>
  <c r="M24" i="1" s="1"/>
  <c r="BP23" i="1"/>
  <c r="BH23" i="1"/>
  <c r="BI23" i="1" s="1"/>
  <c r="BK23" i="1" s="1"/>
  <c r="BC23" i="1"/>
  <c r="BD23" i="1" s="1"/>
  <c r="BF23" i="1" s="1"/>
  <c r="AX23" i="1"/>
  <c r="AY23" i="1" s="1"/>
  <c r="BA23" i="1" s="1"/>
  <c r="AS23" i="1"/>
  <c r="AT23" i="1" s="1"/>
  <c r="AV23" i="1" s="1"/>
  <c r="AN23" i="1"/>
  <c r="AO23" i="1" s="1"/>
  <c r="AQ23" i="1" s="1"/>
  <c r="AI23" i="1"/>
  <c r="AJ23" i="1" s="1"/>
  <c r="AL23" i="1" s="1"/>
  <c r="AD23" i="1"/>
  <c r="AE23" i="1" s="1"/>
  <c r="AG23" i="1" s="1"/>
  <c r="Y23" i="1"/>
  <c r="Z23" i="1" s="1"/>
  <c r="AB23" i="1" s="1"/>
  <c r="V23" i="1"/>
  <c r="BM23" i="1" s="1"/>
  <c r="T23" i="1"/>
  <c r="U23" i="1" s="1"/>
  <c r="O23" i="1"/>
  <c r="P23" i="1" s="1"/>
  <c r="R23" i="1" s="1"/>
  <c r="J23" i="1"/>
  <c r="K23" i="1" s="1"/>
  <c r="M23" i="1" s="1"/>
  <c r="BP21" i="1"/>
  <c r="BH21" i="1"/>
  <c r="BI21" i="1" s="1"/>
  <c r="BK21" i="1" s="1"/>
  <c r="BC21" i="1"/>
  <c r="BD21" i="1" s="1"/>
  <c r="BF21" i="1" s="1"/>
  <c r="AX21" i="1"/>
  <c r="AY21" i="1" s="1"/>
  <c r="BA21" i="1" s="1"/>
  <c r="AS21" i="1"/>
  <c r="AT21" i="1" s="1"/>
  <c r="AV21" i="1" s="1"/>
  <c r="AN21" i="1"/>
  <c r="AO21" i="1" s="1"/>
  <c r="AQ21" i="1" s="1"/>
  <c r="AI21" i="1"/>
  <c r="AJ21" i="1" s="1"/>
  <c r="AL21" i="1" s="1"/>
  <c r="AD21" i="1"/>
  <c r="AE21" i="1" s="1"/>
  <c r="AG21" i="1" s="1"/>
  <c r="Y21" i="1"/>
  <c r="Z21" i="1" s="1"/>
  <c r="AB21" i="1" s="1"/>
  <c r="V21" i="1"/>
  <c r="BM21" i="1" s="1"/>
  <c r="T21" i="1"/>
  <c r="U21" i="1" s="1"/>
  <c r="O21" i="1"/>
  <c r="P21" i="1" s="1"/>
  <c r="R21" i="1" s="1"/>
  <c r="J21" i="1"/>
  <c r="K21" i="1" s="1"/>
  <c r="M21" i="1" s="1"/>
  <c r="BP20" i="1"/>
  <c r="BH20" i="1"/>
  <c r="BI20" i="1" s="1"/>
  <c r="BK20" i="1" s="1"/>
  <c r="BC20" i="1"/>
  <c r="BD20" i="1" s="1"/>
  <c r="BF20" i="1" s="1"/>
  <c r="AX20" i="1"/>
  <c r="AY20" i="1" s="1"/>
  <c r="BA20" i="1" s="1"/>
  <c r="AS20" i="1"/>
  <c r="AT20" i="1" s="1"/>
  <c r="AV20" i="1" s="1"/>
  <c r="AN20" i="1"/>
  <c r="AO20" i="1" s="1"/>
  <c r="AQ20" i="1" s="1"/>
  <c r="AI20" i="1"/>
  <c r="AJ20" i="1" s="1"/>
  <c r="AL20" i="1" s="1"/>
  <c r="AD20" i="1"/>
  <c r="AE20" i="1" s="1"/>
  <c r="AG20" i="1" s="1"/>
  <c r="Y20" i="1"/>
  <c r="Z20" i="1" s="1"/>
  <c r="AB20" i="1" s="1"/>
  <c r="V20" i="1"/>
  <c r="BM20" i="1" s="1"/>
  <c r="T20" i="1"/>
  <c r="U20" i="1" s="1"/>
  <c r="O20" i="1"/>
  <c r="P20" i="1" s="1"/>
  <c r="R20" i="1" s="1"/>
  <c r="J20" i="1"/>
  <c r="K20" i="1" s="1"/>
  <c r="M20" i="1" s="1"/>
  <c r="BP19" i="1"/>
  <c r="BH19" i="1"/>
  <c r="BI19" i="1" s="1"/>
  <c r="BK19" i="1" s="1"/>
  <c r="BC19" i="1"/>
  <c r="BD19" i="1" s="1"/>
  <c r="BF19" i="1" s="1"/>
  <c r="AX19" i="1"/>
  <c r="AY19" i="1" s="1"/>
  <c r="BA19" i="1" s="1"/>
  <c r="AS19" i="1"/>
  <c r="AT19" i="1" s="1"/>
  <c r="AV19" i="1" s="1"/>
  <c r="AN19" i="1"/>
  <c r="AO19" i="1" s="1"/>
  <c r="AQ19" i="1" s="1"/>
  <c r="AI19" i="1"/>
  <c r="AJ19" i="1" s="1"/>
  <c r="AL19" i="1" s="1"/>
  <c r="AD19" i="1"/>
  <c r="AE19" i="1" s="1"/>
  <c r="AG19" i="1" s="1"/>
  <c r="Y19" i="1"/>
  <c r="Z19" i="1" s="1"/>
  <c r="AB19" i="1" s="1"/>
  <c r="V19" i="1"/>
  <c r="BM19" i="1" s="1"/>
  <c r="T19" i="1"/>
  <c r="U19" i="1" s="1"/>
  <c r="O19" i="1"/>
  <c r="P19" i="1" s="1"/>
  <c r="R19" i="1" s="1"/>
  <c r="J19" i="1"/>
  <c r="K19" i="1" s="1"/>
  <c r="M19" i="1" s="1"/>
  <c r="BP18" i="1"/>
  <c r="BH18" i="1"/>
  <c r="BI18" i="1" s="1"/>
  <c r="BK18" i="1" s="1"/>
  <c r="BC18" i="1"/>
  <c r="BD18" i="1" s="1"/>
  <c r="BF18" i="1" s="1"/>
  <c r="AX18" i="1"/>
  <c r="AY18" i="1" s="1"/>
  <c r="BA18" i="1" s="1"/>
  <c r="AS18" i="1"/>
  <c r="AT18" i="1" s="1"/>
  <c r="AV18" i="1" s="1"/>
  <c r="AN18" i="1"/>
  <c r="AO18" i="1" s="1"/>
  <c r="AQ18" i="1" s="1"/>
  <c r="AI18" i="1"/>
  <c r="AJ18" i="1" s="1"/>
  <c r="AL18" i="1" s="1"/>
  <c r="AD18" i="1"/>
  <c r="AE18" i="1" s="1"/>
  <c r="AG18" i="1" s="1"/>
  <c r="Y18" i="1"/>
  <c r="Z18" i="1" s="1"/>
  <c r="AB18" i="1" s="1"/>
  <c r="V18" i="1"/>
  <c r="BM18" i="1" s="1"/>
  <c r="T18" i="1"/>
  <c r="U18" i="1" s="1"/>
  <c r="O18" i="1"/>
  <c r="P18" i="1" s="1"/>
  <c r="R18" i="1" s="1"/>
  <c r="J18" i="1"/>
  <c r="K18" i="1" s="1"/>
  <c r="M18" i="1" s="1"/>
  <c r="BP17" i="1"/>
  <c r="BH17" i="1"/>
  <c r="BI17" i="1" s="1"/>
  <c r="BK17" i="1" s="1"/>
  <c r="BC17" i="1"/>
  <c r="BD17" i="1" s="1"/>
  <c r="BF17" i="1" s="1"/>
  <c r="AX17" i="1"/>
  <c r="AY17" i="1" s="1"/>
  <c r="BA17" i="1" s="1"/>
  <c r="AS17" i="1"/>
  <c r="AT17" i="1" s="1"/>
  <c r="AV17" i="1" s="1"/>
  <c r="AN17" i="1"/>
  <c r="AO17" i="1" s="1"/>
  <c r="AQ17" i="1" s="1"/>
  <c r="AI17" i="1"/>
  <c r="AJ17" i="1" s="1"/>
  <c r="AL17" i="1" s="1"/>
  <c r="AD17" i="1"/>
  <c r="AE17" i="1" s="1"/>
  <c r="AG17" i="1" s="1"/>
  <c r="Y17" i="1"/>
  <c r="Z17" i="1" s="1"/>
  <c r="AB17" i="1" s="1"/>
  <c r="V17" i="1"/>
  <c r="BM17" i="1" s="1"/>
  <c r="T17" i="1"/>
  <c r="U17" i="1" s="1"/>
  <c r="O17" i="1"/>
  <c r="P17" i="1" s="1"/>
  <c r="R17" i="1" s="1"/>
  <c r="J17" i="1"/>
  <c r="K17" i="1" s="1"/>
  <c r="M17" i="1" s="1"/>
  <c r="BP16" i="1"/>
  <c r="BH16" i="1"/>
  <c r="BI16" i="1" s="1"/>
  <c r="BK16" i="1" s="1"/>
  <c r="BC16" i="1"/>
  <c r="BD16" i="1" s="1"/>
  <c r="BF16" i="1" s="1"/>
  <c r="AX16" i="1"/>
  <c r="AY16" i="1" s="1"/>
  <c r="BA16" i="1" s="1"/>
  <c r="AS16" i="1"/>
  <c r="AT16" i="1" s="1"/>
  <c r="AV16" i="1" s="1"/>
  <c r="AN16" i="1"/>
  <c r="AO16" i="1" s="1"/>
  <c r="AQ16" i="1" s="1"/>
  <c r="AI16" i="1"/>
  <c r="AJ16" i="1" s="1"/>
  <c r="AL16" i="1" s="1"/>
  <c r="AD16" i="1"/>
  <c r="AE16" i="1" s="1"/>
  <c r="AG16" i="1" s="1"/>
  <c r="Y16" i="1"/>
  <c r="Z16" i="1" s="1"/>
  <c r="AB16" i="1" s="1"/>
  <c r="V16" i="1"/>
  <c r="BM16" i="1" s="1"/>
  <c r="T16" i="1"/>
  <c r="U16" i="1" s="1"/>
  <c r="O16" i="1"/>
  <c r="P16" i="1" s="1"/>
  <c r="R16" i="1" s="1"/>
  <c r="J16" i="1"/>
  <c r="K16" i="1" s="1"/>
  <c r="M16" i="1" s="1"/>
  <c r="BP15" i="1"/>
  <c r="BH15" i="1"/>
  <c r="BI15" i="1" s="1"/>
  <c r="BK15" i="1" s="1"/>
  <c r="BC15" i="1"/>
  <c r="BD15" i="1" s="1"/>
  <c r="BF15" i="1" s="1"/>
  <c r="AX15" i="1"/>
  <c r="AY15" i="1" s="1"/>
  <c r="BA15" i="1" s="1"/>
  <c r="AS15" i="1"/>
  <c r="AT15" i="1" s="1"/>
  <c r="AV15" i="1" s="1"/>
  <c r="AN15" i="1"/>
  <c r="AO15" i="1" s="1"/>
  <c r="AQ15" i="1" s="1"/>
  <c r="AI15" i="1"/>
  <c r="AJ15" i="1" s="1"/>
  <c r="AL15" i="1" s="1"/>
  <c r="AD15" i="1"/>
  <c r="AE15" i="1" s="1"/>
  <c r="AG15" i="1" s="1"/>
  <c r="Y15" i="1"/>
  <c r="Z15" i="1" s="1"/>
  <c r="AB15" i="1" s="1"/>
  <c r="V15" i="1"/>
  <c r="BM15" i="1" s="1"/>
  <c r="T15" i="1"/>
  <c r="U15" i="1" s="1"/>
  <c r="O15" i="1"/>
  <c r="P15" i="1" s="1"/>
  <c r="R15" i="1" s="1"/>
  <c r="J15" i="1"/>
  <c r="K15" i="1" s="1"/>
  <c r="M15" i="1" s="1"/>
  <c r="BP14" i="1"/>
  <c r="BH14" i="1"/>
  <c r="BI14" i="1" s="1"/>
  <c r="BK14" i="1" s="1"/>
  <c r="BC14" i="1"/>
  <c r="BD14" i="1" s="1"/>
  <c r="BF14" i="1" s="1"/>
  <c r="AX14" i="1"/>
  <c r="AY14" i="1" s="1"/>
  <c r="BA14" i="1" s="1"/>
  <c r="AS14" i="1"/>
  <c r="AT14" i="1" s="1"/>
  <c r="AV14" i="1" s="1"/>
  <c r="AN14" i="1"/>
  <c r="AO14" i="1" s="1"/>
  <c r="AQ14" i="1" s="1"/>
  <c r="AI14" i="1"/>
  <c r="AJ14" i="1" s="1"/>
  <c r="AL14" i="1" s="1"/>
  <c r="AD14" i="1"/>
  <c r="AE14" i="1" s="1"/>
  <c r="AG14" i="1" s="1"/>
  <c r="Y14" i="1"/>
  <c r="Z14" i="1" s="1"/>
  <c r="AB14" i="1" s="1"/>
  <c r="V14" i="1"/>
  <c r="BM14" i="1" s="1"/>
  <c r="T14" i="1"/>
  <c r="U14" i="1" s="1"/>
  <c r="O14" i="1"/>
  <c r="P14" i="1" s="1"/>
  <c r="R14" i="1" s="1"/>
  <c r="J14" i="1"/>
  <c r="K14" i="1" s="1"/>
  <c r="M14" i="1" s="1"/>
  <c r="BP13" i="1"/>
  <c r="BH13" i="1"/>
  <c r="BI13" i="1" s="1"/>
  <c r="BK13" i="1" s="1"/>
  <c r="BC13" i="1"/>
  <c r="BD13" i="1" s="1"/>
  <c r="BF13" i="1" s="1"/>
  <c r="AX13" i="1"/>
  <c r="AY13" i="1" s="1"/>
  <c r="BA13" i="1" s="1"/>
  <c r="AS13" i="1"/>
  <c r="AT13" i="1" s="1"/>
  <c r="AV13" i="1" s="1"/>
  <c r="AN13" i="1"/>
  <c r="AO13" i="1" s="1"/>
  <c r="AQ13" i="1" s="1"/>
  <c r="AI13" i="1"/>
  <c r="AJ13" i="1" s="1"/>
  <c r="AL13" i="1" s="1"/>
  <c r="AD13" i="1"/>
  <c r="AE13" i="1" s="1"/>
  <c r="AG13" i="1" s="1"/>
  <c r="Y13" i="1"/>
  <c r="Z13" i="1" s="1"/>
  <c r="AB13" i="1" s="1"/>
  <c r="V13" i="1"/>
  <c r="BM13" i="1" s="1"/>
  <c r="T13" i="1"/>
  <c r="U13" i="1" s="1"/>
  <c r="O13" i="1"/>
  <c r="P13" i="1" s="1"/>
  <c r="R13" i="1" s="1"/>
  <c r="J13" i="1"/>
  <c r="K13" i="1" s="1"/>
  <c r="M13" i="1" s="1"/>
  <c r="BP12" i="1"/>
  <c r="BH12" i="1"/>
  <c r="BI12" i="1" s="1"/>
  <c r="BK12" i="1" s="1"/>
  <c r="BC12" i="1"/>
  <c r="BD12" i="1" s="1"/>
  <c r="BF12" i="1" s="1"/>
  <c r="AX12" i="1"/>
  <c r="AY12" i="1" s="1"/>
  <c r="BA12" i="1" s="1"/>
  <c r="AS12" i="1"/>
  <c r="AT12" i="1" s="1"/>
  <c r="AV12" i="1" s="1"/>
  <c r="AN12" i="1"/>
  <c r="AO12" i="1" s="1"/>
  <c r="AQ12" i="1" s="1"/>
  <c r="AI12" i="1"/>
  <c r="AJ12" i="1" s="1"/>
  <c r="AL12" i="1" s="1"/>
  <c r="AD12" i="1"/>
  <c r="AE12" i="1" s="1"/>
  <c r="AG12" i="1" s="1"/>
  <c r="Y12" i="1"/>
  <c r="Z12" i="1" s="1"/>
  <c r="AB12" i="1" s="1"/>
  <c r="V12" i="1"/>
  <c r="BM12" i="1" s="1"/>
  <c r="T12" i="1"/>
  <c r="U12" i="1" s="1"/>
  <c r="O12" i="1"/>
  <c r="P12" i="1" s="1"/>
  <c r="R12" i="1" s="1"/>
  <c r="J12" i="1"/>
  <c r="K12" i="1" s="1"/>
  <c r="M12" i="1" s="1"/>
  <c r="BP11" i="1"/>
  <c r="BH11" i="1"/>
  <c r="BI11" i="1" s="1"/>
  <c r="BK11" i="1" s="1"/>
  <c r="BC11" i="1"/>
  <c r="BD11" i="1" s="1"/>
  <c r="BF11" i="1" s="1"/>
  <c r="AX11" i="1"/>
  <c r="AY11" i="1" s="1"/>
  <c r="BA11" i="1" s="1"/>
  <c r="AS11" i="1"/>
  <c r="AT11" i="1" s="1"/>
  <c r="AV11" i="1" s="1"/>
  <c r="AN11" i="1"/>
  <c r="AO11" i="1" s="1"/>
  <c r="AQ11" i="1" s="1"/>
  <c r="AI11" i="1"/>
  <c r="AJ11" i="1" s="1"/>
  <c r="AL11" i="1" s="1"/>
  <c r="AD11" i="1"/>
  <c r="AE11" i="1" s="1"/>
  <c r="AG11" i="1" s="1"/>
  <c r="Y11" i="1"/>
  <c r="Z11" i="1" s="1"/>
  <c r="AB11" i="1" s="1"/>
  <c r="V11" i="1"/>
  <c r="BM11" i="1" s="1"/>
  <c r="T11" i="1"/>
  <c r="U11" i="1" s="1"/>
  <c r="O11" i="1"/>
  <c r="P11" i="1" s="1"/>
  <c r="R11" i="1" s="1"/>
  <c r="J11" i="1"/>
  <c r="K11" i="1" s="1"/>
  <c r="M11" i="1" s="1"/>
  <c r="BP10" i="1"/>
  <c r="BH10" i="1"/>
  <c r="BI10" i="1" s="1"/>
  <c r="BK10" i="1" s="1"/>
  <c r="BC10" i="1"/>
  <c r="BD10" i="1" s="1"/>
  <c r="BF10" i="1" s="1"/>
  <c r="AX10" i="1"/>
  <c r="AY10" i="1" s="1"/>
  <c r="BA10" i="1" s="1"/>
  <c r="AS10" i="1"/>
  <c r="AT10" i="1" s="1"/>
  <c r="AV10" i="1" s="1"/>
  <c r="AN10" i="1"/>
  <c r="AO10" i="1" s="1"/>
  <c r="AQ10" i="1" s="1"/>
  <c r="AI10" i="1"/>
  <c r="AJ10" i="1" s="1"/>
  <c r="AL10" i="1" s="1"/>
  <c r="AD10" i="1"/>
  <c r="AE10" i="1" s="1"/>
  <c r="AG10" i="1" s="1"/>
  <c r="Y10" i="1"/>
  <c r="Z10" i="1" s="1"/>
  <c r="AB10" i="1" s="1"/>
  <c r="V10" i="1"/>
  <c r="BM10" i="1" s="1"/>
  <c r="T10" i="1"/>
  <c r="U10" i="1" s="1"/>
  <c r="O10" i="1"/>
  <c r="P10" i="1" s="1"/>
  <c r="R10" i="1" s="1"/>
  <c r="J10" i="1"/>
  <c r="K10" i="1" s="1"/>
  <c r="M10" i="1" s="1"/>
  <c r="BP9" i="1"/>
  <c r="BH9" i="1"/>
  <c r="BI9" i="1" s="1"/>
  <c r="BK9" i="1" s="1"/>
  <c r="BC9" i="1"/>
  <c r="BD9" i="1" s="1"/>
  <c r="BF9" i="1" s="1"/>
  <c r="AX9" i="1"/>
  <c r="AY9" i="1" s="1"/>
  <c r="BA9" i="1" s="1"/>
  <c r="AS9" i="1"/>
  <c r="AT9" i="1" s="1"/>
  <c r="AV9" i="1" s="1"/>
  <c r="AN9" i="1"/>
  <c r="AO9" i="1" s="1"/>
  <c r="AQ9" i="1" s="1"/>
  <c r="AI9" i="1"/>
  <c r="AJ9" i="1" s="1"/>
  <c r="AL9" i="1" s="1"/>
  <c r="AD9" i="1"/>
  <c r="AE9" i="1" s="1"/>
  <c r="AG9" i="1" s="1"/>
  <c r="Y9" i="1"/>
  <c r="Z9" i="1" s="1"/>
  <c r="AB9" i="1" s="1"/>
  <c r="V9" i="1"/>
  <c r="BM9" i="1" s="1"/>
  <c r="T9" i="1"/>
  <c r="U9" i="1" s="1"/>
  <c r="O9" i="1"/>
  <c r="P9" i="1" s="1"/>
  <c r="R9" i="1" s="1"/>
  <c r="J9" i="1"/>
  <c r="K9" i="1" s="1"/>
  <c r="M9" i="1" s="1"/>
  <c r="BP8" i="1"/>
  <c r="BH8" i="1"/>
  <c r="BI8" i="1" s="1"/>
  <c r="BK8" i="1" s="1"/>
  <c r="BC8" i="1"/>
  <c r="BD8" i="1" s="1"/>
  <c r="BF8" i="1" s="1"/>
  <c r="AX8" i="1"/>
  <c r="AY8" i="1" s="1"/>
  <c r="BA8" i="1" s="1"/>
  <c r="AS8" i="1"/>
  <c r="AT8" i="1" s="1"/>
  <c r="AV8" i="1" s="1"/>
  <c r="AN8" i="1"/>
  <c r="AO8" i="1" s="1"/>
  <c r="AQ8" i="1" s="1"/>
  <c r="AI8" i="1"/>
  <c r="AJ8" i="1" s="1"/>
  <c r="AL8" i="1" s="1"/>
  <c r="AD8" i="1"/>
  <c r="AE8" i="1" s="1"/>
  <c r="AG8" i="1" s="1"/>
  <c r="Y8" i="1"/>
  <c r="Z8" i="1" s="1"/>
  <c r="AB8" i="1" s="1"/>
  <c r="V8" i="1"/>
  <c r="BM8" i="1" s="1"/>
  <c r="T8" i="1"/>
  <c r="U8" i="1" s="1"/>
  <c r="O8" i="1"/>
  <c r="P8" i="1" s="1"/>
  <c r="R8" i="1" s="1"/>
  <c r="J8" i="1"/>
  <c r="K8" i="1" s="1"/>
  <c r="M8" i="1" s="1"/>
  <c r="BP7" i="1"/>
  <c r="BH7" i="1"/>
  <c r="BI7" i="1" s="1"/>
  <c r="BK7" i="1" s="1"/>
  <c r="BC7" i="1"/>
  <c r="BD7" i="1" s="1"/>
  <c r="BF7" i="1" s="1"/>
  <c r="AX7" i="1"/>
  <c r="AY7" i="1" s="1"/>
  <c r="BA7" i="1" s="1"/>
  <c r="AS7" i="1"/>
  <c r="AT7" i="1" s="1"/>
  <c r="AV7" i="1" s="1"/>
  <c r="AN7" i="1"/>
  <c r="AO7" i="1" s="1"/>
  <c r="AQ7" i="1" s="1"/>
  <c r="AI7" i="1"/>
  <c r="AJ7" i="1" s="1"/>
  <c r="AL7" i="1" s="1"/>
  <c r="AD7" i="1"/>
  <c r="AE7" i="1" s="1"/>
  <c r="AG7" i="1" s="1"/>
  <c r="Y7" i="1"/>
  <c r="Z7" i="1" s="1"/>
  <c r="AB7" i="1" s="1"/>
  <c r="V7" i="1"/>
  <c r="BM7" i="1" s="1"/>
  <c r="T7" i="1"/>
  <c r="U7" i="1" s="1"/>
  <c r="O7" i="1"/>
  <c r="P7" i="1" s="1"/>
  <c r="R7" i="1" s="1"/>
  <c r="J7" i="1"/>
  <c r="K7" i="1" s="1"/>
  <c r="M7" i="1" s="1"/>
  <c r="BP6" i="1"/>
  <c r="BH6" i="1"/>
  <c r="BI6" i="1" s="1"/>
  <c r="BK6" i="1" s="1"/>
  <c r="BC6" i="1"/>
  <c r="BD6" i="1" s="1"/>
  <c r="BF6" i="1" s="1"/>
  <c r="AX6" i="1"/>
  <c r="AY6" i="1" s="1"/>
  <c r="BA6" i="1" s="1"/>
  <c r="AS6" i="1"/>
  <c r="AT6" i="1" s="1"/>
  <c r="AV6" i="1" s="1"/>
  <c r="AN6" i="1"/>
  <c r="AO6" i="1" s="1"/>
  <c r="AQ6" i="1" s="1"/>
  <c r="AI6" i="1"/>
  <c r="AJ6" i="1" s="1"/>
  <c r="AL6" i="1" s="1"/>
  <c r="AD6" i="1"/>
  <c r="AE6" i="1" s="1"/>
  <c r="AG6" i="1" s="1"/>
  <c r="Y6" i="1"/>
  <c r="Z6" i="1" s="1"/>
  <c r="AB6" i="1" s="1"/>
  <c r="V6" i="1"/>
  <c r="BM6" i="1" s="1"/>
  <c r="T6" i="1"/>
  <c r="U6" i="1" s="1"/>
  <c r="O6" i="1"/>
  <c r="P6" i="1" s="1"/>
  <c r="R6" i="1" s="1"/>
  <c r="J6" i="1"/>
  <c r="K6" i="1" s="1"/>
  <c r="M6" i="1" s="1"/>
  <c r="BP5" i="1"/>
  <c r="BH5" i="1"/>
  <c r="BI5" i="1" s="1"/>
  <c r="BK5" i="1" s="1"/>
  <c r="BC5" i="1"/>
  <c r="BD5" i="1" s="1"/>
  <c r="BF5" i="1" s="1"/>
  <c r="AX5" i="1"/>
  <c r="AY5" i="1" s="1"/>
  <c r="BA5" i="1" s="1"/>
  <c r="AS5" i="1"/>
  <c r="AT5" i="1" s="1"/>
  <c r="AV5" i="1" s="1"/>
  <c r="AN5" i="1"/>
  <c r="AO5" i="1" s="1"/>
  <c r="AQ5" i="1" s="1"/>
  <c r="AI5" i="1"/>
  <c r="AJ5" i="1" s="1"/>
  <c r="AL5" i="1" s="1"/>
  <c r="AD5" i="1"/>
  <c r="AE5" i="1" s="1"/>
  <c r="AG5" i="1" s="1"/>
  <c r="Y5" i="1"/>
  <c r="Z5" i="1" s="1"/>
  <c r="AB5" i="1" s="1"/>
  <c r="V5" i="1"/>
  <c r="BM5" i="1" s="1"/>
  <c r="T5" i="1"/>
  <c r="U5" i="1" s="1"/>
  <c r="O5" i="1"/>
  <c r="P5" i="1" s="1"/>
  <c r="R5" i="1" s="1"/>
  <c r="J5" i="1"/>
  <c r="K5" i="1" s="1"/>
  <c r="M5" i="1" s="1"/>
  <c r="BP4" i="1"/>
  <c r="BH4" i="1"/>
  <c r="BI4" i="1" s="1"/>
  <c r="BK4" i="1" s="1"/>
  <c r="BC4" i="1"/>
  <c r="BD4" i="1" s="1"/>
  <c r="BF4" i="1" s="1"/>
  <c r="AX4" i="1"/>
  <c r="AY4" i="1" s="1"/>
  <c r="BA4" i="1" s="1"/>
  <c r="AS4" i="1"/>
  <c r="AT4" i="1" s="1"/>
  <c r="AV4" i="1" s="1"/>
  <c r="AN4" i="1"/>
  <c r="AO4" i="1" s="1"/>
  <c r="AQ4" i="1" s="1"/>
  <c r="AI4" i="1"/>
  <c r="AJ4" i="1" s="1"/>
  <c r="AL4" i="1" s="1"/>
  <c r="AD4" i="1"/>
  <c r="AE4" i="1" s="1"/>
  <c r="AG4" i="1" s="1"/>
  <c r="Y4" i="1"/>
  <c r="Z4" i="1" s="1"/>
  <c r="AB4" i="1" s="1"/>
  <c r="V4" i="1"/>
  <c r="BM4" i="1" s="1"/>
  <c r="T4" i="1"/>
  <c r="U4" i="1" s="1"/>
  <c r="O4" i="1"/>
  <c r="P4" i="1" s="1"/>
  <c r="R4" i="1" s="1"/>
  <c r="J4" i="1"/>
  <c r="K4" i="1" s="1"/>
  <c r="M4" i="1" s="1"/>
  <c r="BP3" i="1"/>
  <c r="BH3" i="1"/>
  <c r="BI3" i="1" s="1"/>
  <c r="BK3" i="1" s="1"/>
  <c r="BC3" i="1"/>
  <c r="BD3" i="1" s="1"/>
  <c r="BF3" i="1" s="1"/>
  <c r="AX3" i="1"/>
  <c r="AY3" i="1" s="1"/>
  <c r="BA3" i="1" s="1"/>
  <c r="AS3" i="1"/>
  <c r="AT3" i="1" s="1"/>
  <c r="AV3" i="1" s="1"/>
  <c r="AN3" i="1"/>
  <c r="AO3" i="1" s="1"/>
  <c r="AQ3" i="1" s="1"/>
  <c r="AI3" i="1"/>
  <c r="AJ3" i="1" s="1"/>
  <c r="AL3" i="1" s="1"/>
  <c r="AD3" i="1"/>
  <c r="AE3" i="1" s="1"/>
  <c r="AG3" i="1" s="1"/>
  <c r="Y3" i="1"/>
  <c r="Z3" i="1" s="1"/>
  <c r="AB3" i="1" s="1"/>
  <c r="V3" i="1"/>
  <c r="BM3" i="1" s="1"/>
  <c r="T3" i="1"/>
  <c r="U3" i="1" s="1"/>
  <c r="O3" i="1"/>
  <c r="P3" i="1" s="1"/>
  <c r="R3" i="1" s="1"/>
  <c r="J3" i="1"/>
  <c r="K3" i="1" s="1"/>
  <c r="M3" i="1" s="1"/>
  <c r="BV22" i="1" l="1"/>
  <c r="BU22" i="1"/>
  <c r="W46" i="1"/>
  <c r="BN22" i="1"/>
  <c r="W13" i="1"/>
  <c r="BL13" i="1" s="1"/>
  <c r="BN13" i="1" s="1"/>
  <c r="BS45" i="1"/>
  <c r="BO29" i="1"/>
  <c r="BQ29" i="1" s="1"/>
  <c r="W16" i="1"/>
  <c r="BL16" i="1" s="1"/>
  <c r="W11" i="1"/>
  <c r="BL11" i="1" s="1"/>
  <c r="W12" i="1"/>
  <c r="BL12" i="1" s="1"/>
  <c r="BN12" i="1" s="1"/>
  <c r="W6" i="1"/>
  <c r="BL6" i="1" s="1"/>
  <c r="W33" i="1"/>
  <c r="BL33" i="1" s="1"/>
  <c r="W37" i="1"/>
  <c r="BL37" i="1" s="1"/>
  <c r="W9" i="1"/>
  <c r="BL9" i="1" s="1"/>
  <c r="BN9" i="1" s="1"/>
  <c r="W3" i="1"/>
  <c r="BL3" i="1" s="1"/>
  <c r="W30" i="1"/>
  <c r="BL30" i="1" s="1"/>
  <c r="W35" i="1"/>
  <c r="BL35" i="1" s="1"/>
  <c r="BN35" i="1" s="1"/>
  <c r="W27" i="1"/>
  <c r="BL27" i="1" s="1"/>
  <c r="W38" i="1"/>
  <c r="BL38" i="1" s="1"/>
  <c r="BN38" i="1" s="1"/>
  <c r="W45" i="1"/>
  <c r="BL45" i="1" s="1"/>
  <c r="W18" i="1"/>
  <c r="BL18" i="1" s="1"/>
  <c r="W36" i="1"/>
  <c r="BL36" i="1" s="1"/>
  <c r="W10" i="1"/>
  <c r="BL10" i="1" s="1"/>
  <c r="BS26" i="1"/>
  <c r="BO18" i="1"/>
  <c r="BQ18" i="1" s="1"/>
  <c r="BS16" i="1"/>
  <c r="W21" i="1"/>
  <c r="BL21" i="1" s="1"/>
  <c r="W34" i="1"/>
  <c r="BL34" i="1" s="1"/>
  <c r="BN34" i="1" s="1"/>
  <c r="W39" i="1"/>
  <c r="BL39" i="1" s="1"/>
  <c r="BS34" i="1"/>
  <c r="W4" i="1"/>
  <c r="BL4" i="1" s="1"/>
  <c r="W28" i="1"/>
  <c r="BL28" i="1" s="1"/>
  <c r="W14" i="1"/>
  <c r="BL14" i="1" s="1"/>
  <c r="W23" i="1"/>
  <c r="BL23" i="1" s="1"/>
  <c r="BN23" i="1" s="1"/>
  <c r="BS30" i="1"/>
  <c r="W32" i="1"/>
  <c r="BL32" i="1" s="1"/>
  <c r="BS20" i="1"/>
  <c r="BS33" i="1"/>
  <c r="BS18" i="1"/>
  <c r="BS15" i="1"/>
  <c r="BS27" i="1"/>
  <c r="BS8" i="1"/>
  <c r="W17" i="1"/>
  <c r="BL17" i="1" s="1"/>
  <c r="W41" i="1"/>
  <c r="BL41" i="1" s="1"/>
  <c r="BS44" i="1"/>
  <c r="BO20" i="1"/>
  <c r="BQ20" i="1" s="1"/>
  <c r="BS14" i="1"/>
  <c r="BS43" i="1"/>
  <c r="BS13" i="1"/>
  <c r="BS31" i="1"/>
  <c r="BL42" i="1"/>
  <c r="BN42" i="1" s="1"/>
  <c r="BS29" i="1"/>
  <c r="BS32" i="1"/>
  <c r="BO32" i="1"/>
  <c r="BQ32" i="1" s="1"/>
  <c r="BS37" i="1"/>
  <c r="BS46" i="1"/>
  <c r="BS42" i="1"/>
  <c r="BS6" i="1"/>
  <c r="BO15" i="1"/>
  <c r="BQ15" i="1" s="1"/>
  <c r="W5" i="1"/>
  <c r="BL5" i="1" s="1"/>
  <c r="W20" i="1"/>
  <c r="BL20" i="1" s="1"/>
  <c r="W29" i="1"/>
  <c r="BL29" i="1" s="1"/>
  <c r="BS47" i="1"/>
  <c r="BO35" i="1"/>
  <c r="BQ35" i="1" s="1"/>
  <c r="W7" i="1"/>
  <c r="BL7" i="1" s="1"/>
  <c r="W8" i="1"/>
  <c r="BL8" i="1" s="1"/>
  <c r="BN8" i="1" s="1"/>
  <c r="BO17" i="1"/>
  <c r="BQ17" i="1" s="1"/>
  <c r="BS9" i="1"/>
  <c r="BS38" i="1"/>
  <c r="BO4" i="1"/>
  <c r="BQ4" i="1" s="1"/>
  <c r="BO46" i="1"/>
  <c r="BQ46" i="1" s="1"/>
  <c r="W15" i="1"/>
  <c r="BL15" i="1" s="1"/>
  <c r="BO36" i="1"/>
  <c r="BQ36" i="1" s="1"/>
  <c r="BS40" i="1"/>
  <c r="BO3" i="1"/>
  <c r="BQ3" i="1" s="1"/>
  <c r="BO14" i="1"/>
  <c r="BQ14" i="1" s="1"/>
  <c r="BO13" i="1"/>
  <c r="BQ13" i="1" s="1"/>
  <c r="BS41" i="1"/>
  <c r="BO9" i="1"/>
  <c r="BQ9" i="1" s="1"/>
  <c r="BO11" i="1"/>
  <c r="BQ11" i="1" s="1"/>
  <c r="BO5" i="1"/>
  <c r="BQ5" i="1" s="1"/>
  <c r="BS7" i="1"/>
  <c r="BO44" i="1"/>
  <c r="BQ44" i="1" s="1"/>
  <c r="W26" i="1"/>
  <c r="BL26" i="1" s="1"/>
  <c r="W47" i="1"/>
  <c r="BL47" i="1" s="1"/>
  <c r="BS5" i="1"/>
  <c r="BO30" i="1"/>
  <c r="BQ30" i="1" s="1"/>
  <c r="BO27" i="1"/>
  <c r="BQ27" i="1" s="1"/>
  <c r="BO34" i="1"/>
  <c r="BQ34" i="1" s="1"/>
  <c r="BS39" i="1"/>
  <c r="BO43" i="1"/>
  <c r="BQ43" i="1" s="1"/>
  <c r="BS36" i="1"/>
  <c r="BS28" i="1"/>
  <c r="BS10" i="1"/>
  <c r="BS24" i="1"/>
  <c r="W25" i="1"/>
  <c r="BL25" i="1" s="1"/>
  <c r="BO25" i="1"/>
  <c r="BQ25" i="1" s="1"/>
  <c r="BO19" i="1"/>
  <c r="BQ19" i="1" s="1"/>
  <c r="BO21" i="1"/>
  <c r="BQ21" i="1" s="1"/>
  <c r="BS3" i="1"/>
  <c r="BO7" i="1"/>
  <c r="BQ7" i="1" s="1"/>
  <c r="BS11" i="1"/>
  <c r="W19" i="1"/>
  <c r="BL19" i="1" s="1"/>
  <c r="W31" i="1"/>
  <c r="BL31" i="1" s="1"/>
  <c r="BO37" i="1"/>
  <c r="BQ37" i="1" s="1"/>
  <c r="BO8" i="1"/>
  <c r="BQ8" i="1" s="1"/>
  <c r="BO23" i="1"/>
  <c r="BQ23" i="1" s="1"/>
  <c r="BO16" i="1"/>
  <c r="BQ16" i="1" s="1"/>
  <c r="BO26" i="1"/>
  <c r="BQ26" i="1" s="1"/>
  <c r="BO40" i="1"/>
  <c r="BQ40" i="1" s="1"/>
  <c r="BO38" i="1"/>
  <c r="BQ38" i="1" s="1"/>
  <c r="BO45" i="1"/>
  <c r="BQ45" i="1" s="1"/>
  <c r="BS21" i="1"/>
  <c r="BO10" i="1"/>
  <c r="BQ10" i="1" s="1"/>
  <c r="BO28" i="1"/>
  <c r="BQ28" i="1" s="1"/>
  <c r="BS25" i="1"/>
  <c r="BO6" i="1"/>
  <c r="BQ6" i="1" s="1"/>
  <c r="BO47" i="1"/>
  <c r="BQ47" i="1" s="1"/>
  <c r="BO31" i="1"/>
  <c r="BQ31" i="1" s="1"/>
  <c r="BO12" i="1"/>
  <c r="BQ12" i="1" s="1"/>
  <c r="BO41" i="1"/>
  <c r="BQ41" i="1" s="1"/>
  <c r="BS19" i="1"/>
  <c r="BO33" i="1"/>
  <c r="BQ33" i="1" s="1"/>
  <c r="W43" i="1"/>
  <c r="BL43" i="1" s="1"/>
  <c r="BL46" i="1"/>
  <c r="BO24" i="1"/>
  <c r="BQ24" i="1" s="1"/>
  <c r="BO42" i="1"/>
  <c r="BQ42" i="1" s="1"/>
  <c r="BS17" i="1"/>
  <c r="BS4" i="1"/>
  <c r="W44" i="1"/>
  <c r="BL44" i="1" s="1"/>
  <c r="BS23" i="1"/>
  <c r="BS12" i="1"/>
  <c r="W24" i="1"/>
  <c r="BL24" i="1" s="1"/>
  <c r="BO39" i="1"/>
  <c r="BQ39" i="1" s="1"/>
  <c r="BS35" i="1"/>
  <c r="BL40" i="1"/>
  <c r="BR7" i="1" l="1"/>
  <c r="BT7" i="1" s="1"/>
  <c r="BN7" i="1"/>
  <c r="BR15" i="1"/>
  <c r="BT15" i="1" s="1"/>
  <c r="BN15" i="1"/>
  <c r="BR12" i="1"/>
  <c r="BT12" i="1" s="1"/>
  <c r="BR9" i="1"/>
  <c r="BT9" i="1" s="1"/>
  <c r="BR34" i="1"/>
  <c r="BT34" i="1" s="1"/>
  <c r="BR35" i="1"/>
  <c r="BT35" i="1" s="1"/>
  <c r="BR13" i="1"/>
  <c r="BT13" i="1" s="1"/>
  <c r="BR38" i="1"/>
  <c r="BT38" i="1" s="1"/>
  <c r="BN44" i="1"/>
  <c r="BR44" i="1"/>
  <c r="BT44" i="1" s="1"/>
  <c r="BN24" i="1"/>
  <c r="BR24" i="1"/>
  <c r="BT24" i="1" s="1"/>
  <c r="BN11" i="1"/>
  <c r="BR11" i="1"/>
  <c r="BT11" i="1" s="1"/>
  <c r="BR4" i="1"/>
  <c r="BT4" i="1" s="1"/>
  <c r="BN4" i="1"/>
  <c r="BN28" i="1"/>
  <c r="BR28" i="1"/>
  <c r="BT28" i="1" s="1"/>
  <c r="BN29" i="1"/>
  <c r="BR29" i="1"/>
  <c r="BT29" i="1" s="1"/>
  <c r="BR18" i="1"/>
  <c r="BT18" i="1" s="1"/>
  <c r="BN18" i="1"/>
  <c r="BR32" i="1"/>
  <c r="BT32" i="1" s="1"/>
  <c r="BN32" i="1"/>
  <c r="BR10" i="1"/>
  <c r="BT10" i="1" s="1"/>
  <c r="BN10" i="1"/>
  <c r="BR26" i="1"/>
  <c r="BT26" i="1" s="1"/>
  <c r="BN26" i="1"/>
  <c r="BR17" i="1"/>
  <c r="BT17" i="1" s="1"/>
  <c r="BN17" i="1"/>
  <c r="BN40" i="1"/>
  <c r="BR40" i="1"/>
  <c r="BT40" i="1" s="1"/>
  <c r="BR43" i="1"/>
  <c r="BT43" i="1" s="1"/>
  <c r="BN43" i="1"/>
  <c r="BR46" i="1"/>
  <c r="BT46" i="1" s="1"/>
  <c r="BN46" i="1"/>
  <c r="BR5" i="1"/>
  <c r="BT5" i="1" s="1"/>
  <c r="BN5" i="1"/>
  <c r="BN39" i="1"/>
  <c r="BR39" i="1"/>
  <c r="BT39" i="1" s="1"/>
  <c r="BN36" i="1"/>
  <c r="BR36" i="1"/>
  <c r="BT36" i="1" s="1"/>
  <c r="BN21" i="1"/>
  <c r="BR21" i="1"/>
  <c r="BT21" i="1" s="1"/>
  <c r="BR45" i="1"/>
  <c r="BT45" i="1" s="1"/>
  <c r="BN45" i="1"/>
  <c r="BR25" i="1"/>
  <c r="BT25" i="1" s="1"/>
  <c r="BN25" i="1"/>
  <c r="BN27" i="1"/>
  <c r="BR27" i="1"/>
  <c r="BT27" i="1" s="1"/>
  <c r="BR20" i="1"/>
  <c r="BT20" i="1" s="1"/>
  <c r="BN20" i="1"/>
  <c r="BR37" i="1"/>
  <c r="BT37" i="1" s="1"/>
  <c r="BN37" i="1"/>
  <c r="BR42" i="1"/>
  <c r="BT42" i="1" s="1"/>
  <c r="BR8" i="1"/>
  <c r="BT8" i="1" s="1"/>
  <c r="BN47" i="1"/>
  <c r="BR47" i="1"/>
  <c r="BT47" i="1" s="1"/>
  <c r="BR3" i="1"/>
  <c r="BT3" i="1" s="1"/>
  <c r="BN3" i="1"/>
  <c r="BR6" i="1"/>
  <c r="BT6" i="1" s="1"/>
  <c r="BN6" i="1"/>
  <c r="BR16" i="1"/>
  <c r="BT16" i="1" s="1"/>
  <c r="BN16" i="1"/>
  <c r="BR19" i="1"/>
  <c r="BT19" i="1" s="1"/>
  <c r="BN19" i="1"/>
  <c r="BR41" i="1"/>
  <c r="BT41" i="1" s="1"/>
  <c r="BN41" i="1"/>
  <c r="BR33" i="1"/>
  <c r="BT33" i="1" s="1"/>
  <c r="BN33" i="1"/>
  <c r="BR23" i="1"/>
  <c r="BT23" i="1" s="1"/>
  <c r="BR14" i="1"/>
  <c r="BT14" i="1" s="1"/>
  <c r="BN14" i="1"/>
  <c r="BN31" i="1"/>
  <c r="BR31" i="1"/>
  <c r="BT31" i="1" s="1"/>
  <c r="BR30" i="1"/>
  <c r="BT30" i="1" s="1"/>
  <c r="BN30" i="1"/>
  <c r="BU33" i="1" l="1"/>
  <c r="BV33" i="1"/>
  <c r="BV27" i="1"/>
  <c r="BU27" i="1"/>
  <c r="BV43" i="1"/>
  <c r="BU43" i="1"/>
  <c r="BV40" i="1"/>
  <c r="BU40" i="1"/>
  <c r="BU19" i="1"/>
  <c r="BV19" i="1"/>
  <c r="BV26" i="1"/>
  <c r="BU26" i="1"/>
  <c r="BU32" i="1"/>
  <c r="BV32" i="1"/>
  <c r="BU20" i="1"/>
  <c r="BV20" i="1"/>
  <c r="BV4" i="1"/>
  <c r="BU4" i="1"/>
  <c r="BV11" i="1"/>
  <c r="BU11" i="1"/>
  <c r="BV41" i="1"/>
  <c r="BU41" i="1"/>
  <c r="BV24" i="1"/>
  <c r="BU24" i="1"/>
  <c r="BV25" i="1"/>
  <c r="BU25" i="1"/>
  <c r="BU17" i="1"/>
  <c r="BV17" i="1"/>
  <c r="BV44" i="1"/>
  <c r="BU44" i="1"/>
  <c r="BU16" i="1"/>
  <c r="BV16" i="1"/>
  <c r="BV45" i="1"/>
  <c r="BU45" i="1"/>
  <c r="BU21" i="1"/>
  <c r="BV21" i="1"/>
  <c r="BU38" i="1"/>
  <c r="BV38" i="1"/>
  <c r="BV6" i="1"/>
  <c r="BU6" i="1"/>
  <c r="BU10" i="1"/>
  <c r="BV10" i="1"/>
  <c r="BU13" i="1"/>
  <c r="BV13" i="1"/>
  <c r="BU36" i="1"/>
  <c r="BV36" i="1"/>
  <c r="BU35" i="1"/>
  <c r="BV35" i="1"/>
  <c r="BV3" i="1"/>
  <c r="BU3" i="1"/>
  <c r="BU34" i="1"/>
  <c r="BV34" i="1"/>
  <c r="BV30" i="1"/>
  <c r="BU30" i="1"/>
  <c r="BV47" i="1"/>
  <c r="BU47" i="1"/>
  <c r="BU39" i="1"/>
  <c r="BV39" i="1"/>
  <c r="BV9" i="1"/>
  <c r="BU9" i="1"/>
  <c r="BU31" i="1"/>
  <c r="BV31" i="1"/>
  <c r="BU18" i="1"/>
  <c r="BV18" i="1"/>
  <c r="BV12" i="1"/>
  <c r="BU12" i="1"/>
  <c r="BV8" i="1"/>
  <c r="BU8" i="1"/>
  <c r="BV29" i="1"/>
  <c r="BU29" i="1"/>
  <c r="BV42" i="1"/>
  <c r="BU42" i="1"/>
  <c r="BV5" i="1"/>
  <c r="BU5" i="1"/>
  <c r="BU15" i="1"/>
  <c r="BV15" i="1"/>
  <c r="BU14" i="1"/>
  <c r="BV14" i="1"/>
  <c r="BV28" i="1"/>
  <c r="BU28" i="1"/>
  <c r="BV23" i="1"/>
  <c r="BU23" i="1"/>
  <c r="BV37" i="1"/>
  <c r="BU37" i="1"/>
  <c r="BV46" i="1"/>
  <c r="BU46" i="1"/>
  <c r="BV7" i="1"/>
  <c r="BU7" i="1"/>
</calcChain>
</file>

<file path=xl/sharedStrings.xml><?xml version="1.0" encoding="utf-8"?>
<sst xmlns="http://schemas.openxmlformats.org/spreadsheetml/2006/main" count="404" uniqueCount="248">
  <si>
    <t>NO</t>
  </si>
  <si>
    <t>NAMA MAHASISWA</t>
  </si>
  <si>
    <t>NIM</t>
  </si>
  <si>
    <t>PROGRAM</t>
  </si>
  <si>
    <t>PPKD</t>
  </si>
  <si>
    <t>PPKMB</t>
  </si>
  <si>
    <t>PPKA</t>
  </si>
  <si>
    <t>PPKM</t>
  </si>
  <si>
    <t>PPKKJ</t>
  </si>
  <si>
    <t>PPKML</t>
  </si>
  <si>
    <t>JN</t>
  </si>
  <si>
    <t>JB</t>
  </si>
  <si>
    <t>IPS</t>
  </si>
  <si>
    <t>PPMK</t>
  </si>
  <si>
    <t>PPKGK</t>
  </si>
  <si>
    <t>PPKG</t>
  </si>
  <si>
    <t>PPKKK</t>
  </si>
  <si>
    <t>KARYA ILMIAH AKHIR (KIAN)</t>
  </si>
  <si>
    <t>TOTAL</t>
  </si>
  <si>
    <t>I.P.K</t>
  </si>
  <si>
    <t>NILAI</t>
  </si>
  <si>
    <t>LMB</t>
  </si>
  <si>
    <t>MUTU</t>
  </si>
  <si>
    <t>SKS</t>
  </si>
  <si>
    <t>JML</t>
  </si>
  <si>
    <t>BOBOT</t>
  </si>
  <si>
    <t>Non Reguler</t>
  </si>
  <si>
    <t>Aminah</t>
  </si>
  <si>
    <t>Asmarita</t>
  </si>
  <si>
    <t>Dayang Subarsih</t>
  </si>
  <si>
    <t>Emira Sakia</t>
  </si>
  <si>
    <t>Fairus Ardana</t>
  </si>
  <si>
    <t>Flora Napitupulu</t>
  </si>
  <si>
    <t>Haryani</t>
  </si>
  <si>
    <t>Januardi</t>
  </si>
  <si>
    <t>Juniyati</t>
  </si>
  <si>
    <t>M Intan Kuswara</t>
  </si>
  <si>
    <t>Maisyarah</t>
  </si>
  <si>
    <t>Mardiah</t>
  </si>
  <si>
    <t>Masni</t>
  </si>
  <si>
    <t>Nofi Ilmayanti</t>
  </si>
  <si>
    <t>Nora Agustina Sinurat</t>
  </si>
  <si>
    <t>Nur Azizah</t>
  </si>
  <si>
    <t>Putri Nurfitafera</t>
  </si>
  <si>
    <t>Ratmi Hayati</t>
  </si>
  <si>
    <t>Rina Hastuti</t>
  </si>
  <si>
    <t>Rismina Simarmata</t>
  </si>
  <si>
    <t>Sarimawati</t>
  </si>
  <si>
    <t>Siti Zaharah</t>
  </si>
  <si>
    <t>Sofia Kartika</t>
  </si>
  <si>
    <t>Sri Astika Fera</t>
  </si>
  <si>
    <t>Sri Dayanti</t>
  </si>
  <si>
    <t>Syahwandi</t>
  </si>
  <si>
    <t>Taslikah</t>
  </si>
  <si>
    <t>Welsy Irranida</t>
  </si>
  <si>
    <t>Winda Angesia</t>
  </si>
  <si>
    <t>Yani Ekasari</t>
  </si>
  <si>
    <t>Zareni</t>
  </si>
  <si>
    <t>Harnacalis</t>
  </si>
  <si>
    <t>Dwi Novelia Adesthy</t>
  </si>
  <si>
    <t>Fitriyani</t>
  </si>
  <si>
    <t>Julia</t>
  </si>
  <si>
    <t>Jumiyati</t>
  </si>
  <si>
    <t>Mendi Melyani</t>
  </si>
  <si>
    <t>Shanti Marta Edison</t>
  </si>
  <si>
    <t>B</t>
  </si>
  <si>
    <t>Tenri Halia</t>
  </si>
  <si>
    <t>Vera Kurniawaty</t>
  </si>
  <si>
    <t>Fitra Syahriandi</t>
  </si>
  <si>
    <t>Fitri Yanto</t>
  </si>
  <si>
    <t>Hazlini</t>
  </si>
  <si>
    <t>Meiry Yunidarti</t>
  </si>
  <si>
    <t>Prianto Ansyori</t>
  </si>
  <si>
    <t>Tempat Lahir</t>
  </si>
  <si>
    <t>Tanggal Lahir</t>
  </si>
  <si>
    <t>Tanggal Lulus</t>
  </si>
  <si>
    <t>No Transkip</t>
  </si>
  <si>
    <t>Predikat</t>
  </si>
  <si>
    <t>Predikat Inggris</t>
  </si>
  <si>
    <t>Judul</t>
  </si>
  <si>
    <t>Simpang Empat</t>
  </si>
  <si>
    <t xml:space="preserve"> 10 April 1980</t>
  </si>
  <si>
    <t>Selat Panjang</t>
  </si>
  <si>
    <t>10 Oktober 1981</t>
  </si>
  <si>
    <t>Tanjungbatu</t>
  </si>
  <si>
    <t>04 Juni 1982</t>
  </si>
  <si>
    <t>Dusun Baru</t>
  </si>
  <si>
    <t>20 Maret 1991</t>
  </si>
  <si>
    <t>01 Agustus 1986</t>
  </si>
  <si>
    <t>Tanjung Pinang</t>
  </si>
  <si>
    <t>13 Januari 1983</t>
  </si>
  <si>
    <t>Bayat</t>
  </si>
  <si>
    <t>02 September 1992</t>
  </si>
  <si>
    <t>Tambelan</t>
  </si>
  <si>
    <t>15 Januari 1986</t>
  </si>
  <si>
    <t>Dabo Singkep</t>
  </si>
  <si>
    <t>02 November 1988</t>
  </si>
  <si>
    <t>Bengkalis</t>
  </si>
  <si>
    <t xml:space="preserve"> 02 Juli 1981</t>
  </si>
  <si>
    <t>Dabo</t>
  </si>
  <si>
    <t xml:space="preserve"> 11 Oktober 1985</t>
  </si>
  <si>
    <t>Kote</t>
  </si>
  <si>
    <t>07 Juli 1987</t>
  </si>
  <si>
    <t>20 Mei 1982</t>
  </si>
  <si>
    <t xml:space="preserve"> 17 Mei 1988</t>
  </si>
  <si>
    <t>Kuala Patah Parang</t>
  </si>
  <si>
    <t xml:space="preserve"> 07 Juli 1984</t>
  </si>
  <si>
    <t>Daik</t>
  </si>
  <si>
    <t>02 Juni 1982</t>
  </si>
  <si>
    <t xml:space="preserve"> 30 Mei 1982</t>
  </si>
  <si>
    <t>01 Februari 1987</t>
  </si>
  <si>
    <t>23 Mei 2025</t>
  </si>
  <si>
    <t>7 November 2025</t>
  </si>
  <si>
    <t>Tebang</t>
  </si>
  <si>
    <t>31 Juli 1987</t>
  </si>
  <si>
    <t>Magelang</t>
  </si>
  <si>
    <t>16 Mei 1975</t>
  </si>
  <si>
    <t>Tarempa</t>
  </si>
  <si>
    <t>17 Januari 1980</t>
  </si>
  <si>
    <t>11 Maret 1988</t>
  </si>
  <si>
    <t>Tanjung Kumbik</t>
  </si>
  <si>
    <t>21 Maret 1984</t>
  </si>
  <si>
    <t>Mengkait</t>
  </si>
  <si>
    <t>20 Mei 1991</t>
  </si>
  <si>
    <t>22 November 1992</t>
  </si>
  <si>
    <t>18 November 1989</t>
  </si>
  <si>
    <t>Putik</t>
  </si>
  <si>
    <t>10 Oktober 1989</t>
  </si>
  <si>
    <t>Johor Baru Malaysia</t>
  </si>
  <si>
    <t>17 Mei 1993</t>
  </si>
  <si>
    <t>Letung</t>
  </si>
  <si>
    <t xml:space="preserve"> 23 Mei 1985</t>
  </si>
  <si>
    <t>Padang</t>
  </si>
  <si>
    <t>19 Juni 1991</t>
  </si>
  <si>
    <t>Solok</t>
  </si>
  <si>
    <t>28 Maret 1984</t>
  </si>
  <si>
    <t>28 Agustus 1987</t>
  </si>
  <si>
    <t>20 Oktober 1988</t>
  </si>
  <si>
    <t>Simpang Jambi</t>
  </si>
  <si>
    <t>17 November 1986</t>
  </si>
  <si>
    <t>15 Oktober 1994</t>
  </si>
  <si>
    <t>Sungai Ungar</t>
  </si>
  <si>
    <t>06 April 1991</t>
  </si>
  <si>
    <t>Bandar Lampung</t>
  </si>
  <si>
    <t>25 November 1988</t>
  </si>
  <si>
    <t>04 Oktober 1969</t>
  </si>
  <si>
    <t>Kuala Tungkal</t>
  </si>
  <si>
    <t>30 Januari 1981</t>
  </si>
  <si>
    <t xml:space="preserve">Nyamuk </t>
  </si>
  <si>
    <t>12 Juni 1990</t>
  </si>
  <si>
    <t>Payalaman</t>
  </si>
  <si>
    <t>12 desember 1987</t>
  </si>
  <si>
    <t>Senayang</t>
  </si>
  <si>
    <t>05 April 1999</t>
  </si>
  <si>
    <t>22 Februari 1987</t>
  </si>
  <si>
    <t>Asuhan Keperawatan Nyeri Akut Pada Ny.Y Dengan Cholelitiasis Dan Penerapan Guided Imagery Di Rsud Palmatak Kepulauan Anambas Tahun 2023</t>
  </si>
  <si>
    <t>Asuhan Keperawatan Nyeri Kronis Pada Tn. A Dengan Hipertensi Dan Penerapan Terapi Hipnotis Lima Jari Di Wilayah Kerja Puskesmas Palmatak Tahun 2024</t>
  </si>
  <si>
    <t>Asuhan Keperawatan Hipovolemia Pada An. D Dengan Gastroenteritis Dan Penerapan Pemberian Madu Dan Oralit Di Ruang Anak Rsud Tarempa</t>
  </si>
  <si>
    <t>Asuhan Keperawatan Keluarga Tn. A Pada Ny. P Dengan Hipertensi Dengan Pemberian Terapi Rebusan Daun Kelor (Moringa Oleifera) Di Desa Bukit Padi Kecamatan Jemaja Timur Tahun 2024</t>
  </si>
  <si>
    <t>Asuhan Keperawatan Risiko Perfusi Jaringan Cerebral Tidak Efektif Pada Tn A Dengan Cedera Kepala Ringan Dan Penerapan Terapi Slow Deep Breathing Di Igd Rsud Tarempa Tahun 2024</t>
  </si>
  <si>
    <t>Asuhan Keperawatan Gangguan Mobilitas Fisik Pada Tn.D Dengan Stroke Non Hemoragik Dan Penerapan Terapi Range Of Motion Pasif Di Ruang Rawat Inap Rumah Sakit Umum Daerah Tarempa Tahun 2023</t>
  </si>
  <si>
    <t>Asuhan Keperawatan Ketidakstabilan Kadar Gula Darah Pada Ny. I Dengan Diabetes Melitus Dan Penerapan Senam Kaki Di Puskesmas Palmatak Tahun 2024</t>
  </si>
  <si>
    <t>Asuhan Keperawatan Nyeri Akut Pada Ny. E Dengan Hipertensi Dan Penerapan Rendam Kaki Dengan Air Hangat Di Desa Ladan Kecamatan Palmatak Tahun 2024</t>
  </si>
  <si>
    <t>Asuhan Keperawatan Perfusi Perifer Tidak Efektif Pada Ny. H Dengan Hipertensi Dan Penerapan Terapi Rendam Kaki Dengan Air Hangat Di Desa Tebang Kecamatan Palmatak Tahun 2024</t>
  </si>
  <si>
    <t>Asuhan Keperawatan Bersihan Jalan Nafas Tidak Efektif Pada An.F Dengan Bronkopneumonia Dan Penerapan Postural Drainage, Clapping Dan Batuk Efektif Di Ruang Anak Rsud Tarempa Tahun 2024</t>
  </si>
  <si>
    <t>Asuhan Keperawatan Nyeri Akut Pada Tn.A Dengan Low Back Pain Dan Penerapan Terapi Relaksasi Benson Di Ruang Rawat Inap Laki-Laki Rsud Tarempa</t>
  </si>
  <si>
    <t>Asuhan Keperawatan Hipovolemia Pada An. F Dengan Dengue Haemorragic Fever (Dhf) Dan Penerapan Edukasi Pemberian Cairan Di Rsud Tarempa</t>
  </si>
  <si>
    <t>Asuhan Keperawatan Pola Nafas Tidak Efektif Pada Ny. S Dengan Status Asmatikus Dan Penerapan Pernapasan Buteyko Di Igd Rsud Palmatak Tahun 2024</t>
  </si>
  <si>
    <t>Asuhan Keperawatan Resiko Perfusi Serebral Tidak Efektif Pada Ny. Y Dengan Hipertensi Dan Penerapan Rebusan Daun Sirih Di Desa Tarempa Timur Wilayah Kerja Puskesmas Tarempa Tahun 2024</t>
  </si>
  <si>
    <t>Asuhan Keperawatan Nyeri Pada Ny.R Dengan Hipertensi Dan Penerapan Jus Semangka Di Desa Tarempa Timur</t>
  </si>
  <si>
    <t>Asuhan Keperawatan Nyeri Akut Pada Pasien Ny. N Dengan Post Operasi Apendiktomi Dan Penerapan Teknik Relaksasi Benson Di Ruang Rawat Inap Wanita Rsud Palmatak Tahun 2023</t>
  </si>
  <si>
    <t>Asuhan Keperawatan Penurunan Curah Jantung Pada Ny.S Dengan Diagnosa Medis Hipertensi Dan Penerapan Pemberian Jus Timun Di Wilayah Kerja Puskesmas Jemaja Timur</t>
  </si>
  <si>
    <t>Asuhan Keperawatan Nyeri Kronis Pada Ny.M Dengan Osteoarhtritis Dan Penerapan Latihan Range Of Motio (Rom) Di Desa Ladan Kecamatan Palmatak Tahun 2024</t>
  </si>
  <si>
    <t>Penerapan Timbang Terima Menggunakan Teknik Komunikasi Sbar Terhadap Keselamatan Pasien Diruang Rawat Inap Rsud Palmatak Tahun 2024</t>
  </si>
  <si>
    <t>Asuhan Keperawatan Nyeri Akut Pada Ny. N Dengan Hipertensi Dan Penerapan Terapi Akupresure Di Desa Ladan Kecamatan Palmatak Tahun 2024</t>
  </si>
  <si>
    <t>Asuhan Keperawatan Hipertermia Pada An. M Dengan Hiperpireksia Dan Penerapan Kompres Air Hangat Di Ruang Anak Rsud Tarempa</t>
  </si>
  <si>
    <t>Asuhan Keperawatan Gangguan Integritas Kulit Pada Tn.A Dengan Diabetes Melitus Dan Penerapan Kompres Metronidazole Di Rsud Tarempa</t>
  </si>
  <si>
    <t>Asuhan Keperawatan Nyeri Akut Pada Ny. A Dengan Post Section Caesarea Dan Penerapan Teknik Relaksasi Effleurage Massage Di Rsud Palmatak Tahun 2023</t>
  </si>
  <si>
    <t>Penerapan Aromaterapi Oil Lemon Pada Ny R Dengan Hiperemesis Gravidarum (Heg) (Heg) Diruangan Rawat Kebidanan Puskesmas Jemaja Timur Tahun 2023</t>
  </si>
  <si>
    <t>Asuhan Keperawatan Nyeri Kronis Pada Ny. A Dengan Osteoatritis Dan Penerapan Latihan Range Of Motion (Rom) Aktif Di Desa Tarempa Timur, Wilayah Kerja Puskesmas Tarempa Tahun 2024</t>
  </si>
  <si>
    <t>Asuhan Keperawatan Nyeri Kronis Pada Tn. S Dengan Ca. Buli Dan Penerapan Teknik Relaksasi Terbimbing Di Ruang Rawat Inap Laki-Laki Rsud Tarempa Tahun 2023</t>
  </si>
  <si>
    <t>Asuhan Keperawatan Nyeri Akut Pada Ny. I Dengan Post Sectio Caesarea Dan Penerapan Terapi Relaksasi Benson Di Ruang Rawat Inap Kebidanan Rsud Palmatak</t>
  </si>
  <si>
    <t>Asuhan Keperawatan Ketidakstabilan Kadar Glukosa Darah Pada Ny. J Dengan Diabetes Mellitus Dan Penerapan Terapi Dzikir Di Ruang Zaal Wanita Rsud Dabo Tahun 2023</t>
  </si>
  <si>
    <t>Asuhan Keperawatan Nyeri Akut Pada Nn. J Asdengan Post Appendictomy Dan Penerapan Relaksasi Benson Di Rsud Dabo Tahun 2023</t>
  </si>
  <si>
    <t>Asuhan Keperawatan Nyeri Kronis Pada Ny. A Dengan Ca Mamae Dan Penerapan Teknik Relaksasi Benson Di Ruang Rawat Inap Zall Wanita Rsud Dabo Tahun 2023</t>
  </si>
  <si>
    <t>Asuhan Keperawatan Bersihan Jalan Napas Tidak Efektif Pada Tn. Y Dengan Ppok Dan Penerapan Pursed Lip Breathing Di Ruang Rawat Inap Zall Laki Rsud Dabo Tahun 2023</t>
  </si>
  <si>
    <t>Asuhan Keperawatan Nyeri Akut Pada Tn. A Dengan Hernioraphy Dan Penerapan Tehnik Relaksasi Genggam Jari Di Rsud Dabo Tahun 2023</t>
  </si>
  <si>
    <t>Asuhan Keperawatan Nyeri Akut Pada Ny. H Dengan Post Op Hemoroidektomi Dan Penerapan Kompres Dingin Di Ruang Zaal Wanita Rsud Dabo Tahun 2023</t>
  </si>
  <si>
    <t>Asuhan Keperawatan Bersihan Jalan Napas Tidak Efektif Pada An. A Dan Implementasi Terapi Uap Air Panas Dan Minyak Kayu Putih Di Ruang Anak Rsud Dabo</t>
  </si>
  <si>
    <t>Asuhan Keperawatan Nyeri Pada Ny. M Dengan Post Op Sectio Caesarea Dan Penerapan Mobilisasi Dini Di Ruang Rawat Inap Songket Rsud Encik Mariyam Tahun 2024</t>
  </si>
  <si>
    <t>Asuhan Keperawatan Nyeri Akut Pada Ny. M Dengan Post Operasi Sectio Caesarea Dan Penerapan Aromaterapi Lavender Di Rsud Dabo Tahun 2023</t>
  </si>
  <si>
    <t>Penerapan Prinsip Hand Hygiene Di Ruangan Bedah Rumah Sakit Umum Daerah Dabo Tahun 2024</t>
  </si>
  <si>
    <t>Penerapan Pre dan Post Conference Keperawatan untuk Meningkatkan Mutu Asuhan Keperawatan di Ruang Rawat Inap RSUD Tarempa.</t>
  </si>
  <si>
    <t>22 Februari 1985</t>
  </si>
  <si>
    <t>Asuhan Keperawatan Gangguan Integeritas Kulit Pada An.A Dengan Luka Bakar Dan Penerapan Aloevera Di Paviliun Cindai Rsud Encik Maryam Kabupaten Lingga</t>
  </si>
  <si>
    <r>
      <t xml:space="preserve">Asuhan Keperawatan Bersihan Jalan Nafas Tidak Efektif Pada Tn. R Dengan Penerapan Batuk Efektif &amp; Teknik Pernafasan </t>
    </r>
    <r>
      <rPr>
        <i/>
        <sz val="11"/>
        <color theme="1"/>
        <rFont val="Arial"/>
        <family val="2"/>
      </rPr>
      <t>Pursed Lips Breathing</t>
    </r>
    <r>
      <rPr>
        <sz val="11"/>
        <color theme="1"/>
        <rFont val="Arial"/>
        <family val="2"/>
      </rPr>
      <t xml:space="preserve"> di Ruang Rawat Inap RSUD Palmatak</t>
    </r>
  </si>
  <si>
    <t>Asuhan Keperawatan Hipertermia Pada An. A Dengan Kejang Demam Dan Penerapan Kompres Bawang Merah Di Ruang Rawat Inap Anak RSUD Tarempa</t>
  </si>
  <si>
    <t>Kampung Juhar</t>
  </si>
  <si>
    <t xml:space="preserve">Terempa </t>
  </si>
  <si>
    <t>Asuhan Keperawatan Nyeri Akut Pada Ny S Dengan Hipertensi Dan Penerapan Rendaman Kurma Di Desa Tarempa Timur Kecamatan Siantan</t>
  </si>
  <si>
    <t>642 / 14 / XI / 2025</t>
  </si>
  <si>
    <t>641 / 14 / V / 2025</t>
  </si>
  <si>
    <t>643 / 14 / V / 2025</t>
  </si>
  <si>
    <t>644 / 14 / V / 2025</t>
  </si>
  <si>
    <t>645 / 14 / V / 2025</t>
  </si>
  <si>
    <t>646 / 14 / XI / 2025</t>
  </si>
  <si>
    <t>647 / 14 / XI / 2025</t>
  </si>
  <si>
    <t>648 / 14 / XI / 2025</t>
  </si>
  <si>
    <t>649 / 14 / V / 2025</t>
  </si>
  <si>
    <t>650 / 14 / V / 2025</t>
  </si>
  <si>
    <t>651 / 14 / XI / 2025</t>
  </si>
  <si>
    <t>652 / 14 / XI / 2025</t>
  </si>
  <si>
    <t>653 / 14 / XI / 2025</t>
  </si>
  <si>
    <t>657 / 14 / XI / 2025</t>
  </si>
  <si>
    <t>659 / 14 / XI / 2025</t>
  </si>
  <si>
    <t>662 / 14 / XI / 2025</t>
  </si>
  <si>
    <t>663 / 14 / XI / 2025</t>
  </si>
  <si>
    <t>664 / 14 / XI / 2025</t>
  </si>
  <si>
    <t>666 / 14 / XI / 2025</t>
  </si>
  <si>
    <t>668 / 14 / XI / 2025</t>
  </si>
  <si>
    <t>669 / 14 / XI / 2025</t>
  </si>
  <si>
    <t>672 / 14 / XI / 2025</t>
  </si>
  <si>
    <t>678 / 14 / XI / 2025</t>
  </si>
  <si>
    <t>654 / 14 / V/ 2025</t>
  </si>
  <si>
    <t>655 / 14 / V / 2025</t>
  </si>
  <si>
    <t>656 / 14 / V / 2025</t>
  </si>
  <si>
    <t>658 / 14 / V / 2025</t>
  </si>
  <si>
    <t>660 / 14 / V / 2025</t>
  </si>
  <si>
    <t>661 / 14 / V / 2025</t>
  </si>
  <si>
    <t>665 / 14 / V / 2025</t>
  </si>
  <si>
    <t>667 / 14 / V / 2025</t>
  </si>
  <si>
    <t>670 / 14 / V / 2025</t>
  </si>
  <si>
    <t>671 / 14 / V / 2025</t>
  </si>
  <si>
    <t>673 / 14 / V / 2025</t>
  </si>
  <si>
    <t>674 / 14 / V / 2025</t>
  </si>
  <si>
    <t>675 / 14 / V / 2025</t>
  </si>
  <si>
    <t>676 / 14 / V / 2025</t>
  </si>
  <si>
    <t>677 / 14 / V / 2025</t>
  </si>
  <si>
    <t>679 / 14 / V / 2025</t>
  </si>
  <si>
    <t>680 / 14 / V / 2025</t>
  </si>
  <si>
    <t>681 / 14 / V / 2025</t>
  </si>
  <si>
    <t>682 / 14 / V / 2025</t>
  </si>
  <si>
    <t>683 / 14 / V / 2025</t>
  </si>
  <si>
    <t>684 / 14 / V / 2025</t>
  </si>
  <si>
    <t>685 / 14 / V / 2025</t>
  </si>
  <si>
    <t>Asuhan Keperawatan Nyeri Akut Pada  Tn. M Dengan Gout Arthritis Dan Penerapan Kompres Hangat Jahe Merah Di Desa Tarempa Timur</t>
  </si>
  <si>
    <t>Asuhan Keperawatan Gangguan Tumbuh Kembang An.Er Dengan Stunting Pada Keluarga Tn.C Dan Penerapan Pijat Tui Na Di RT 01 RW 02 Kelurahan Raya Kecamatan Singkep Barat Tahun 2024</t>
  </si>
  <si>
    <t>Asuhan Keperawatan Halusinasi Pada Nn.L Dengan Skizofrenia Paranoid Dan Penerapan Strategi Pelaksanaan Halusinasi Di Wilayah Daik Lingga Tahun 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</si>
</sst>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>
      <alignment vertical="center"/>
    </xf>
  </cellStyleXfs>
  <cellXfs count="114">
    <xf numFmtId="0" fontId="0" fillId="0" borderId="0" xfId="0"/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2" fontId="9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2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1" applyFont="1" applyFill="1" applyBorder="1" applyAlignment="1">
      <alignment horizontal="center" vertical="center"/>
    </xf>
    <xf numFmtId="1" fontId="8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/>
    </xf>
    <xf numFmtId="2" fontId="9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2" borderId="1" xfId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13" borderId="1" xfId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14" borderId="1" xfId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8" fillId="9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3" fontId="1" fillId="3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7" fillId="10" borderId="1" xfId="2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2" fontId="8" fillId="13" borderId="1" xfId="0" applyNumberFormat="1" applyFont="1" applyFill="1" applyBorder="1" applyAlignment="1">
      <alignment horizontal="center" vertical="center"/>
    </xf>
    <xf numFmtId="1" fontId="9" fillId="14" borderId="1" xfId="0" applyNumberFormat="1" applyFont="1" applyFill="1" applyBorder="1" applyAlignment="1">
      <alignment horizontal="center" vertical="center"/>
    </xf>
    <xf numFmtId="2" fontId="6" fillId="13" borderId="1" xfId="0" applyNumberFormat="1" applyFont="1" applyFill="1" applyBorder="1" applyAlignment="1">
      <alignment horizontal="center" vertical="center"/>
    </xf>
    <xf numFmtId="2" fontId="1" fillId="13" borderId="1" xfId="0" applyNumberFormat="1" applyFont="1" applyFill="1" applyBorder="1" applyAlignment="1">
      <alignment horizontal="center" vertical="center"/>
    </xf>
    <xf numFmtId="2" fontId="1" fillId="11" borderId="1" xfId="0" applyNumberFormat="1" applyFont="1" applyFill="1" applyBorder="1" applyAlignment="1">
      <alignment horizontal="center" vertical="center"/>
    </xf>
    <xf numFmtId="2" fontId="10" fillId="13" borderId="1" xfId="0" applyNumberFormat="1" applyFont="1" applyFill="1" applyBorder="1" applyAlignment="1">
      <alignment horizontal="center" vertical="center"/>
    </xf>
    <xf numFmtId="2" fontId="8" fillId="11" borderId="1" xfId="0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3" xfId="1" xr:uid="{5F273EF1-5541-441A-8DE5-62991208470A}"/>
    <cellStyle name="Normal 4" xfId="2" xr:uid="{D0659AE5-5863-4979-863C-1F42190E1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1EAF-C86A-4A83-8BAB-B026E2D7004C}">
  <dimension ref="A1:BW47"/>
  <sheetViews>
    <sheetView tabSelected="1" zoomScaleNormal="100" workbookViewId="0">
      <pane xSplit="2" ySplit="2" topLeftCell="BJ21" activePane="bottomRight" state="frozen"/>
      <selection pane="topRight" activeCell="C1" sqref="C1"/>
      <selection pane="bottomLeft" activeCell="A3" sqref="A3"/>
      <selection pane="bottomRight" activeCell="B32" sqref="B32"/>
    </sheetView>
  </sheetViews>
  <sheetFormatPr defaultRowHeight="15" x14ac:dyDescent="0.25"/>
  <cols>
    <col min="1" max="1" width="8" customWidth="1"/>
    <col min="2" max="2" width="30.140625" customWidth="1"/>
    <col min="3" max="3" width="18" customWidth="1"/>
    <col min="4" max="4" width="20.28515625" customWidth="1"/>
    <col min="5" max="5" width="20.28515625" style="74" customWidth="1"/>
    <col min="6" max="6" width="24.42578125" style="77" customWidth="1"/>
    <col min="7" max="7" width="20.28515625" style="76" customWidth="1"/>
    <col min="8" max="8" width="20.28515625" customWidth="1"/>
    <col min="9" max="46" width="6.7109375" customWidth="1"/>
    <col min="47" max="47" width="8" customWidth="1"/>
    <col min="48" max="48" width="6.7109375" customWidth="1"/>
    <col min="49" max="49" width="8.140625" customWidth="1"/>
    <col min="50" max="53" width="6.7109375" customWidth="1"/>
    <col min="54" max="54" width="8.28515625" customWidth="1"/>
    <col min="55" max="63" width="6.7109375" customWidth="1"/>
    <col min="64" max="64" width="8.140625" customWidth="1"/>
    <col min="65" max="65" width="6.7109375" customWidth="1"/>
    <col min="66" max="66" width="8.28515625" customWidth="1"/>
    <col min="68" max="68" width="6.7109375" customWidth="1"/>
    <col min="69" max="69" width="8.85546875" customWidth="1"/>
    <col min="70" max="70" width="11.140625" customWidth="1"/>
    <col min="71" max="71" width="10" customWidth="1"/>
    <col min="72" max="72" width="13.42578125" customWidth="1"/>
    <col min="73" max="73" width="18.140625" customWidth="1"/>
    <col min="74" max="74" width="17.85546875" customWidth="1"/>
    <col min="75" max="75" width="27.28515625" customWidth="1"/>
  </cols>
  <sheetData>
    <row r="1" spans="1:75" ht="15.75" x14ac:dyDescent="0.25">
      <c r="A1" s="99" t="s">
        <v>0</v>
      </c>
      <c r="B1" s="99" t="s">
        <v>1</v>
      </c>
      <c r="C1" s="99" t="s">
        <v>2</v>
      </c>
      <c r="D1" s="99" t="s">
        <v>3</v>
      </c>
      <c r="E1" s="99" t="s">
        <v>73</v>
      </c>
      <c r="F1" s="112" t="s">
        <v>74</v>
      </c>
      <c r="G1" s="112" t="s">
        <v>75</v>
      </c>
      <c r="H1" s="99" t="s">
        <v>76</v>
      </c>
      <c r="I1" s="111" t="s">
        <v>4</v>
      </c>
      <c r="J1" s="111"/>
      <c r="K1" s="111"/>
      <c r="L1" s="111"/>
      <c r="M1" s="111"/>
      <c r="N1" s="110" t="s">
        <v>5</v>
      </c>
      <c r="O1" s="110"/>
      <c r="P1" s="110"/>
      <c r="Q1" s="110"/>
      <c r="R1" s="110"/>
      <c r="S1" s="101" t="s">
        <v>6</v>
      </c>
      <c r="T1" s="101"/>
      <c r="U1" s="101"/>
      <c r="V1" s="101"/>
      <c r="W1" s="101"/>
      <c r="X1" s="102" t="s">
        <v>7</v>
      </c>
      <c r="Y1" s="102"/>
      <c r="Z1" s="102"/>
      <c r="AA1" s="102"/>
      <c r="AB1" s="102"/>
      <c r="AC1" s="103" t="s">
        <v>8</v>
      </c>
      <c r="AD1" s="103"/>
      <c r="AE1" s="103"/>
      <c r="AF1" s="103"/>
      <c r="AG1" s="103"/>
      <c r="AH1" s="104" t="s">
        <v>9</v>
      </c>
      <c r="AI1" s="104"/>
      <c r="AJ1" s="104"/>
      <c r="AK1" s="104"/>
      <c r="AL1" s="104"/>
      <c r="AM1" s="106" t="s">
        <v>13</v>
      </c>
      <c r="AN1" s="106"/>
      <c r="AO1" s="106"/>
      <c r="AP1" s="106"/>
      <c r="AQ1" s="106"/>
      <c r="AR1" s="100" t="s">
        <v>14</v>
      </c>
      <c r="AS1" s="100"/>
      <c r="AT1" s="100"/>
      <c r="AU1" s="100"/>
      <c r="AV1" s="100"/>
      <c r="AW1" s="107" t="s">
        <v>15</v>
      </c>
      <c r="AX1" s="107"/>
      <c r="AY1" s="107"/>
      <c r="AZ1" s="107"/>
      <c r="BA1" s="107"/>
      <c r="BB1" s="108" t="s">
        <v>16</v>
      </c>
      <c r="BC1" s="108"/>
      <c r="BD1" s="108"/>
      <c r="BE1" s="108"/>
      <c r="BF1" s="108"/>
      <c r="BG1" s="109" t="s">
        <v>17</v>
      </c>
      <c r="BH1" s="109"/>
      <c r="BI1" s="109"/>
      <c r="BJ1" s="109"/>
      <c r="BK1" s="109"/>
      <c r="BL1" s="105" t="s">
        <v>10</v>
      </c>
      <c r="BM1" s="105" t="s">
        <v>11</v>
      </c>
      <c r="BN1" s="105" t="s">
        <v>12</v>
      </c>
      <c r="BO1" s="99" t="s">
        <v>10</v>
      </c>
      <c r="BP1" s="99" t="s">
        <v>11</v>
      </c>
      <c r="BQ1" s="99" t="s">
        <v>12</v>
      </c>
      <c r="BR1" s="2" t="s">
        <v>18</v>
      </c>
      <c r="BS1" s="2" t="s">
        <v>18</v>
      </c>
      <c r="BT1" s="100" t="s">
        <v>19</v>
      </c>
      <c r="BU1" s="98" t="s">
        <v>77</v>
      </c>
      <c r="BV1" s="98" t="s">
        <v>78</v>
      </c>
      <c r="BW1" s="98" t="s">
        <v>79</v>
      </c>
    </row>
    <row r="2" spans="1:75" ht="15.75" x14ac:dyDescent="0.25">
      <c r="A2" s="99"/>
      <c r="B2" s="99"/>
      <c r="C2" s="99"/>
      <c r="D2" s="99"/>
      <c r="E2" s="99"/>
      <c r="F2" s="112"/>
      <c r="G2" s="112"/>
      <c r="H2" s="99"/>
      <c r="I2" s="7" t="s">
        <v>20</v>
      </c>
      <c r="J2" s="6" t="s">
        <v>21</v>
      </c>
      <c r="K2" s="78" t="s">
        <v>22</v>
      </c>
      <c r="L2" s="6" t="s">
        <v>23</v>
      </c>
      <c r="M2" s="6" t="s">
        <v>24</v>
      </c>
      <c r="N2" s="9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79" t="s">
        <v>20</v>
      </c>
      <c r="T2" s="10" t="s">
        <v>21</v>
      </c>
      <c r="U2" s="10" t="s">
        <v>22</v>
      </c>
      <c r="V2" s="10" t="s">
        <v>23</v>
      </c>
      <c r="W2" s="10" t="s">
        <v>24</v>
      </c>
      <c r="X2" s="11" t="s">
        <v>20</v>
      </c>
      <c r="Y2" s="11" t="s">
        <v>21</v>
      </c>
      <c r="Z2" s="11" t="s">
        <v>22</v>
      </c>
      <c r="AA2" s="11" t="s">
        <v>23</v>
      </c>
      <c r="AB2" s="11" t="s">
        <v>24</v>
      </c>
      <c r="AC2" s="12" t="s">
        <v>20</v>
      </c>
      <c r="AD2" s="12" t="s">
        <v>21</v>
      </c>
      <c r="AE2" s="12" t="s">
        <v>22</v>
      </c>
      <c r="AF2" s="12" t="s">
        <v>23</v>
      </c>
      <c r="AG2" s="12" t="s">
        <v>24</v>
      </c>
      <c r="AH2" s="13" t="s">
        <v>20</v>
      </c>
      <c r="AI2" s="13" t="s">
        <v>21</v>
      </c>
      <c r="AJ2" s="13" t="s">
        <v>22</v>
      </c>
      <c r="AK2" s="13" t="s">
        <v>23</v>
      </c>
      <c r="AL2" s="13" t="s">
        <v>24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  <c r="AR2" s="3" t="s">
        <v>20</v>
      </c>
      <c r="AS2" s="3" t="s">
        <v>21</v>
      </c>
      <c r="AT2" s="3" t="s">
        <v>22</v>
      </c>
      <c r="AU2" s="3" t="s">
        <v>23</v>
      </c>
      <c r="AV2" s="3" t="s">
        <v>24</v>
      </c>
      <c r="AW2" s="4" t="s">
        <v>20</v>
      </c>
      <c r="AX2" s="4" t="s">
        <v>21</v>
      </c>
      <c r="AY2" s="4" t="s">
        <v>22</v>
      </c>
      <c r="AZ2" s="4" t="s">
        <v>23</v>
      </c>
      <c r="BA2" s="4" t="s">
        <v>24</v>
      </c>
      <c r="BB2" s="2" t="s">
        <v>20</v>
      </c>
      <c r="BC2" s="2" t="s">
        <v>21</v>
      </c>
      <c r="BD2" s="2" t="s">
        <v>22</v>
      </c>
      <c r="BE2" s="2" t="s">
        <v>23</v>
      </c>
      <c r="BF2" s="2" t="s">
        <v>24</v>
      </c>
      <c r="BG2" s="5" t="s">
        <v>20</v>
      </c>
      <c r="BH2" s="5" t="s">
        <v>21</v>
      </c>
      <c r="BI2" s="5" t="s">
        <v>22</v>
      </c>
      <c r="BJ2" s="5" t="s">
        <v>23</v>
      </c>
      <c r="BK2" s="5" t="s">
        <v>24</v>
      </c>
      <c r="BL2" s="105"/>
      <c r="BM2" s="105"/>
      <c r="BN2" s="105"/>
      <c r="BO2" s="99"/>
      <c r="BP2" s="99"/>
      <c r="BQ2" s="99"/>
      <c r="BR2" s="2" t="s">
        <v>20</v>
      </c>
      <c r="BS2" s="2" t="s">
        <v>25</v>
      </c>
      <c r="BT2" s="100"/>
      <c r="BU2" s="98"/>
      <c r="BV2" s="98"/>
      <c r="BW2" s="98"/>
    </row>
    <row r="3" spans="1:75" ht="15.75" x14ac:dyDescent="0.25">
      <c r="A3" s="16">
        <v>1</v>
      </c>
      <c r="B3" s="16" t="s">
        <v>27</v>
      </c>
      <c r="C3" s="16">
        <v>122314010</v>
      </c>
      <c r="D3" s="16" t="s">
        <v>26</v>
      </c>
      <c r="E3" s="95" t="s">
        <v>80</v>
      </c>
      <c r="F3" s="75" t="s">
        <v>81</v>
      </c>
      <c r="G3" s="75" t="s">
        <v>111</v>
      </c>
      <c r="H3" s="16" t="s">
        <v>201</v>
      </c>
      <c r="I3" s="17">
        <v>76</v>
      </c>
      <c r="J3" s="18" t="str">
        <f t="shared" ref="J3:J37" si="0">IF(I3&gt;=80,"A",IF(I3&gt;=75,"B+",IF(I3&gt;=70,"B",IF(I3&gt;=65,"C+",IF(I3&gt;=60,"C",IF(I3&gt;=55,"D",IF(I3&lt;55,"E")))))))</f>
        <v>B+</v>
      </c>
      <c r="K3" s="19">
        <f t="shared" ref="K3:K37" si="1">IF(J3="A",4,IF(J3="B+",3.5,IF(J3="B",3,IF(J3="C+",2.5,IF(J3="C",2,IF(J3="D",1,0))))))</f>
        <v>3.5</v>
      </c>
      <c r="L3" s="20">
        <v>2</v>
      </c>
      <c r="M3" s="21">
        <f t="shared" ref="M3:M37" si="2">K3*L3</f>
        <v>7</v>
      </c>
      <c r="N3" s="22">
        <v>75</v>
      </c>
      <c r="O3" s="23" t="str">
        <f t="shared" ref="O3:O37" si="3">IF(N3&gt;=80,"A",IF(N3&gt;=75,"B+",IF(N3&gt;=70,"B",IF(N3&gt;=65,"C+",IF(N3&gt;=60,"C",IF(N3&gt;=55,"D",IF(N3&lt;55,"E")))))))</f>
        <v>B+</v>
      </c>
      <c r="P3" s="24">
        <f t="shared" ref="P3:P37" si="4">IF(O3="A",4,IF(O3="B+",3.5,IF(O3="B",3,IF(O3="C+",2.5,IF(O3="C",2,IF(O3="D",1,0))))))</f>
        <v>3.5</v>
      </c>
      <c r="Q3" s="25">
        <v>6</v>
      </c>
      <c r="R3" s="26">
        <f t="shared" ref="R3:R38" si="5">P3*Q3</f>
        <v>21</v>
      </c>
      <c r="S3" s="27">
        <v>74.8</v>
      </c>
      <c r="T3" s="28" t="str">
        <f t="shared" ref="T3:T37" si="6">IF(S3&gt;=80,"A",IF(S3&gt;=75,"B+",IF(S3&gt;=70,"B",IF(S3&gt;=65,"C+",IF(S3&gt;=60,"C",IF(S3&gt;=55,"D",IF(S3&lt;55,"E")))))))</f>
        <v>B</v>
      </c>
      <c r="U3" s="29">
        <f t="shared" ref="U3:U38" si="7">IF(T3="A",4,IF(T3="B+",3.5,IF(T3="B",3,IF(T3="C+",2.5,IF(T3="C",2,IF(T3="D",1,0))))))</f>
        <v>3</v>
      </c>
      <c r="V3" s="30">
        <f>3</f>
        <v>3</v>
      </c>
      <c r="W3" s="31">
        <f t="shared" ref="W3:W38" si="8">U3*V3</f>
        <v>9</v>
      </c>
      <c r="X3" s="32">
        <v>74.8</v>
      </c>
      <c r="Y3" s="33" t="str">
        <f t="shared" ref="Y3:Y37" si="9">IF(X3&gt;=80,"A",IF(X3&gt;=75,"B+",IF(X3&gt;=70,"B",IF(X3&gt;=65,"C+",IF(X3&gt;=60,"C",IF(X3&gt;=55,"D",IF(X3&lt;55,"E")))))))</f>
        <v>B</v>
      </c>
      <c r="Z3" s="34">
        <f t="shared" ref="Z3:Z37" si="10">IF(Y3="A",4,IF(Y3="B+",3.5,IF(Y3="B",3,IF(Y3="C+",2.5,IF(Y3="C",2,IF(Y3="D",1,0))))))</f>
        <v>3</v>
      </c>
      <c r="AA3" s="35">
        <v>4</v>
      </c>
      <c r="AB3" s="36">
        <f t="shared" ref="AB3:AB37" si="11">Z3*AA3</f>
        <v>12</v>
      </c>
      <c r="AC3" s="37">
        <v>75</v>
      </c>
      <c r="AD3" s="38" t="str">
        <f t="shared" ref="AD3:AD37" si="12">IF(AC3&gt;=80,"A",IF(AC3&gt;=75,"B+",IF(AC3&gt;=70,"B",IF(AC3&gt;=65,"C+",IF(AC3&gt;=60,"C",IF(AC3&gt;=55,"D",IF(AC3&lt;55,"E")))))))</f>
        <v>B+</v>
      </c>
      <c r="AE3" s="39">
        <f t="shared" ref="AE3:AE37" si="13">IF(AD3="A",4,IF(AD3="B+",3.5,IF(AD3="B",3,IF(AD3="C+",2.5,IF(AD3="C",2,IF(AD3="D",1,0))))))</f>
        <v>3.5</v>
      </c>
      <c r="AF3" s="40">
        <v>3</v>
      </c>
      <c r="AG3" s="41">
        <f t="shared" ref="AG3:AG37" si="14">AE3*AF3</f>
        <v>10.5</v>
      </c>
      <c r="AH3" s="42">
        <v>77</v>
      </c>
      <c r="AI3" s="43" t="str">
        <f t="shared" ref="AI3:AI37" si="15">IF(AH3&gt;=80,"A",IF(AH3&gt;=75,"B+",IF(AH3&gt;=70,"B",IF(AH3&gt;=65,"C+",IF(AH3&gt;=60,"C",IF(AH3&gt;=55,"D",IF(AH3&lt;55,"E")))))))</f>
        <v>B+</v>
      </c>
      <c r="AJ3" s="44">
        <f t="shared" ref="AJ3:AJ37" si="16">IF(AI3="A",4,IF(AI3="B+",3.5,IF(AI3="B",3,IF(AI3="C+",2.5,IF(AI3="C",2,IF(AI3="D",1,0))))))</f>
        <v>3.5</v>
      </c>
      <c r="AK3" s="45">
        <v>2</v>
      </c>
      <c r="AL3" s="46">
        <f t="shared" ref="AL3:AL38" si="17">AJ3*AK3</f>
        <v>7</v>
      </c>
      <c r="AM3" s="80">
        <v>83.85</v>
      </c>
      <c r="AN3" s="49" t="str">
        <f t="shared" ref="AN3:AN38" si="18">IF(AM3&gt;=80,"A",IF(AM3&gt;=75,"B+",IF(AM3&gt;=70,"B",IF(AM3&gt;=65,"C+",IF(AM3&gt;=60,"C",IF(AM3&gt;=55,"D",IF(AM3&lt;55,"E")))))))</f>
        <v>A</v>
      </c>
      <c r="AO3" s="50">
        <f t="shared" ref="AO3:AO38" si="19">IF(AN3="A",4,IF(AN3="B+",3.5,IF(AN3="B",3,IF(AN3="C+",2.5,IF(AN3="C",2,IF(AN3="D",1,0))))))</f>
        <v>4</v>
      </c>
      <c r="AP3" s="81">
        <v>4</v>
      </c>
      <c r="AQ3" s="82">
        <f t="shared" ref="AQ3:AQ38" si="20">AO3*AP3</f>
        <v>16</v>
      </c>
      <c r="AR3" s="51">
        <v>79</v>
      </c>
      <c r="AS3" s="52" t="str">
        <f t="shared" ref="AS3:AS38" si="21">IF(AR3&gt;=80,"A",IF(AR3&gt;=75,"B+",IF(AR3&gt;=70,"B",IF(AR3&gt;=65,"C+",IF(AR3&gt;=60,"C",IF(AR3&gt;=55,"D",IF(AR3&lt;55,"E")))))))</f>
        <v>B+</v>
      </c>
      <c r="AT3" s="53">
        <f t="shared" ref="AT3:AT38" si="22">IF(AS3="A",4,IF(AS3="B+",3.5,IF(AS3="B",3,IF(AS3="C+",2.5,IF(AS3="C",2,IF(AS3="D",1,0))))))</f>
        <v>3.5</v>
      </c>
      <c r="AU3" s="83">
        <v>4</v>
      </c>
      <c r="AV3" s="52">
        <f t="shared" ref="AV3:AV38" si="23">AT3*AU3</f>
        <v>14</v>
      </c>
      <c r="AW3" s="54">
        <v>75</v>
      </c>
      <c r="AX3" s="55" t="str">
        <f t="shared" ref="AX3:AX38" si="24">IF(AW3&gt;=80,"A",IF(AW3&gt;=75,"B+",IF(AW3&gt;=70,"B",IF(AW3&gt;=65,"C+",IF(AW3&gt;=60,"C",IF(AW3&gt;=55,"D",IF(AW3&lt;55,"E")))))))</f>
        <v>B+</v>
      </c>
      <c r="AY3" s="56">
        <f t="shared" ref="AY3:AY38" si="25">IF(AX3="A",4,IF(AX3="B+",3.5,IF(AX3="B",3,IF(AX3="C+",2.5,IF(AX3="C",2,IF(AX3="D",1,0))))))</f>
        <v>3.5</v>
      </c>
      <c r="AZ3" s="55">
        <v>3</v>
      </c>
      <c r="BA3" s="55">
        <f t="shared" ref="BA3:BA38" si="26">AY3*AZ3</f>
        <v>10.5</v>
      </c>
      <c r="BB3" s="84">
        <v>76</v>
      </c>
      <c r="BC3" s="57" t="str">
        <f t="shared" ref="BC3:BC38" si="27">IF(BB3&gt;=80,"A",IF(BB3&gt;=75,"B+",IF(BB3&gt;=70,"B",IF(BB3&gt;=65,"C+",IF(BB3&gt;=60,"C",IF(BB3&gt;=55,"D",IF(BB3&lt;55,"E")))))))</f>
        <v>B+</v>
      </c>
      <c r="BD3" s="58">
        <f t="shared" ref="BD3:BD38" si="28">IF(BC3="A",4,IF(BC3="B+",3.5,IF(BC3="B",3,IF(BC3="C+",2.5,IF(BC3="C",2,IF(BC3="D",1,0))))))</f>
        <v>3.5</v>
      </c>
      <c r="BE3" s="57">
        <v>5</v>
      </c>
      <c r="BF3" s="57">
        <f t="shared" ref="BF3:BF38" si="29">BD3*BE3</f>
        <v>17.5</v>
      </c>
      <c r="BG3" s="59">
        <v>74</v>
      </c>
      <c r="BH3" s="59" t="str">
        <f t="shared" ref="BH3:BH39" si="30">IF(BG3&gt;=80,"A",IF(BG3&gt;=75,"B+",IF(BG3&gt;=70,"B",IF(BG3&gt;=65,"C+",IF(BG3&gt;=60,"C",IF(BG3&gt;=55,"D",IF(BG3&lt;55,"E")))))))</f>
        <v>B</v>
      </c>
      <c r="BI3" s="60">
        <f t="shared" ref="BI3:BI38" si="31">IF(BH3="A",4,IF(BH3="B+",3.5,IF(BH3="B",3,IF(BH3="C+",2.5,IF(BH3="C",2,IF(BH3="D",1,0))))))</f>
        <v>3</v>
      </c>
      <c r="BJ3" s="85">
        <v>2</v>
      </c>
      <c r="BK3" s="59">
        <f t="shared" ref="BK3:BK38" si="32">BI3*BJ3</f>
        <v>6</v>
      </c>
      <c r="BL3" s="47">
        <f t="shared" ref="BL3:BL47" si="33">M3+R3+W3+AB3+AL3+AG3</f>
        <v>66.5</v>
      </c>
      <c r="BM3" s="48">
        <f t="shared" ref="BM3:BM21" si="34">AK3+AF3+AA3+V3+Q3+L3</f>
        <v>20</v>
      </c>
      <c r="BN3" s="47">
        <f t="shared" ref="BN3:BN38" si="35">(BL3/BM3)</f>
        <v>3.3250000000000002</v>
      </c>
      <c r="BO3" s="14">
        <f t="shared" ref="BO3:BO47" si="36">AQ3+AV3+BA3+BK3+BF3</f>
        <v>64</v>
      </c>
      <c r="BP3" s="15">
        <f t="shared" ref="BP3:BP47" si="37">AP3+AU3+AZ3+BE3+BJ3</f>
        <v>18</v>
      </c>
      <c r="BQ3" s="14">
        <f t="shared" ref="BQ3:BQ38" si="38">(BO3/BP3)</f>
        <v>3.5555555555555554</v>
      </c>
      <c r="BR3" s="86">
        <f t="shared" ref="BR3:BR47" si="39">BL3+BO3</f>
        <v>130.5</v>
      </c>
      <c r="BS3" s="87">
        <f t="shared" ref="BS3:BS47" si="40">BM3+BP3</f>
        <v>38</v>
      </c>
      <c r="BT3" s="88">
        <f t="shared" ref="BT3:BT38" si="41">BR3/BS3</f>
        <v>3.4342105263157894</v>
      </c>
      <c r="BU3" s="95" t="str">
        <f>IF(BT3&gt;=3.51,"Cum Laude",(IF(BT3&gt;=2.75,"Sangat Memuaskan",(IF(BT3&gt;=2,"Memuaskan","GAGAL")))))</f>
        <v>Sangat Memuaskan</v>
      </c>
      <c r="BV3" s="95" t="str">
        <f>IF(BT3&gt;=3.51,"Excellent",(IF(BT3&gt;=2.75,"Highly Satisfactory",(IF(BT3&gt;=2,"Satisfactory","FAILED")))))</f>
        <v>Highly Satisfactory</v>
      </c>
      <c r="BW3" s="96" t="s">
        <v>155</v>
      </c>
    </row>
    <row r="4" spans="1:75" ht="15.75" x14ac:dyDescent="0.25">
      <c r="A4" s="16">
        <v>2</v>
      </c>
      <c r="B4" s="16" t="s">
        <v>28</v>
      </c>
      <c r="C4" s="16">
        <v>122314011</v>
      </c>
      <c r="D4" s="16" t="s">
        <v>26</v>
      </c>
      <c r="E4" s="16" t="s">
        <v>113</v>
      </c>
      <c r="F4" s="75" t="s">
        <v>114</v>
      </c>
      <c r="G4" s="75" t="s">
        <v>112</v>
      </c>
      <c r="H4" s="16" t="s">
        <v>200</v>
      </c>
      <c r="I4" s="17">
        <v>76</v>
      </c>
      <c r="J4" s="18" t="str">
        <f t="shared" si="0"/>
        <v>B+</v>
      </c>
      <c r="K4" s="19">
        <f t="shared" si="1"/>
        <v>3.5</v>
      </c>
      <c r="L4" s="20">
        <v>2</v>
      </c>
      <c r="M4" s="21">
        <f t="shared" si="2"/>
        <v>7</v>
      </c>
      <c r="N4" s="22">
        <v>75</v>
      </c>
      <c r="O4" s="23" t="str">
        <f t="shared" si="3"/>
        <v>B+</v>
      </c>
      <c r="P4" s="24">
        <f t="shared" si="4"/>
        <v>3.5</v>
      </c>
      <c r="Q4" s="25">
        <v>6</v>
      </c>
      <c r="R4" s="26">
        <f t="shared" si="5"/>
        <v>21</v>
      </c>
      <c r="S4" s="27">
        <v>76.25</v>
      </c>
      <c r="T4" s="28" t="str">
        <f t="shared" si="6"/>
        <v>B+</v>
      </c>
      <c r="U4" s="29">
        <f t="shared" si="7"/>
        <v>3.5</v>
      </c>
      <c r="V4" s="30">
        <f>3</f>
        <v>3</v>
      </c>
      <c r="W4" s="31">
        <f t="shared" si="8"/>
        <v>10.5</v>
      </c>
      <c r="X4" s="32">
        <v>76.25</v>
      </c>
      <c r="Y4" s="33" t="str">
        <f t="shared" si="9"/>
        <v>B+</v>
      </c>
      <c r="Z4" s="34">
        <f t="shared" si="10"/>
        <v>3.5</v>
      </c>
      <c r="AA4" s="35">
        <v>4</v>
      </c>
      <c r="AB4" s="36">
        <f t="shared" si="11"/>
        <v>14</v>
      </c>
      <c r="AC4" s="61">
        <v>76</v>
      </c>
      <c r="AD4" s="38" t="str">
        <f t="shared" si="12"/>
        <v>B+</v>
      </c>
      <c r="AE4" s="39">
        <f t="shared" si="13"/>
        <v>3.5</v>
      </c>
      <c r="AF4" s="40">
        <v>3</v>
      </c>
      <c r="AG4" s="41">
        <f t="shared" si="14"/>
        <v>10.5</v>
      </c>
      <c r="AH4" s="42">
        <v>78</v>
      </c>
      <c r="AI4" s="43" t="str">
        <f t="shared" si="15"/>
        <v>B+</v>
      </c>
      <c r="AJ4" s="44">
        <f t="shared" si="16"/>
        <v>3.5</v>
      </c>
      <c r="AK4" s="45">
        <v>2</v>
      </c>
      <c r="AL4" s="46">
        <f t="shared" si="17"/>
        <v>7</v>
      </c>
      <c r="AM4" s="80">
        <v>81.400000000000006</v>
      </c>
      <c r="AN4" s="49" t="str">
        <f t="shared" si="18"/>
        <v>A</v>
      </c>
      <c r="AO4" s="50">
        <f t="shared" si="19"/>
        <v>4</v>
      </c>
      <c r="AP4" s="81">
        <v>4</v>
      </c>
      <c r="AQ4" s="82">
        <f t="shared" si="20"/>
        <v>16</v>
      </c>
      <c r="AR4" s="51">
        <v>79</v>
      </c>
      <c r="AS4" s="52" t="str">
        <f t="shared" si="21"/>
        <v>B+</v>
      </c>
      <c r="AT4" s="53">
        <f t="shared" si="22"/>
        <v>3.5</v>
      </c>
      <c r="AU4" s="83">
        <v>4</v>
      </c>
      <c r="AV4" s="52">
        <f t="shared" si="23"/>
        <v>14</v>
      </c>
      <c r="AW4" s="54">
        <v>75</v>
      </c>
      <c r="AX4" s="55" t="str">
        <f t="shared" si="24"/>
        <v>B+</v>
      </c>
      <c r="AY4" s="56">
        <f t="shared" si="25"/>
        <v>3.5</v>
      </c>
      <c r="AZ4" s="55">
        <v>3</v>
      </c>
      <c r="BA4" s="55">
        <f t="shared" si="26"/>
        <v>10.5</v>
      </c>
      <c r="BB4" s="84">
        <v>74</v>
      </c>
      <c r="BC4" s="57" t="str">
        <f t="shared" si="27"/>
        <v>B</v>
      </c>
      <c r="BD4" s="58">
        <f t="shared" si="28"/>
        <v>3</v>
      </c>
      <c r="BE4" s="57">
        <v>5</v>
      </c>
      <c r="BF4" s="57">
        <f t="shared" si="29"/>
        <v>15</v>
      </c>
      <c r="BG4" s="59">
        <v>74</v>
      </c>
      <c r="BH4" s="59" t="str">
        <f t="shared" si="30"/>
        <v>B</v>
      </c>
      <c r="BI4" s="60">
        <f t="shared" si="31"/>
        <v>3</v>
      </c>
      <c r="BJ4" s="85">
        <v>2</v>
      </c>
      <c r="BK4" s="59">
        <f t="shared" si="32"/>
        <v>6</v>
      </c>
      <c r="BL4" s="47">
        <f t="shared" si="33"/>
        <v>70</v>
      </c>
      <c r="BM4" s="48">
        <f t="shared" si="34"/>
        <v>20</v>
      </c>
      <c r="BN4" s="47">
        <f t="shared" si="35"/>
        <v>3.5</v>
      </c>
      <c r="BO4" s="14">
        <f t="shared" si="36"/>
        <v>61.5</v>
      </c>
      <c r="BP4" s="15">
        <f t="shared" si="37"/>
        <v>18</v>
      </c>
      <c r="BQ4" s="14">
        <f t="shared" si="38"/>
        <v>3.4166666666666665</v>
      </c>
      <c r="BR4" s="86">
        <f t="shared" si="39"/>
        <v>131.5</v>
      </c>
      <c r="BS4" s="87">
        <f t="shared" si="40"/>
        <v>38</v>
      </c>
      <c r="BT4" s="88">
        <f t="shared" si="41"/>
        <v>3.4605263157894739</v>
      </c>
      <c r="BU4" s="95" t="str">
        <f t="shared" ref="BU4:BU47" si="42">IF(BT4&gt;=3.51,"Cum Laude",(IF(BT4&gt;=2.75,"Sangat Memuaskan",(IF(BT4&gt;=2,"Memuaskan","GAGAL")))))</f>
        <v>Sangat Memuaskan</v>
      </c>
      <c r="BV4" s="95" t="str">
        <f t="shared" ref="BV4:BV47" si="43">IF(BT4&gt;=3.51,"Excellent",(IF(BT4&gt;=2.75,"Highly Satisfactory",(IF(BT4&gt;=2,"Satisfactory","FAILED")))))</f>
        <v>Highly Satisfactory</v>
      </c>
      <c r="BW4" s="95" t="s">
        <v>156</v>
      </c>
    </row>
    <row r="5" spans="1:75" ht="15.75" x14ac:dyDescent="0.25">
      <c r="A5" s="16">
        <v>3</v>
      </c>
      <c r="B5" s="16" t="s">
        <v>29</v>
      </c>
      <c r="C5" s="16">
        <v>122314013</v>
      </c>
      <c r="D5" s="16" t="s">
        <v>26</v>
      </c>
      <c r="E5" s="16" t="s">
        <v>198</v>
      </c>
      <c r="F5" s="75" t="s">
        <v>136</v>
      </c>
      <c r="G5" s="75" t="s">
        <v>111</v>
      </c>
      <c r="H5" s="16" t="s">
        <v>202</v>
      </c>
      <c r="I5" s="17">
        <v>77</v>
      </c>
      <c r="J5" s="18" t="str">
        <f t="shared" si="0"/>
        <v>B+</v>
      </c>
      <c r="K5" s="19">
        <f t="shared" si="1"/>
        <v>3.5</v>
      </c>
      <c r="L5" s="20">
        <v>2</v>
      </c>
      <c r="M5" s="21">
        <f t="shared" si="2"/>
        <v>7</v>
      </c>
      <c r="N5" s="22">
        <v>75</v>
      </c>
      <c r="O5" s="23" t="str">
        <f t="shared" si="3"/>
        <v>B+</v>
      </c>
      <c r="P5" s="24">
        <f t="shared" si="4"/>
        <v>3.5</v>
      </c>
      <c r="Q5" s="25">
        <v>6</v>
      </c>
      <c r="R5" s="26">
        <f t="shared" si="5"/>
        <v>21</v>
      </c>
      <c r="S5" s="27">
        <v>75.45</v>
      </c>
      <c r="T5" s="28" t="str">
        <f t="shared" si="6"/>
        <v>B+</v>
      </c>
      <c r="U5" s="29">
        <f t="shared" si="7"/>
        <v>3.5</v>
      </c>
      <c r="V5" s="30">
        <f>3</f>
        <v>3</v>
      </c>
      <c r="W5" s="31">
        <f t="shared" si="8"/>
        <v>10.5</v>
      </c>
      <c r="X5" s="32">
        <v>75.45</v>
      </c>
      <c r="Y5" s="33" t="str">
        <f t="shared" si="9"/>
        <v>B+</v>
      </c>
      <c r="Z5" s="34">
        <f t="shared" si="10"/>
        <v>3.5</v>
      </c>
      <c r="AA5" s="35">
        <v>4</v>
      </c>
      <c r="AB5" s="36">
        <f t="shared" si="11"/>
        <v>14</v>
      </c>
      <c r="AC5" s="61">
        <v>75</v>
      </c>
      <c r="AD5" s="38" t="str">
        <f t="shared" si="12"/>
        <v>B+</v>
      </c>
      <c r="AE5" s="39">
        <f t="shared" si="13"/>
        <v>3.5</v>
      </c>
      <c r="AF5" s="40">
        <v>3</v>
      </c>
      <c r="AG5" s="41">
        <f t="shared" si="14"/>
        <v>10.5</v>
      </c>
      <c r="AH5" s="42">
        <v>76</v>
      </c>
      <c r="AI5" s="43" t="str">
        <f t="shared" si="15"/>
        <v>B+</v>
      </c>
      <c r="AJ5" s="44">
        <f t="shared" si="16"/>
        <v>3.5</v>
      </c>
      <c r="AK5" s="45">
        <v>2</v>
      </c>
      <c r="AL5" s="46">
        <f t="shared" si="17"/>
        <v>7</v>
      </c>
      <c r="AM5" s="80">
        <v>83.35</v>
      </c>
      <c r="AN5" s="49" t="str">
        <f t="shared" si="18"/>
        <v>A</v>
      </c>
      <c r="AO5" s="50">
        <f t="shared" si="19"/>
        <v>4</v>
      </c>
      <c r="AP5" s="81">
        <v>4</v>
      </c>
      <c r="AQ5" s="82">
        <f t="shared" si="20"/>
        <v>16</v>
      </c>
      <c r="AR5" s="62">
        <v>78</v>
      </c>
      <c r="AS5" s="52" t="str">
        <f t="shared" si="21"/>
        <v>B+</v>
      </c>
      <c r="AT5" s="53">
        <f t="shared" si="22"/>
        <v>3.5</v>
      </c>
      <c r="AU5" s="83">
        <v>4</v>
      </c>
      <c r="AV5" s="52">
        <f t="shared" si="23"/>
        <v>14</v>
      </c>
      <c r="AW5" s="54">
        <v>76</v>
      </c>
      <c r="AX5" s="55" t="str">
        <f t="shared" si="24"/>
        <v>B+</v>
      </c>
      <c r="AY5" s="56">
        <f t="shared" si="25"/>
        <v>3.5</v>
      </c>
      <c r="AZ5" s="55">
        <v>3</v>
      </c>
      <c r="BA5" s="55">
        <f t="shared" si="26"/>
        <v>10.5</v>
      </c>
      <c r="BB5" s="84">
        <v>75.7</v>
      </c>
      <c r="BC5" s="57" t="str">
        <f t="shared" si="27"/>
        <v>B+</v>
      </c>
      <c r="BD5" s="58">
        <f t="shared" si="28"/>
        <v>3.5</v>
      </c>
      <c r="BE5" s="57">
        <v>5</v>
      </c>
      <c r="BF5" s="57">
        <f t="shared" si="29"/>
        <v>17.5</v>
      </c>
      <c r="BG5" s="59">
        <v>74</v>
      </c>
      <c r="BH5" s="59" t="str">
        <f t="shared" si="30"/>
        <v>B</v>
      </c>
      <c r="BI5" s="60">
        <f t="shared" si="31"/>
        <v>3</v>
      </c>
      <c r="BJ5" s="85">
        <v>2</v>
      </c>
      <c r="BK5" s="59">
        <f t="shared" si="32"/>
        <v>6</v>
      </c>
      <c r="BL5" s="47">
        <f t="shared" si="33"/>
        <v>70</v>
      </c>
      <c r="BM5" s="48">
        <f t="shared" si="34"/>
        <v>20</v>
      </c>
      <c r="BN5" s="47">
        <f t="shared" si="35"/>
        <v>3.5</v>
      </c>
      <c r="BO5" s="14">
        <f t="shared" si="36"/>
        <v>64</v>
      </c>
      <c r="BP5" s="15">
        <f t="shared" si="37"/>
        <v>18</v>
      </c>
      <c r="BQ5" s="14">
        <f t="shared" si="38"/>
        <v>3.5555555555555554</v>
      </c>
      <c r="BR5" s="86">
        <f t="shared" si="39"/>
        <v>134</v>
      </c>
      <c r="BS5" s="87">
        <f t="shared" si="40"/>
        <v>38</v>
      </c>
      <c r="BT5" s="88">
        <f t="shared" si="41"/>
        <v>3.5263157894736841</v>
      </c>
      <c r="BU5" s="95" t="str">
        <f t="shared" si="42"/>
        <v>Cum Laude</v>
      </c>
      <c r="BV5" s="95" t="str">
        <f t="shared" si="43"/>
        <v>Excellent</v>
      </c>
      <c r="BW5" s="95" t="s">
        <v>199</v>
      </c>
    </row>
    <row r="6" spans="1:75" ht="15.75" x14ac:dyDescent="0.25">
      <c r="A6" s="16">
        <v>4</v>
      </c>
      <c r="B6" s="16" t="s">
        <v>30</v>
      </c>
      <c r="C6" s="16">
        <v>122314016</v>
      </c>
      <c r="D6" s="16" t="s">
        <v>26</v>
      </c>
      <c r="E6" s="16" t="s">
        <v>82</v>
      </c>
      <c r="F6" s="75" t="s">
        <v>83</v>
      </c>
      <c r="G6" s="75" t="s">
        <v>111</v>
      </c>
      <c r="H6" s="16" t="s">
        <v>203</v>
      </c>
      <c r="I6" s="17">
        <v>76</v>
      </c>
      <c r="J6" s="18" t="str">
        <f t="shared" si="0"/>
        <v>B+</v>
      </c>
      <c r="K6" s="19">
        <f t="shared" si="1"/>
        <v>3.5</v>
      </c>
      <c r="L6" s="20">
        <v>2</v>
      </c>
      <c r="M6" s="21">
        <f t="shared" si="2"/>
        <v>7</v>
      </c>
      <c r="N6" s="22">
        <v>75</v>
      </c>
      <c r="O6" s="23" t="str">
        <f t="shared" si="3"/>
        <v>B+</v>
      </c>
      <c r="P6" s="24">
        <f t="shared" si="4"/>
        <v>3.5</v>
      </c>
      <c r="Q6" s="25">
        <v>6</v>
      </c>
      <c r="R6" s="26">
        <f t="shared" si="5"/>
        <v>21</v>
      </c>
      <c r="S6" s="27">
        <v>80.2</v>
      </c>
      <c r="T6" s="28" t="str">
        <f t="shared" si="6"/>
        <v>A</v>
      </c>
      <c r="U6" s="29">
        <f t="shared" si="7"/>
        <v>4</v>
      </c>
      <c r="V6" s="30">
        <f>3</f>
        <v>3</v>
      </c>
      <c r="W6" s="31">
        <f t="shared" si="8"/>
        <v>12</v>
      </c>
      <c r="X6" s="32">
        <v>80.2</v>
      </c>
      <c r="Y6" s="33" t="str">
        <f t="shared" si="9"/>
        <v>A</v>
      </c>
      <c r="Z6" s="34">
        <f t="shared" si="10"/>
        <v>4</v>
      </c>
      <c r="AA6" s="35">
        <v>4</v>
      </c>
      <c r="AB6" s="36">
        <f t="shared" si="11"/>
        <v>16</v>
      </c>
      <c r="AC6" s="61">
        <v>75</v>
      </c>
      <c r="AD6" s="38" t="str">
        <f t="shared" si="12"/>
        <v>B+</v>
      </c>
      <c r="AE6" s="39">
        <f t="shared" si="13"/>
        <v>3.5</v>
      </c>
      <c r="AF6" s="40">
        <v>3</v>
      </c>
      <c r="AG6" s="41">
        <f t="shared" si="14"/>
        <v>10.5</v>
      </c>
      <c r="AH6" s="42">
        <v>76</v>
      </c>
      <c r="AI6" s="43" t="str">
        <f t="shared" si="15"/>
        <v>B+</v>
      </c>
      <c r="AJ6" s="44">
        <f t="shared" si="16"/>
        <v>3.5</v>
      </c>
      <c r="AK6" s="45">
        <v>2</v>
      </c>
      <c r="AL6" s="46">
        <f t="shared" si="17"/>
        <v>7</v>
      </c>
      <c r="AM6" s="80">
        <v>81.8</v>
      </c>
      <c r="AN6" s="49" t="str">
        <f t="shared" si="18"/>
        <v>A</v>
      </c>
      <c r="AO6" s="50">
        <f t="shared" si="19"/>
        <v>4</v>
      </c>
      <c r="AP6" s="81">
        <v>4</v>
      </c>
      <c r="AQ6" s="82">
        <f t="shared" si="20"/>
        <v>16</v>
      </c>
      <c r="AR6" s="62">
        <v>78</v>
      </c>
      <c r="AS6" s="52" t="str">
        <f t="shared" si="21"/>
        <v>B+</v>
      </c>
      <c r="AT6" s="53">
        <f t="shared" si="22"/>
        <v>3.5</v>
      </c>
      <c r="AU6" s="83">
        <v>4</v>
      </c>
      <c r="AV6" s="52">
        <f t="shared" si="23"/>
        <v>14</v>
      </c>
      <c r="AW6" s="54">
        <v>76</v>
      </c>
      <c r="AX6" s="55" t="str">
        <f t="shared" si="24"/>
        <v>B+</v>
      </c>
      <c r="AY6" s="56">
        <f t="shared" si="25"/>
        <v>3.5</v>
      </c>
      <c r="AZ6" s="55">
        <v>3</v>
      </c>
      <c r="BA6" s="55">
        <f t="shared" si="26"/>
        <v>10.5</v>
      </c>
      <c r="BB6" s="84">
        <v>76</v>
      </c>
      <c r="BC6" s="57" t="str">
        <f t="shared" si="27"/>
        <v>B+</v>
      </c>
      <c r="BD6" s="58">
        <f t="shared" si="28"/>
        <v>3.5</v>
      </c>
      <c r="BE6" s="57">
        <v>5</v>
      </c>
      <c r="BF6" s="57">
        <f t="shared" si="29"/>
        <v>17.5</v>
      </c>
      <c r="BG6" s="59">
        <v>80.3</v>
      </c>
      <c r="BH6" s="59" t="str">
        <f t="shared" si="30"/>
        <v>A</v>
      </c>
      <c r="BI6" s="60">
        <f t="shared" si="31"/>
        <v>4</v>
      </c>
      <c r="BJ6" s="85">
        <v>2</v>
      </c>
      <c r="BK6" s="59">
        <f t="shared" si="32"/>
        <v>8</v>
      </c>
      <c r="BL6" s="47">
        <f t="shared" si="33"/>
        <v>73.5</v>
      </c>
      <c r="BM6" s="48">
        <f t="shared" si="34"/>
        <v>20</v>
      </c>
      <c r="BN6" s="47">
        <f t="shared" si="35"/>
        <v>3.6749999999999998</v>
      </c>
      <c r="BO6" s="14">
        <f t="shared" si="36"/>
        <v>66</v>
      </c>
      <c r="BP6" s="15">
        <f t="shared" si="37"/>
        <v>18</v>
      </c>
      <c r="BQ6" s="14">
        <f t="shared" si="38"/>
        <v>3.6666666666666665</v>
      </c>
      <c r="BR6" s="86">
        <f t="shared" si="39"/>
        <v>139.5</v>
      </c>
      <c r="BS6" s="87">
        <f t="shared" si="40"/>
        <v>38</v>
      </c>
      <c r="BT6" s="88">
        <f t="shared" si="41"/>
        <v>3.6710526315789473</v>
      </c>
      <c r="BU6" s="95" t="str">
        <f t="shared" si="42"/>
        <v>Cum Laude</v>
      </c>
      <c r="BV6" s="95" t="str">
        <f t="shared" si="43"/>
        <v>Excellent</v>
      </c>
      <c r="BW6" s="96" t="s">
        <v>157</v>
      </c>
    </row>
    <row r="7" spans="1:75" ht="15.75" x14ac:dyDescent="0.25">
      <c r="A7" s="16">
        <v>5</v>
      </c>
      <c r="B7" s="16" t="s">
        <v>31</v>
      </c>
      <c r="C7" s="16">
        <v>122314017</v>
      </c>
      <c r="D7" s="16" t="s">
        <v>26</v>
      </c>
      <c r="E7" s="16" t="s">
        <v>130</v>
      </c>
      <c r="F7" s="75" t="s">
        <v>137</v>
      </c>
      <c r="G7" s="75" t="s">
        <v>111</v>
      </c>
      <c r="H7" s="16" t="s">
        <v>204</v>
      </c>
      <c r="I7" s="17">
        <v>77</v>
      </c>
      <c r="J7" s="18" t="str">
        <f t="shared" si="0"/>
        <v>B+</v>
      </c>
      <c r="K7" s="19">
        <f t="shared" si="1"/>
        <v>3.5</v>
      </c>
      <c r="L7" s="20">
        <v>2</v>
      </c>
      <c r="M7" s="21">
        <f t="shared" si="2"/>
        <v>7</v>
      </c>
      <c r="N7" s="22">
        <v>75</v>
      </c>
      <c r="O7" s="23" t="str">
        <f t="shared" si="3"/>
        <v>B+</v>
      </c>
      <c r="P7" s="24">
        <f t="shared" si="4"/>
        <v>3.5</v>
      </c>
      <c r="Q7" s="25">
        <v>6</v>
      </c>
      <c r="R7" s="26">
        <f t="shared" si="5"/>
        <v>21</v>
      </c>
      <c r="S7" s="27">
        <v>75.650000000000006</v>
      </c>
      <c r="T7" s="28" t="str">
        <f t="shared" si="6"/>
        <v>B+</v>
      </c>
      <c r="U7" s="29">
        <f t="shared" si="7"/>
        <v>3.5</v>
      </c>
      <c r="V7" s="30">
        <f>3</f>
        <v>3</v>
      </c>
      <c r="W7" s="31">
        <f t="shared" si="8"/>
        <v>10.5</v>
      </c>
      <c r="X7" s="32">
        <v>75.650000000000006</v>
      </c>
      <c r="Y7" s="33" t="str">
        <f t="shared" si="9"/>
        <v>B+</v>
      </c>
      <c r="Z7" s="34">
        <f t="shared" si="10"/>
        <v>3.5</v>
      </c>
      <c r="AA7" s="35">
        <v>4</v>
      </c>
      <c r="AB7" s="36">
        <f t="shared" si="11"/>
        <v>14</v>
      </c>
      <c r="AC7" s="61">
        <v>75</v>
      </c>
      <c r="AD7" s="38" t="str">
        <f t="shared" si="12"/>
        <v>B+</v>
      </c>
      <c r="AE7" s="39">
        <f t="shared" si="13"/>
        <v>3.5</v>
      </c>
      <c r="AF7" s="40">
        <v>3</v>
      </c>
      <c r="AG7" s="41">
        <f t="shared" si="14"/>
        <v>10.5</v>
      </c>
      <c r="AH7" s="42">
        <v>76</v>
      </c>
      <c r="AI7" s="43" t="str">
        <f t="shared" si="15"/>
        <v>B+</v>
      </c>
      <c r="AJ7" s="44">
        <f t="shared" si="16"/>
        <v>3.5</v>
      </c>
      <c r="AK7" s="45">
        <v>2</v>
      </c>
      <c r="AL7" s="46">
        <f t="shared" si="17"/>
        <v>7</v>
      </c>
      <c r="AM7" s="80">
        <v>81.400000000000006</v>
      </c>
      <c r="AN7" s="49" t="str">
        <f t="shared" si="18"/>
        <v>A</v>
      </c>
      <c r="AO7" s="50">
        <f t="shared" si="19"/>
        <v>4</v>
      </c>
      <c r="AP7" s="81">
        <v>4</v>
      </c>
      <c r="AQ7" s="82">
        <f t="shared" si="20"/>
        <v>16</v>
      </c>
      <c r="AR7" s="51">
        <v>76</v>
      </c>
      <c r="AS7" s="52" t="str">
        <f t="shared" si="21"/>
        <v>B+</v>
      </c>
      <c r="AT7" s="53">
        <f t="shared" si="22"/>
        <v>3.5</v>
      </c>
      <c r="AU7" s="83">
        <v>4</v>
      </c>
      <c r="AV7" s="52">
        <f t="shared" si="23"/>
        <v>14</v>
      </c>
      <c r="AW7" s="54">
        <v>77</v>
      </c>
      <c r="AX7" s="55" t="str">
        <f t="shared" si="24"/>
        <v>B+</v>
      </c>
      <c r="AY7" s="56">
        <f t="shared" si="25"/>
        <v>3.5</v>
      </c>
      <c r="AZ7" s="55">
        <v>3</v>
      </c>
      <c r="BA7" s="55">
        <f t="shared" si="26"/>
        <v>10.5</v>
      </c>
      <c r="BB7" s="84">
        <v>76</v>
      </c>
      <c r="BC7" s="57" t="str">
        <f t="shared" si="27"/>
        <v>B+</v>
      </c>
      <c r="BD7" s="58">
        <f t="shared" si="28"/>
        <v>3.5</v>
      </c>
      <c r="BE7" s="57">
        <v>5</v>
      </c>
      <c r="BF7" s="57">
        <f t="shared" si="29"/>
        <v>17.5</v>
      </c>
      <c r="BG7" s="59">
        <v>74</v>
      </c>
      <c r="BH7" s="59" t="str">
        <f t="shared" si="30"/>
        <v>B</v>
      </c>
      <c r="BI7" s="60">
        <f t="shared" si="31"/>
        <v>3</v>
      </c>
      <c r="BJ7" s="85">
        <v>2</v>
      </c>
      <c r="BK7" s="59">
        <f t="shared" si="32"/>
        <v>6</v>
      </c>
      <c r="BL7" s="47">
        <f t="shared" si="33"/>
        <v>70</v>
      </c>
      <c r="BM7" s="48">
        <f t="shared" si="34"/>
        <v>20</v>
      </c>
      <c r="BN7" s="47">
        <f t="shared" si="35"/>
        <v>3.5</v>
      </c>
      <c r="BO7" s="14">
        <f t="shared" si="36"/>
        <v>64</v>
      </c>
      <c r="BP7" s="15">
        <f t="shared" si="37"/>
        <v>18</v>
      </c>
      <c r="BQ7" s="14">
        <f t="shared" si="38"/>
        <v>3.5555555555555554</v>
      </c>
      <c r="BR7" s="86">
        <f t="shared" si="39"/>
        <v>134</v>
      </c>
      <c r="BS7" s="87">
        <f t="shared" si="40"/>
        <v>38</v>
      </c>
      <c r="BT7" s="88">
        <f t="shared" si="41"/>
        <v>3.5263157894736841</v>
      </c>
      <c r="BU7" s="95" t="str">
        <f t="shared" si="42"/>
        <v>Cum Laude</v>
      </c>
      <c r="BV7" s="95" t="str">
        <f t="shared" si="43"/>
        <v>Excellent</v>
      </c>
      <c r="BW7" s="95" t="s">
        <v>158</v>
      </c>
    </row>
    <row r="8" spans="1:75" ht="15.75" x14ac:dyDescent="0.25">
      <c r="A8" s="16">
        <v>6</v>
      </c>
      <c r="B8" s="16" t="s">
        <v>32</v>
      </c>
      <c r="C8" s="16">
        <v>122314018</v>
      </c>
      <c r="D8" s="16" t="s">
        <v>26</v>
      </c>
      <c r="E8" s="16" t="s">
        <v>138</v>
      </c>
      <c r="F8" s="75" t="s">
        <v>139</v>
      </c>
      <c r="G8" s="75" t="s">
        <v>112</v>
      </c>
      <c r="H8" s="16" t="s">
        <v>205</v>
      </c>
      <c r="I8" s="17">
        <v>75</v>
      </c>
      <c r="J8" s="18" t="str">
        <f t="shared" si="0"/>
        <v>B+</v>
      </c>
      <c r="K8" s="19">
        <f t="shared" si="1"/>
        <v>3.5</v>
      </c>
      <c r="L8" s="20">
        <v>2</v>
      </c>
      <c r="M8" s="21">
        <f t="shared" si="2"/>
        <v>7</v>
      </c>
      <c r="N8" s="22">
        <v>75</v>
      </c>
      <c r="O8" s="23" t="str">
        <f t="shared" si="3"/>
        <v>B+</v>
      </c>
      <c r="P8" s="24">
        <f t="shared" si="4"/>
        <v>3.5</v>
      </c>
      <c r="Q8" s="25">
        <v>6</v>
      </c>
      <c r="R8" s="26">
        <f t="shared" si="5"/>
        <v>21</v>
      </c>
      <c r="S8" s="27">
        <v>73.599999999999994</v>
      </c>
      <c r="T8" s="28" t="str">
        <f t="shared" si="6"/>
        <v>B</v>
      </c>
      <c r="U8" s="29">
        <f t="shared" si="7"/>
        <v>3</v>
      </c>
      <c r="V8" s="30">
        <f>3</f>
        <v>3</v>
      </c>
      <c r="W8" s="31">
        <f t="shared" si="8"/>
        <v>9</v>
      </c>
      <c r="X8" s="32">
        <v>73.599999999999994</v>
      </c>
      <c r="Y8" s="33" t="str">
        <f t="shared" si="9"/>
        <v>B</v>
      </c>
      <c r="Z8" s="34">
        <f t="shared" si="10"/>
        <v>3</v>
      </c>
      <c r="AA8" s="35">
        <v>4</v>
      </c>
      <c r="AB8" s="36">
        <f t="shared" si="11"/>
        <v>12</v>
      </c>
      <c r="AC8" s="61">
        <v>78</v>
      </c>
      <c r="AD8" s="38" t="str">
        <f t="shared" si="12"/>
        <v>B+</v>
      </c>
      <c r="AE8" s="39">
        <f t="shared" si="13"/>
        <v>3.5</v>
      </c>
      <c r="AF8" s="40">
        <v>3</v>
      </c>
      <c r="AG8" s="41">
        <f t="shared" si="14"/>
        <v>10.5</v>
      </c>
      <c r="AH8" s="42">
        <v>76</v>
      </c>
      <c r="AI8" s="43" t="str">
        <f t="shared" si="15"/>
        <v>B+</v>
      </c>
      <c r="AJ8" s="44">
        <f t="shared" si="16"/>
        <v>3.5</v>
      </c>
      <c r="AK8" s="45">
        <v>2</v>
      </c>
      <c r="AL8" s="46">
        <f t="shared" si="17"/>
        <v>7</v>
      </c>
      <c r="AM8" s="80">
        <v>81.349999999999994</v>
      </c>
      <c r="AN8" s="49" t="str">
        <f t="shared" si="18"/>
        <v>A</v>
      </c>
      <c r="AO8" s="50">
        <f t="shared" si="19"/>
        <v>4</v>
      </c>
      <c r="AP8" s="81">
        <v>4</v>
      </c>
      <c r="AQ8" s="82">
        <f t="shared" si="20"/>
        <v>16</v>
      </c>
      <c r="AR8" s="62">
        <v>78</v>
      </c>
      <c r="AS8" s="52" t="str">
        <f t="shared" si="21"/>
        <v>B+</v>
      </c>
      <c r="AT8" s="53">
        <f t="shared" si="22"/>
        <v>3.5</v>
      </c>
      <c r="AU8" s="83">
        <v>4</v>
      </c>
      <c r="AV8" s="52">
        <f t="shared" si="23"/>
        <v>14</v>
      </c>
      <c r="AW8" s="54">
        <v>76</v>
      </c>
      <c r="AX8" s="55" t="str">
        <f t="shared" si="24"/>
        <v>B+</v>
      </c>
      <c r="AY8" s="56">
        <f t="shared" si="25"/>
        <v>3.5</v>
      </c>
      <c r="AZ8" s="55">
        <v>3</v>
      </c>
      <c r="BA8" s="55">
        <f t="shared" si="26"/>
        <v>10.5</v>
      </c>
      <c r="BB8" s="84">
        <v>75</v>
      </c>
      <c r="BC8" s="57" t="str">
        <f t="shared" si="27"/>
        <v>B+</v>
      </c>
      <c r="BD8" s="58">
        <f t="shared" si="28"/>
        <v>3.5</v>
      </c>
      <c r="BE8" s="57">
        <v>5</v>
      </c>
      <c r="BF8" s="57">
        <f t="shared" si="29"/>
        <v>17.5</v>
      </c>
      <c r="BG8" s="59">
        <v>74</v>
      </c>
      <c r="BH8" s="59" t="str">
        <f t="shared" si="30"/>
        <v>B</v>
      </c>
      <c r="BI8" s="60">
        <f t="shared" si="31"/>
        <v>3</v>
      </c>
      <c r="BJ8" s="85">
        <v>2</v>
      </c>
      <c r="BK8" s="59">
        <f t="shared" si="32"/>
        <v>6</v>
      </c>
      <c r="BL8" s="47">
        <f t="shared" si="33"/>
        <v>66.5</v>
      </c>
      <c r="BM8" s="48">
        <f t="shared" si="34"/>
        <v>20</v>
      </c>
      <c r="BN8" s="47">
        <f t="shared" si="35"/>
        <v>3.3250000000000002</v>
      </c>
      <c r="BO8" s="14">
        <f t="shared" si="36"/>
        <v>64</v>
      </c>
      <c r="BP8" s="15">
        <f t="shared" si="37"/>
        <v>18</v>
      </c>
      <c r="BQ8" s="14">
        <f t="shared" si="38"/>
        <v>3.5555555555555554</v>
      </c>
      <c r="BR8" s="86">
        <f t="shared" si="39"/>
        <v>130.5</v>
      </c>
      <c r="BS8" s="87">
        <f t="shared" si="40"/>
        <v>38</v>
      </c>
      <c r="BT8" s="88">
        <f t="shared" si="41"/>
        <v>3.4342105263157894</v>
      </c>
      <c r="BU8" s="95" t="str">
        <f t="shared" si="42"/>
        <v>Sangat Memuaskan</v>
      </c>
      <c r="BV8" s="95" t="str">
        <f t="shared" si="43"/>
        <v>Highly Satisfactory</v>
      </c>
      <c r="BW8" s="95" t="s">
        <v>159</v>
      </c>
    </row>
    <row r="9" spans="1:75" ht="15.75" x14ac:dyDescent="0.25">
      <c r="A9" s="16">
        <v>7</v>
      </c>
      <c r="B9" s="16" t="s">
        <v>33</v>
      </c>
      <c r="C9" s="16">
        <v>122314019</v>
      </c>
      <c r="D9" s="16" t="s">
        <v>26</v>
      </c>
      <c r="E9" s="94" t="s">
        <v>115</v>
      </c>
      <c r="F9" s="75" t="s">
        <v>116</v>
      </c>
      <c r="G9" s="75" t="s">
        <v>112</v>
      </c>
      <c r="H9" s="16" t="s">
        <v>206</v>
      </c>
      <c r="I9" s="17">
        <v>80</v>
      </c>
      <c r="J9" s="18" t="str">
        <f t="shared" si="0"/>
        <v>A</v>
      </c>
      <c r="K9" s="19">
        <f t="shared" si="1"/>
        <v>4</v>
      </c>
      <c r="L9" s="20">
        <v>2</v>
      </c>
      <c r="M9" s="21">
        <f t="shared" si="2"/>
        <v>8</v>
      </c>
      <c r="N9" s="22">
        <v>79</v>
      </c>
      <c r="O9" s="23" t="str">
        <f t="shared" si="3"/>
        <v>B+</v>
      </c>
      <c r="P9" s="24">
        <f t="shared" si="4"/>
        <v>3.5</v>
      </c>
      <c r="Q9" s="25">
        <v>6</v>
      </c>
      <c r="R9" s="26">
        <f t="shared" si="5"/>
        <v>21</v>
      </c>
      <c r="S9" s="27">
        <v>82</v>
      </c>
      <c r="T9" s="28" t="str">
        <f t="shared" si="6"/>
        <v>A</v>
      </c>
      <c r="U9" s="29">
        <f t="shared" si="7"/>
        <v>4</v>
      </c>
      <c r="V9" s="30">
        <f>3</f>
        <v>3</v>
      </c>
      <c r="W9" s="31">
        <f t="shared" si="8"/>
        <v>12</v>
      </c>
      <c r="X9" s="32">
        <v>80.48</v>
      </c>
      <c r="Y9" s="33" t="str">
        <f t="shared" si="9"/>
        <v>A</v>
      </c>
      <c r="Z9" s="34">
        <f t="shared" si="10"/>
        <v>4</v>
      </c>
      <c r="AA9" s="35">
        <v>4</v>
      </c>
      <c r="AB9" s="36">
        <f t="shared" si="11"/>
        <v>16</v>
      </c>
      <c r="AC9" s="61">
        <v>75</v>
      </c>
      <c r="AD9" s="38" t="str">
        <f t="shared" si="12"/>
        <v>B+</v>
      </c>
      <c r="AE9" s="39">
        <f t="shared" si="13"/>
        <v>3.5</v>
      </c>
      <c r="AF9" s="40">
        <v>3</v>
      </c>
      <c r="AG9" s="41">
        <f t="shared" si="14"/>
        <v>10.5</v>
      </c>
      <c r="AH9" s="42">
        <v>78</v>
      </c>
      <c r="AI9" s="43" t="str">
        <f t="shared" si="15"/>
        <v>B+</v>
      </c>
      <c r="AJ9" s="44">
        <f t="shared" si="16"/>
        <v>3.5</v>
      </c>
      <c r="AK9" s="45">
        <v>2</v>
      </c>
      <c r="AL9" s="46">
        <f t="shared" si="17"/>
        <v>7</v>
      </c>
      <c r="AM9" s="80">
        <v>82.6</v>
      </c>
      <c r="AN9" s="49" t="str">
        <f t="shared" si="18"/>
        <v>A</v>
      </c>
      <c r="AO9" s="50">
        <f t="shared" si="19"/>
        <v>4</v>
      </c>
      <c r="AP9" s="81">
        <v>4</v>
      </c>
      <c r="AQ9" s="82">
        <f t="shared" si="20"/>
        <v>16</v>
      </c>
      <c r="AR9" s="62">
        <v>78</v>
      </c>
      <c r="AS9" s="52" t="str">
        <f t="shared" si="21"/>
        <v>B+</v>
      </c>
      <c r="AT9" s="53">
        <f t="shared" si="22"/>
        <v>3.5</v>
      </c>
      <c r="AU9" s="83">
        <v>4</v>
      </c>
      <c r="AV9" s="52">
        <f t="shared" si="23"/>
        <v>14</v>
      </c>
      <c r="AW9" s="54">
        <v>76</v>
      </c>
      <c r="AX9" s="55" t="str">
        <f t="shared" si="24"/>
        <v>B+</v>
      </c>
      <c r="AY9" s="56">
        <f t="shared" si="25"/>
        <v>3.5</v>
      </c>
      <c r="AZ9" s="55">
        <v>3</v>
      </c>
      <c r="BA9" s="55">
        <f t="shared" si="26"/>
        <v>10.5</v>
      </c>
      <c r="BB9" s="84">
        <v>75</v>
      </c>
      <c r="BC9" s="57" t="str">
        <f t="shared" si="27"/>
        <v>B+</v>
      </c>
      <c r="BD9" s="58">
        <f t="shared" si="28"/>
        <v>3.5</v>
      </c>
      <c r="BE9" s="57">
        <v>5</v>
      </c>
      <c r="BF9" s="57">
        <f t="shared" si="29"/>
        <v>17.5</v>
      </c>
      <c r="BG9" s="59">
        <v>85</v>
      </c>
      <c r="BH9" s="59" t="str">
        <f t="shared" si="30"/>
        <v>A</v>
      </c>
      <c r="BI9" s="60">
        <f t="shared" si="31"/>
        <v>4</v>
      </c>
      <c r="BJ9" s="85">
        <v>2</v>
      </c>
      <c r="BK9" s="59">
        <f t="shared" si="32"/>
        <v>8</v>
      </c>
      <c r="BL9" s="47">
        <f t="shared" si="33"/>
        <v>74.5</v>
      </c>
      <c r="BM9" s="48">
        <f t="shared" si="34"/>
        <v>20</v>
      </c>
      <c r="BN9" s="47">
        <f t="shared" si="35"/>
        <v>3.7250000000000001</v>
      </c>
      <c r="BO9" s="14">
        <f t="shared" si="36"/>
        <v>66</v>
      </c>
      <c r="BP9" s="15">
        <f t="shared" si="37"/>
        <v>18</v>
      </c>
      <c r="BQ9" s="14">
        <f t="shared" si="38"/>
        <v>3.6666666666666665</v>
      </c>
      <c r="BR9" s="86">
        <f t="shared" si="39"/>
        <v>140.5</v>
      </c>
      <c r="BS9" s="87">
        <f t="shared" si="40"/>
        <v>38</v>
      </c>
      <c r="BT9" s="88">
        <f t="shared" si="41"/>
        <v>3.6973684210526314</v>
      </c>
      <c r="BU9" s="95" t="str">
        <f t="shared" si="42"/>
        <v>Cum Laude</v>
      </c>
      <c r="BV9" s="95" t="str">
        <f t="shared" si="43"/>
        <v>Excellent</v>
      </c>
      <c r="BW9" s="95" t="s">
        <v>160</v>
      </c>
    </row>
    <row r="10" spans="1:75" ht="15.75" x14ac:dyDescent="0.25">
      <c r="A10" s="16">
        <v>8</v>
      </c>
      <c r="B10" s="16" t="s">
        <v>34</v>
      </c>
      <c r="C10" s="16">
        <v>122314020</v>
      </c>
      <c r="D10" s="16" t="s">
        <v>26</v>
      </c>
      <c r="E10" s="94" t="s">
        <v>117</v>
      </c>
      <c r="F10" s="75" t="s">
        <v>118</v>
      </c>
      <c r="G10" s="75" t="s">
        <v>112</v>
      </c>
      <c r="H10" s="16" t="s">
        <v>207</v>
      </c>
      <c r="I10" s="17">
        <v>75</v>
      </c>
      <c r="J10" s="18" t="str">
        <f t="shared" si="0"/>
        <v>B+</v>
      </c>
      <c r="K10" s="19">
        <f t="shared" si="1"/>
        <v>3.5</v>
      </c>
      <c r="L10" s="20">
        <v>2</v>
      </c>
      <c r="M10" s="21">
        <f t="shared" si="2"/>
        <v>7</v>
      </c>
      <c r="N10" s="22">
        <v>74</v>
      </c>
      <c r="O10" s="23" t="str">
        <f t="shared" si="3"/>
        <v>B</v>
      </c>
      <c r="P10" s="24">
        <f t="shared" si="4"/>
        <v>3</v>
      </c>
      <c r="Q10" s="25">
        <v>6</v>
      </c>
      <c r="R10" s="26">
        <f t="shared" si="5"/>
        <v>18</v>
      </c>
      <c r="S10" s="27">
        <v>75</v>
      </c>
      <c r="T10" s="28" t="str">
        <f t="shared" si="6"/>
        <v>B+</v>
      </c>
      <c r="U10" s="29">
        <f t="shared" si="7"/>
        <v>3.5</v>
      </c>
      <c r="V10" s="30">
        <f>3</f>
        <v>3</v>
      </c>
      <c r="W10" s="31">
        <f t="shared" si="8"/>
        <v>10.5</v>
      </c>
      <c r="X10" s="32">
        <v>74.8</v>
      </c>
      <c r="Y10" s="33" t="str">
        <f t="shared" si="9"/>
        <v>B</v>
      </c>
      <c r="Z10" s="34">
        <f t="shared" si="10"/>
        <v>3</v>
      </c>
      <c r="AA10" s="35">
        <v>4</v>
      </c>
      <c r="AB10" s="36">
        <f t="shared" si="11"/>
        <v>12</v>
      </c>
      <c r="AC10" s="61">
        <v>75</v>
      </c>
      <c r="AD10" s="38" t="str">
        <f t="shared" si="12"/>
        <v>B+</v>
      </c>
      <c r="AE10" s="39">
        <f t="shared" si="13"/>
        <v>3.5</v>
      </c>
      <c r="AF10" s="40">
        <v>3</v>
      </c>
      <c r="AG10" s="41">
        <f t="shared" si="14"/>
        <v>10.5</v>
      </c>
      <c r="AH10" s="42">
        <v>80</v>
      </c>
      <c r="AI10" s="43" t="str">
        <f t="shared" si="15"/>
        <v>A</v>
      </c>
      <c r="AJ10" s="44">
        <f t="shared" si="16"/>
        <v>4</v>
      </c>
      <c r="AK10" s="45">
        <v>2</v>
      </c>
      <c r="AL10" s="46">
        <f t="shared" si="17"/>
        <v>8</v>
      </c>
      <c r="AM10" s="80">
        <v>81.349999999999994</v>
      </c>
      <c r="AN10" s="49" t="str">
        <f t="shared" si="18"/>
        <v>A</v>
      </c>
      <c r="AO10" s="50">
        <f t="shared" si="19"/>
        <v>4</v>
      </c>
      <c r="AP10" s="81">
        <v>4</v>
      </c>
      <c r="AQ10" s="82">
        <f t="shared" si="20"/>
        <v>16</v>
      </c>
      <c r="AR10" s="62">
        <v>78</v>
      </c>
      <c r="AS10" s="52" t="str">
        <f t="shared" si="21"/>
        <v>B+</v>
      </c>
      <c r="AT10" s="53">
        <f t="shared" si="22"/>
        <v>3.5</v>
      </c>
      <c r="AU10" s="83">
        <v>4</v>
      </c>
      <c r="AV10" s="52">
        <f t="shared" si="23"/>
        <v>14</v>
      </c>
      <c r="AW10" s="54">
        <v>78</v>
      </c>
      <c r="AX10" s="55" t="str">
        <f t="shared" si="24"/>
        <v>B+</v>
      </c>
      <c r="AY10" s="56">
        <f t="shared" si="25"/>
        <v>3.5</v>
      </c>
      <c r="AZ10" s="55">
        <v>3</v>
      </c>
      <c r="BA10" s="55">
        <f t="shared" si="26"/>
        <v>10.5</v>
      </c>
      <c r="BB10" s="84">
        <v>77</v>
      </c>
      <c r="BC10" s="57" t="str">
        <f t="shared" si="27"/>
        <v>B+</v>
      </c>
      <c r="BD10" s="58">
        <f t="shared" si="28"/>
        <v>3.5</v>
      </c>
      <c r="BE10" s="57">
        <v>5</v>
      </c>
      <c r="BF10" s="57">
        <f t="shared" si="29"/>
        <v>17.5</v>
      </c>
      <c r="BG10" s="59">
        <v>74</v>
      </c>
      <c r="BH10" s="59" t="str">
        <f t="shared" si="30"/>
        <v>B</v>
      </c>
      <c r="BI10" s="60">
        <f t="shared" si="31"/>
        <v>3</v>
      </c>
      <c r="BJ10" s="85">
        <v>2</v>
      </c>
      <c r="BK10" s="59">
        <f t="shared" si="32"/>
        <v>6</v>
      </c>
      <c r="BL10" s="47">
        <f t="shared" si="33"/>
        <v>66</v>
      </c>
      <c r="BM10" s="48">
        <f t="shared" si="34"/>
        <v>20</v>
      </c>
      <c r="BN10" s="47">
        <f t="shared" si="35"/>
        <v>3.3</v>
      </c>
      <c r="BO10" s="14">
        <f t="shared" si="36"/>
        <v>64</v>
      </c>
      <c r="BP10" s="15">
        <f t="shared" si="37"/>
        <v>18</v>
      </c>
      <c r="BQ10" s="14">
        <f t="shared" si="38"/>
        <v>3.5555555555555554</v>
      </c>
      <c r="BR10" s="86">
        <f t="shared" si="39"/>
        <v>130</v>
      </c>
      <c r="BS10" s="87">
        <f t="shared" si="40"/>
        <v>38</v>
      </c>
      <c r="BT10" s="88">
        <f t="shared" si="41"/>
        <v>3.4210526315789473</v>
      </c>
      <c r="BU10" s="95" t="str">
        <f t="shared" si="42"/>
        <v>Sangat Memuaskan</v>
      </c>
      <c r="BV10" s="95" t="str">
        <f t="shared" si="43"/>
        <v>Highly Satisfactory</v>
      </c>
      <c r="BW10" s="95" t="s">
        <v>192</v>
      </c>
    </row>
    <row r="11" spans="1:75" ht="15.75" x14ac:dyDescent="0.25">
      <c r="A11" s="16">
        <v>9</v>
      </c>
      <c r="B11" s="16" t="s">
        <v>35</v>
      </c>
      <c r="C11" s="16">
        <v>122314021</v>
      </c>
      <c r="D11" s="16" t="s">
        <v>26</v>
      </c>
      <c r="E11" s="16" t="s">
        <v>84</v>
      </c>
      <c r="F11" s="75" t="s">
        <v>85</v>
      </c>
      <c r="G11" s="75" t="s">
        <v>111</v>
      </c>
      <c r="H11" s="16" t="s">
        <v>208</v>
      </c>
      <c r="I11" s="17">
        <v>75</v>
      </c>
      <c r="J11" s="18" t="str">
        <f t="shared" si="0"/>
        <v>B+</v>
      </c>
      <c r="K11" s="19">
        <f t="shared" si="1"/>
        <v>3.5</v>
      </c>
      <c r="L11" s="20">
        <v>2</v>
      </c>
      <c r="M11" s="21">
        <f t="shared" si="2"/>
        <v>7</v>
      </c>
      <c r="N11" s="22">
        <v>74</v>
      </c>
      <c r="O11" s="23" t="str">
        <f t="shared" si="3"/>
        <v>B</v>
      </c>
      <c r="P11" s="24">
        <f t="shared" si="4"/>
        <v>3</v>
      </c>
      <c r="Q11" s="25">
        <v>6</v>
      </c>
      <c r="R11" s="26">
        <f t="shared" si="5"/>
        <v>18</v>
      </c>
      <c r="S11" s="27">
        <v>76.05</v>
      </c>
      <c r="T11" s="28" t="str">
        <f t="shared" si="6"/>
        <v>B+</v>
      </c>
      <c r="U11" s="29">
        <f t="shared" si="7"/>
        <v>3.5</v>
      </c>
      <c r="V11" s="30">
        <f>3</f>
        <v>3</v>
      </c>
      <c r="W11" s="31">
        <f t="shared" si="8"/>
        <v>10.5</v>
      </c>
      <c r="X11" s="32">
        <v>76.05</v>
      </c>
      <c r="Y11" s="33" t="str">
        <f t="shared" si="9"/>
        <v>B+</v>
      </c>
      <c r="Z11" s="34">
        <f t="shared" si="10"/>
        <v>3.5</v>
      </c>
      <c r="AA11" s="35">
        <v>4</v>
      </c>
      <c r="AB11" s="36">
        <f t="shared" si="11"/>
        <v>14</v>
      </c>
      <c r="AC11" s="61">
        <v>73</v>
      </c>
      <c r="AD11" s="38" t="str">
        <f t="shared" si="12"/>
        <v>B</v>
      </c>
      <c r="AE11" s="39">
        <f t="shared" si="13"/>
        <v>3</v>
      </c>
      <c r="AF11" s="40">
        <v>3</v>
      </c>
      <c r="AG11" s="41">
        <f t="shared" si="14"/>
        <v>9</v>
      </c>
      <c r="AH11" s="42">
        <v>75</v>
      </c>
      <c r="AI11" s="43" t="str">
        <f t="shared" si="15"/>
        <v>B+</v>
      </c>
      <c r="AJ11" s="44">
        <f t="shared" si="16"/>
        <v>3.5</v>
      </c>
      <c r="AK11" s="45">
        <v>2</v>
      </c>
      <c r="AL11" s="46">
        <f t="shared" si="17"/>
        <v>7</v>
      </c>
      <c r="AM11" s="80">
        <v>82</v>
      </c>
      <c r="AN11" s="49" t="str">
        <f t="shared" si="18"/>
        <v>A</v>
      </c>
      <c r="AO11" s="50">
        <f t="shared" si="19"/>
        <v>4</v>
      </c>
      <c r="AP11" s="81">
        <v>4</v>
      </c>
      <c r="AQ11" s="82">
        <f t="shared" si="20"/>
        <v>16</v>
      </c>
      <c r="AR11" s="51">
        <v>79</v>
      </c>
      <c r="AS11" s="52" t="str">
        <f t="shared" si="21"/>
        <v>B+</v>
      </c>
      <c r="AT11" s="53">
        <f t="shared" si="22"/>
        <v>3.5</v>
      </c>
      <c r="AU11" s="83">
        <v>4</v>
      </c>
      <c r="AV11" s="52">
        <f t="shared" si="23"/>
        <v>14</v>
      </c>
      <c r="AW11" s="54">
        <v>76</v>
      </c>
      <c r="AX11" s="55" t="str">
        <f t="shared" si="24"/>
        <v>B+</v>
      </c>
      <c r="AY11" s="56">
        <f t="shared" si="25"/>
        <v>3.5</v>
      </c>
      <c r="AZ11" s="55">
        <v>3</v>
      </c>
      <c r="BA11" s="55">
        <f t="shared" si="26"/>
        <v>10.5</v>
      </c>
      <c r="BB11" s="84">
        <v>75</v>
      </c>
      <c r="BC11" s="57" t="str">
        <f t="shared" si="27"/>
        <v>B+</v>
      </c>
      <c r="BD11" s="58">
        <f t="shared" si="28"/>
        <v>3.5</v>
      </c>
      <c r="BE11" s="57">
        <v>5</v>
      </c>
      <c r="BF11" s="57">
        <f t="shared" si="29"/>
        <v>17.5</v>
      </c>
      <c r="BG11" s="59">
        <v>79</v>
      </c>
      <c r="BH11" s="59" t="str">
        <f t="shared" si="30"/>
        <v>B+</v>
      </c>
      <c r="BI11" s="60">
        <f t="shared" si="31"/>
        <v>3.5</v>
      </c>
      <c r="BJ11" s="85">
        <v>2</v>
      </c>
      <c r="BK11" s="59">
        <f t="shared" si="32"/>
        <v>7</v>
      </c>
      <c r="BL11" s="47">
        <f t="shared" si="33"/>
        <v>65.5</v>
      </c>
      <c r="BM11" s="48">
        <f t="shared" si="34"/>
        <v>20</v>
      </c>
      <c r="BN11" s="47">
        <f t="shared" si="35"/>
        <v>3.2749999999999999</v>
      </c>
      <c r="BO11" s="14">
        <f t="shared" si="36"/>
        <v>65</v>
      </c>
      <c r="BP11" s="15">
        <f t="shared" si="37"/>
        <v>18</v>
      </c>
      <c r="BQ11" s="14">
        <f t="shared" si="38"/>
        <v>3.6111111111111112</v>
      </c>
      <c r="BR11" s="86">
        <f t="shared" si="39"/>
        <v>130.5</v>
      </c>
      <c r="BS11" s="87">
        <f t="shared" si="40"/>
        <v>38</v>
      </c>
      <c r="BT11" s="88">
        <f t="shared" si="41"/>
        <v>3.4342105263157894</v>
      </c>
      <c r="BU11" s="95" t="str">
        <f t="shared" si="42"/>
        <v>Sangat Memuaskan</v>
      </c>
      <c r="BV11" s="95" t="str">
        <f t="shared" si="43"/>
        <v>Highly Satisfactory</v>
      </c>
      <c r="BW11" s="95" t="s">
        <v>161</v>
      </c>
    </row>
    <row r="12" spans="1:75" x14ac:dyDescent="0.25">
      <c r="A12" s="16">
        <v>10</v>
      </c>
      <c r="B12" s="16" t="s">
        <v>36</v>
      </c>
      <c r="C12" s="16">
        <v>122314022</v>
      </c>
      <c r="D12" s="16" t="s">
        <v>26</v>
      </c>
      <c r="E12" s="95" t="s">
        <v>86</v>
      </c>
      <c r="F12" s="75" t="s">
        <v>87</v>
      </c>
      <c r="G12" s="75" t="s">
        <v>111</v>
      </c>
      <c r="H12" s="16" t="s">
        <v>209</v>
      </c>
      <c r="I12" s="17">
        <v>76</v>
      </c>
      <c r="J12" s="18" t="str">
        <f t="shared" si="0"/>
        <v>B+</v>
      </c>
      <c r="K12" s="19">
        <f t="shared" si="1"/>
        <v>3.5</v>
      </c>
      <c r="L12" s="20">
        <v>2</v>
      </c>
      <c r="M12" s="21">
        <f t="shared" si="2"/>
        <v>7</v>
      </c>
      <c r="N12" s="22">
        <v>74</v>
      </c>
      <c r="O12" s="23" t="str">
        <f t="shared" si="3"/>
        <v>B</v>
      </c>
      <c r="P12" s="24">
        <f t="shared" si="4"/>
        <v>3</v>
      </c>
      <c r="Q12" s="25">
        <v>6</v>
      </c>
      <c r="R12" s="26">
        <f t="shared" si="5"/>
        <v>18</v>
      </c>
      <c r="S12" s="27">
        <v>75</v>
      </c>
      <c r="T12" s="28" t="str">
        <f t="shared" si="6"/>
        <v>B+</v>
      </c>
      <c r="U12" s="29">
        <f t="shared" si="7"/>
        <v>3.5</v>
      </c>
      <c r="V12" s="30">
        <f>3</f>
        <v>3</v>
      </c>
      <c r="W12" s="31">
        <f t="shared" si="8"/>
        <v>10.5</v>
      </c>
      <c r="X12" s="32">
        <v>73.5</v>
      </c>
      <c r="Y12" s="33" t="str">
        <f t="shared" si="9"/>
        <v>B</v>
      </c>
      <c r="Z12" s="34">
        <f t="shared" si="10"/>
        <v>3</v>
      </c>
      <c r="AA12" s="35">
        <v>4</v>
      </c>
      <c r="AB12" s="36">
        <f t="shared" si="11"/>
        <v>12</v>
      </c>
      <c r="AC12" s="61">
        <v>75</v>
      </c>
      <c r="AD12" s="38" t="str">
        <f t="shared" si="12"/>
        <v>B+</v>
      </c>
      <c r="AE12" s="39">
        <f t="shared" si="13"/>
        <v>3.5</v>
      </c>
      <c r="AF12" s="40">
        <v>3</v>
      </c>
      <c r="AG12" s="41">
        <f t="shared" si="14"/>
        <v>10.5</v>
      </c>
      <c r="AH12" s="42">
        <v>78</v>
      </c>
      <c r="AI12" s="43" t="str">
        <f t="shared" si="15"/>
        <v>B+</v>
      </c>
      <c r="AJ12" s="44">
        <f t="shared" si="16"/>
        <v>3.5</v>
      </c>
      <c r="AK12" s="45">
        <v>2</v>
      </c>
      <c r="AL12" s="46">
        <f t="shared" si="17"/>
        <v>7</v>
      </c>
      <c r="AM12" s="80">
        <v>81.349999999999994</v>
      </c>
      <c r="AN12" s="49" t="str">
        <f t="shared" si="18"/>
        <v>A</v>
      </c>
      <c r="AO12" s="50">
        <f t="shared" si="19"/>
        <v>4</v>
      </c>
      <c r="AP12" s="81">
        <v>4</v>
      </c>
      <c r="AQ12" s="82">
        <f t="shared" si="20"/>
        <v>16</v>
      </c>
      <c r="AR12" s="51">
        <v>79</v>
      </c>
      <c r="AS12" s="52" t="str">
        <f t="shared" si="21"/>
        <v>B+</v>
      </c>
      <c r="AT12" s="53">
        <f t="shared" si="22"/>
        <v>3.5</v>
      </c>
      <c r="AU12" s="83">
        <v>4</v>
      </c>
      <c r="AV12" s="52">
        <f t="shared" si="23"/>
        <v>14</v>
      </c>
      <c r="AW12" s="54">
        <v>75</v>
      </c>
      <c r="AX12" s="55" t="str">
        <f t="shared" si="24"/>
        <v>B+</v>
      </c>
      <c r="AY12" s="56">
        <f t="shared" si="25"/>
        <v>3.5</v>
      </c>
      <c r="AZ12" s="55">
        <v>3</v>
      </c>
      <c r="BA12" s="55">
        <f t="shared" si="26"/>
        <v>10.5</v>
      </c>
      <c r="BB12" s="84">
        <v>75</v>
      </c>
      <c r="BC12" s="57" t="str">
        <f t="shared" si="27"/>
        <v>B+</v>
      </c>
      <c r="BD12" s="58">
        <f t="shared" si="28"/>
        <v>3.5</v>
      </c>
      <c r="BE12" s="57">
        <v>5</v>
      </c>
      <c r="BF12" s="57">
        <f t="shared" si="29"/>
        <v>17.5</v>
      </c>
      <c r="BG12" s="59">
        <v>78</v>
      </c>
      <c r="BH12" s="59" t="str">
        <f t="shared" si="30"/>
        <v>B+</v>
      </c>
      <c r="BI12" s="60">
        <f t="shared" si="31"/>
        <v>3.5</v>
      </c>
      <c r="BJ12" s="85">
        <v>2</v>
      </c>
      <c r="BK12" s="59">
        <f t="shared" si="32"/>
        <v>7</v>
      </c>
      <c r="BL12" s="47">
        <f t="shared" si="33"/>
        <v>65</v>
      </c>
      <c r="BM12" s="48">
        <f t="shared" si="34"/>
        <v>20</v>
      </c>
      <c r="BN12" s="47">
        <f t="shared" si="35"/>
        <v>3.25</v>
      </c>
      <c r="BO12" s="47">
        <f t="shared" si="36"/>
        <v>65</v>
      </c>
      <c r="BP12" s="73">
        <f t="shared" si="37"/>
        <v>18</v>
      </c>
      <c r="BQ12" s="47">
        <f t="shared" si="38"/>
        <v>3.6111111111111112</v>
      </c>
      <c r="BR12" s="89">
        <f t="shared" si="39"/>
        <v>130</v>
      </c>
      <c r="BS12" s="84">
        <f t="shared" si="40"/>
        <v>38</v>
      </c>
      <c r="BT12" s="90">
        <f t="shared" si="41"/>
        <v>3.4210526315789473</v>
      </c>
      <c r="BU12" s="95" t="str">
        <f t="shared" si="42"/>
        <v>Sangat Memuaskan</v>
      </c>
      <c r="BV12" s="95" t="str">
        <f t="shared" si="43"/>
        <v>Highly Satisfactory</v>
      </c>
      <c r="BW12" s="95" t="s">
        <v>162</v>
      </c>
    </row>
    <row r="13" spans="1:75" ht="15.75" x14ac:dyDescent="0.25">
      <c r="A13" s="16">
        <v>11</v>
      </c>
      <c r="B13" s="16" t="s">
        <v>37</v>
      </c>
      <c r="C13" s="16">
        <v>122314024</v>
      </c>
      <c r="D13" s="16" t="s">
        <v>26</v>
      </c>
      <c r="E13" s="94" t="s">
        <v>113</v>
      </c>
      <c r="F13" s="75" t="s">
        <v>119</v>
      </c>
      <c r="G13" s="75" t="s">
        <v>112</v>
      </c>
      <c r="H13" s="16" t="s">
        <v>210</v>
      </c>
      <c r="I13" s="17">
        <v>75</v>
      </c>
      <c r="J13" s="18" t="str">
        <f t="shared" si="0"/>
        <v>B+</v>
      </c>
      <c r="K13" s="19">
        <f t="shared" si="1"/>
        <v>3.5</v>
      </c>
      <c r="L13" s="20">
        <v>2</v>
      </c>
      <c r="M13" s="21">
        <f t="shared" si="2"/>
        <v>7</v>
      </c>
      <c r="N13" s="22">
        <v>75</v>
      </c>
      <c r="O13" s="23" t="str">
        <f t="shared" si="3"/>
        <v>B+</v>
      </c>
      <c r="P13" s="24">
        <f t="shared" si="4"/>
        <v>3.5</v>
      </c>
      <c r="Q13" s="25">
        <v>6</v>
      </c>
      <c r="R13" s="26">
        <f t="shared" si="5"/>
        <v>21</v>
      </c>
      <c r="S13" s="27">
        <v>74.849999999999994</v>
      </c>
      <c r="T13" s="28" t="str">
        <f t="shared" si="6"/>
        <v>B</v>
      </c>
      <c r="U13" s="29">
        <f t="shared" si="7"/>
        <v>3</v>
      </c>
      <c r="V13" s="30">
        <f>3</f>
        <v>3</v>
      </c>
      <c r="W13" s="31">
        <f t="shared" si="8"/>
        <v>9</v>
      </c>
      <c r="X13" s="32">
        <v>74.849999999999994</v>
      </c>
      <c r="Y13" s="33" t="str">
        <f t="shared" si="9"/>
        <v>B</v>
      </c>
      <c r="Z13" s="34">
        <f t="shared" si="10"/>
        <v>3</v>
      </c>
      <c r="AA13" s="35">
        <v>4</v>
      </c>
      <c r="AB13" s="36">
        <f t="shared" si="11"/>
        <v>12</v>
      </c>
      <c r="AC13" s="61">
        <v>75</v>
      </c>
      <c r="AD13" s="38" t="str">
        <f t="shared" si="12"/>
        <v>B+</v>
      </c>
      <c r="AE13" s="39">
        <f t="shared" si="13"/>
        <v>3.5</v>
      </c>
      <c r="AF13" s="40">
        <v>3</v>
      </c>
      <c r="AG13" s="41">
        <f t="shared" si="14"/>
        <v>10.5</v>
      </c>
      <c r="AH13" s="42">
        <v>75</v>
      </c>
      <c r="AI13" s="43" t="str">
        <f t="shared" si="15"/>
        <v>B+</v>
      </c>
      <c r="AJ13" s="44">
        <f t="shared" si="16"/>
        <v>3.5</v>
      </c>
      <c r="AK13" s="45">
        <v>2</v>
      </c>
      <c r="AL13" s="46">
        <f t="shared" si="17"/>
        <v>7</v>
      </c>
      <c r="AM13" s="80">
        <v>81.349999999999994</v>
      </c>
      <c r="AN13" s="49" t="str">
        <f t="shared" si="18"/>
        <v>A</v>
      </c>
      <c r="AO13" s="50">
        <f t="shared" si="19"/>
        <v>4</v>
      </c>
      <c r="AP13" s="81">
        <v>4</v>
      </c>
      <c r="AQ13" s="82">
        <f t="shared" si="20"/>
        <v>16</v>
      </c>
      <c r="AR13" s="51">
        <v>78</v>
      </c>
      <c r="AS13" s="52" t="str">
        <f t="shared" si="21"/>
        <v>B+</v>
      </c>
      <c r="AT13" s="53">
        <f t="shared" si="22"/>
        <v>3.5</v>
      </c>
      <c r="AU13" s="83">
        <v>4</v>
      </c>
      <c r="AV13" s="52">
        <f t="shared" si="23"/>
        <v>14</v>
      </c>
      <c r="AW13" s="54">
        <v>77</v>
      </c>
      <c r="AX13" s="55" t="str">
        <f t="shared" si="24"/>
        <v>B+</v>
      </c>
      <c r="AY13" s="56">
        <f t="shared" si="25"/>
        <v>3.5</v>
      </c>
      <c r="AZ13" s="55">
        <v>3</v>
      </c>
      <c r="BA13" s="55">
        <f t="shared" si="26"/>
        <v>10.5</v>
      </c>
      <c r="BB13" s="84">
        <v>76</v>
      </c>
      <c r="BC13" s="57" t="str">
        <f t="shared" si="27"/>
        <v>B+</v>
      </c>
      <c r="BD13" s="58">
        <f t="shared" si="28"/>
        <v>3.5</v>
      </c>
      <c r="BE13" s="57">
        <v>5</v>
      </c>
      <c r="BF13" s="57">
        <f t="shared" si="29"/>
        <v>17.5</v>
      </c>
      <c r="BG13" s="59">
        <v>74</v>
      </c>
      <c r="BH13" s="59" t="str">
        <f t="shared" si="30"/>
        <v>B</v>
      </c>
      <c r="BI13" s="60">
        <f t="shared" si="31"/>
        <v>3</v>
      </c>
      <c r="BJ13" s="85">
        <v>2</v>
      </c>
      <c r="BK13" s="59">
        <f t="shared" si="32"/>
        <v>6</v>
      </c>
      <c r="BL13" s="47">
        <f t="shared" si="33"/>
        <v>66.5</v>
      </c>
      <c r="BM13" s="48">
        <f t="shared" si="34"/>
        <v>20</v>
      </c>
      <c r="BN13" s="47">
        <f t="shared" si="35"/>
        <v>3.3250000000000002</v>
      </c>
      <c r="BO13" s="14">
        <f t="shared" si="36"/>
        <v>64</v>
      </c>
      <c r="BP13" s="15">
        <f t="shared" si="37"/>
        <v>18</v>
      </c>
      <c r="BQ13" s="14">
        <f t="shared" si="38"/>
        <v>3.5555555555555554</v>
      </c>
      <c r="BR13" s="86">
        <f t="shared" si="39"/>
        <v>130.5</v>
      </c>
      <c r="BS13" s="87">
        <f t="shared" si="40"/>
        <v>38</v>
      </c>
      <c r="BT13" s="88">
        <f t="shared" si="41"/>
        <v>3.4342105263157894</v>
      </c>
      <c r="BU13" s="95" t="str">
        <f t="shared" si="42"/>
        <v>Sangat Memuaskan</v>
      </c>
      <c r="BV13" s="95" t="str">
        <f t="shared" si="43"/>
        <v>Highly Satisfactory</v>
      </c>
      <c r="BW13" s="95" t="s">
        <v>163</v>
      </c>
    </row>
    <row r="14" spans="1:75" ht="15.75" x14ac:dyDescent="0.25">
      <c r="A14" s="16">
        <v>12</v>
      </c>
      <c r="B14" s="16" t="s">
        <v>38</v>
      </c>
      <c r="C14" s="16">
        <v>122314025</v>
      </c>
      <c r="D14" s="16" t="s">
        <v>26</v>
      </c>
      <c r="E14" s="94" t="s">
        <v>120</v>
      </c>
      <c r="F14" s="75" t="s">
        <v>121</v>
      </c>
      <c r="G14" s="75" t="s">
        <v>112</v>
      </c>
      <c r="H14" s="16" t="s">
        <v>211</v>
      </c>
      <c r="I14" s="17">
        <v>74</v>
      </c>
      <c r="J14" s="18" t="str">
        <f t="shared" si="0"/>
        <v>B</v>
      </c>
      <c r="K14" s="19">
        <f t="shared" si="1"/>
        <v>3</v>
      </c>
      <c r="L14" s="20">
        <v>2</v>
      </c>
      <c r="M14" s="21">
        <f t="shared" si="2"/>
        <v>6</v>
      </c>
      <c r="N14" s="22">
        <v>75</v>
      </c>
      <c r="O14" s="23" t="str">
        <f t="shared" si="3"/>
        <v>B+</v>
      </c>
      <c r="P14" s="24">
        <f t="shared" si="4"/>
        <v>3.5</v>
      </c>
      <c r="Q14" s="25">
        <v>6</v>
      </c>
      <c r="R14" s="26">
        <f t="shared" si="5"/>
        <v>21</v>
      </c>
      <c r="S14" s="27">
        <v>77.08</v>
      </c>
      <c r="T14" s="28" t="str">
        <f t="shared" si="6"/>
        <v>B+</v>
      </c>
      <c r="U14" s="29">
        <f t="shared" si="7"/>
        <v>3.5</v>
      </c>
      <c r="V14" s="30">
        <f>3</f>
        <v>3</v>
      </c>
      <c r="W14" s="31">
        <f t="shared" si="8"/>
        <v>10.5</v>
      </c>
      <c r="X14" s="32">
        <v>77.08</v>
      </c>
      <c r="Y14" s="33" t="str">
        <f t="shared" si="9"/>
        <v>B+</v>
      </c>
      <c r="Z14" s="34">
        <f t="shared" si="10"/>
        <v>3.5</v>
      </c>
      <c r="AA14" s="35">
        <v>4</v>
      </c>
      <c r="AB14" s="36">
        <f t="shared" si="11"/>
        <v>14</v>
      </c>
      <c r="AC14" s="61">
        <v>75</v>
      </c>
      <c r="AD14" s="38" t="str">
        <f t="shared" si="12"/>
        <v>B+</v>
      </c>
      <c r="AE14" s="39">
        <f t="shared" si="13"/>
        <v>3.5</v>
      </c>
      <c r="AF14" s="40">
        <v>3</v>
      </c>
      <c r="AG14" s="41">
        <f t="shared" si="14"/>
        <v>10.5</v>
      </c>
      <c r="AH14" s="42">
        <v>76</v>
      </c>
      <c r="AI14" s="43" t="str">
        <f t="shared" si="15"/>
        <v>B+</v>
      </c>
      <c r="AJ14" s="44">
        <f t="shared" si="16"/>
        <v>3.5</v>
      </c>
      <c r="AK14" s="45">
        <v>2</v>
      </c>
      <c r="AL14" s="46">
        <f t="shared" si="17"/>
        <v>7</v>
      </c>
      <c r="AM14" s="93">
        <v>81</v>
      </c>
      <c r="AN14" s="49" t="str">
        <f t="shared" si="18"/>
        <v>A</v>
      </c>
      <c r="AO14" s="50">
        <f t="shared" si="19"/>
        <v>4</v>
      </c>
      <c r="AP14" s="81">
        <v>4</v>
      </c>
      <c r="AQ14" s="82">
        <f t="shared" si="20"/>
        <v>16</v>
      </c>
      <c r="AR14" s="62">
        <v>78</v>
      </c>
      <c r="AS14" s="52" t="str">
        <f t="shared" si="21"/>
        <v>B+</v>
      </c>
      <c r="AT14" s="53">
        <f t="shared" si="22"/>
        <v>3.5</v>
      </c>
      <c r="AU14" s="83">
        <v>4</v>
      </c>
      <c r="AV14" s="52">
        <f t="shared" si="23"/>
        <v>14</v>
      </c>
      <c r="AW14" s="54">
        <v>76</v>
      </c>
      <c r="AX14" s="55" t="str">
        <f t="shared" si="24"/>
        <v>B+</v>
      </c>
      <c r="AY14" s="56">
        <f t="shared" si="25"/>
        <v>3.5</v>
      </c>
      <c r="AZ14" s="55">
        <v>3</v>
      </c>
      <c r="BA14" s="55">
        <f t="shared" si="26"/>
        <v>10.5</v>
      </c>
      <c r="BB14" s="84">
        <v>75</v>
      </c>
      <c r="BC14" s="57" t="str">
        <f t="shared" si="27"/>
        <v>B+</v>
      </c>
      <c r="BD14" s="58">
        <f t="shared" si="28"/>
        <v>3.5</v>
      </c>
      <c r="BE14" s="57">
        <v>5</v>
      </c>
      <c r="BF14" s="57">
        <f t="shared" si="29"/>
        <v>17.5</v>
      </c>
      <c r="BG14" s="59">
        <v>74</v>
      </c>
      <c r="BH14" s="59" t="str">
        <f t="shared" si="30"/>
        <v>B</v>
      </c>
      <c r="BI14" s="60">
        <f t="shared" si="31"/>
        <v>3</v>
      </c>
      <c r="BJ14" s="85">
        <v>2</v>
      </c>
      <c r="BK14" s="59">
        <f t="shared" si="32"/>
        <v>6</v>
      </c>
      <c r="BL14" s="47">
        <f t="shared" si="33"/>
        <v>69</v>
      </c>
      <c r="BM14" s="48">
        <f t="shared" si="34"/>
        <v>20</v>
      </c>
      <c r="BN14" s="47">
        <f t="shared" si="35"/>
        <v>3.45</v>
      </c>
      <c r="BO14" s="14">
        <f t="shared" si="36"/>
        <v>64</v>
      </c>
      <c r="BP14" s="15">
        <f t="shared" si="37"/>
        <v>18</v>
      </c>
      <c r="BQ14" s="14">
        <f t="shared" si="38"/>
        <v>3.5555555555555554</v>
      </c>
      <c r="BR14" s="86">
        <f t="shared" si="39"/>
        <v>133</v>
      </c>
      <c r="BS14" s="87">
        <f t="shared" si="40"/>
        <v>38</v>
      </c>
      <c r="BT14" s="88">
        <f t="shared" si="41"/>
        <v>3.5</v>
      </c>
      <c r="BU14" s="95" t="str">
        <f t="shared" si="42"/>
        <v>Sangat Memuaskan</v>
      </c>
      <c r="BV14" s="95" t="str">
        <f t="shared" si="43"/>
        <v>Highly Satisfactory</v>
      </c>
      <c r="BW14" s="95" t="s">
        <v>164</v>
      </c>
    </row>
    <row r="15" spans="1:75" ht="15.75" x14ac:dyDescent="0.25">
      <c r="A15" s="16">
        <v>13</v>
      </c>
      <c r="B15" s="16" t="s">
        <v>39</v>
      </c>
      <c r="C15" s="16">
        <v>122314026</v>
      </c>
      <c r="D15" s="16" t="s">
        <v>26</v>
      </c>
      <c r="E15" s="94" t="s">
        <v>122</v>
      </c>
      <c r="F15" s="75" t="s">
        <v>123</v>
      </c>
      <c r="G15" s="75" t="s">
        <v>112</v>
      </c>
      <c r="H15" s="16" t="s">
        <v>212</v>
      </c>
      <c r="I15" s="17">
        <v>78</v>
      </c>
      <c r="J15" s="18" t="str">
        <f t="shared" si="0"/>
        <v>B+</v>
      </c>
      <c r="K15" s="19">
        <f t="shared" si="1"/>
        <v>3.5</v>
      </c>
      <c r="L15" s="20">
        <v>2</v>
      </c>
      <c r="M15" s="21">
        <f t="shared" si="2"/>
        <v>7</v>
      </c>
      <c r="N15" s="22">
        <v>75</v>
      </c>
      <c r="O15" s="23" t="str">
        <f t="shared" si="3"/>
        <v>B+</v>
      </c>
      <c r="P15" s="24">
        <f t="shared" si="4"/>
        <v>3.5</v>
      </c>
      <c r="Q15" s="25">
        <v>6</v>
      </c>
      <c r="R15" s="26">
        <f t="shared" si="5"/>
        <v>21</v>
      </c>
      <c r="S15" s="27">
        <v>75.400000000000006</v>
      </c>
      <c r="T15" s="28" t="str">
        <f t="shared" si="6"/>
        <v>B+</v>
      </c>
      <c r="U15" s="29">
        <f t="shared" si="7"/>
        <v>3.5</v>
      </c>
      <c r="V15" s="30">
        <f>3</f>
        <v>3</v>
      </c>
      <c r="W15" s="31">
        <f t="shared" si="8"/>
        <v>10.5</v>
      </c>
      <c r="X15" s="32">
        <v>75.400000000000006</v>
      </c>
      <c r="Y15" s="33" t="str">
        <f t="shared" si="9"/>
        <v>B+</v>
      </c>
      <c r="Z15" s="34">
        <f t="shared" si="10"/>
        <v>3.5</v>
      </c>
      <c r="AA15" s="35">
        <v>4</v>
      </c>
      <c r="AB15" s="36">
        <f t="shared" si="11"/>
        <v>14</v>
      </c>
      <c r="AC15" s="61">
        <v>75</v>
      </c>
      <c r="AD15" s="38" t="str">
        <f t="shared" si="12"/>
        <v>B+</v>
      </c>
      <c r="AE15" s="39">
        <f t="shared" si="13"/>
        <v>3.5</v>
      </c>
      <c r="AF15" s="40">
        <v>3</v>
      </c>
      <c r="AG15" s="41">
        <f t="shared" si="14"/>
        <v>10.5</v>
      </c>
      <c r="AH15" s="42">
        <v>75</v>
      </c>
      <c r="AI15" s="43" t="str">
        <f t="shared" si="15"/>
        <v>B+</v>
      </c>
      <c r="AJ15" s="44">
        <f t="shared" si="16"/>
        <v>3.5</v>
      </c>
      <c r="AK15" s="45">
        <v>2</v>
      </c>
      <c r="AL15" s="46">
        <f t="shared" si="17"/>
        <v>7</v>
      </c>
      <c r="AM15" s="93">
        <v>83</v>
      </c>
      <c r="AN15" s="49" t="str">
        <f t="shared" si="18"/>
        <v>A</v>
      </c>
      <c r="AO15" s="50">
        <f t="shared" si="19"/>
        <v>4</v>
      </c>
      <c r="AP15" s="81">
        <v>4</v>
      </c>
      <c r="AQ15" s="82">
        <f t="shared" si="20"/>
        <v>16</v>
      </c>
      <c r="AR15" s="51">
        <v>79</v>
      </c>
      <c r="AS15" s="52" t="str">
        <f t="shared" si="21"/>
        <v>B+</v>
      </c>
      <c r="AT15" s="53">
        <f t="shared" si="22"/>
        <v>3.5</v>
      </c>
      <c r="AU15" s="83">
        <v>4</v>
      </c>
      <c r="AV15" s="52">
        <f t="shared" si="23"/>
        <v>14</v>
      </c>
      <c r="AW15" s="54">
        <v>76</v>
      </c>
      <c r="AX15" s="55" t="str">
        <f t="shared" si="24"/>
        <v>B+</v>
      </c>
      <c r="AY15" s="56">
        <f t="shared" si="25"/>
        <v>3.5</v>
      </c>
      <c r="AZ15" s="55">
        <v>3</v>
      </c>
      <c r="BA15" s="55">
        <f t="shared" si="26"/>
        <v>10.5</v>
      </c>
      <c r="BB15" s="84">
        <v>75</v>
      </c>
      <c r="BC15" s="57" t="str">
        <f t="shared" si="27"/>
        <v>B+</v>
      </c>
      <c r="BD15" s="58">
        <f t="shared" si="28"/>
        <v>3.5</v>
      </c>
      <c r="BE15" s="57">
        <v>5</v>
      </c>
      <c r="BF15" s="57">
        <f t="shared" si="29"/>
        <v>17.5</v>
      </c>
      <c r="BG15" s="59">
        <v>74</v>
      </c>
      <c r="BH15" s="59" t="str">
        <f t="shared" si="30"/>
        <v>B</v>
      </c>
      <c r="BI15" s="60">
        <f t="shared" si="31"/>
        <v>3</v>
      </c>
      <c r="BJ15" s="85">
        <v>2</v>
      </c>
      <c r="BK15" s="59">
        <f t="shared" si="32"/>
        <v>6</v>
      </c>
      <c r="BL15" s="47">
        <f t="shared" si="33"/>
        <v>70</v>
      </c>
      <c r="BM15" s="48">
        <f t="shared" si="34"/>
        <v>20</v>
      </c>
      <c r="BN15" s="47">
        <f t="shared" si="35"/>
        <v>3.5</v>
      </c>
      <c r="BO15" s="14">
        <f t="shared" si="36"/>
        <v>64</v>
      </c>
      <c r="BP15" s="15">
        <f t="shared" si="37"/>
        <v>18</v>
      </c>
      <c r="BQ15" s="14">
        <f t="shared" si="38"/>
        <v>3.5555555555555554</v>
      </c>
      <c r="BR15" s="86">
        <f t="shared" si="39"/>
        <v>134</v>
      </c>
      <c r="BS15" s="87">
        <f t="shared" si="40"/>
        <v>38</v>
      </c>
      <c r="BT15" s="88">
        <f t="shared" si="41"/>
        <v>3.5263157894736841</v>
      </c>
      <c r="BU15" s="95" t="str">
        <f t="shared" si="42"/>
        <v>Cum Laude</v>
      </c>
      <c r="BV15" s="95" t="str">
        <f t="shared" si="43"/>
        <v>Excellent</v>
      </c>
      <c r="BW15" s="95" t="s">
        <v>165</v>
      </c>
    </row>
    <row r="16" spans="1:75" ht="15.75" x14ac:dyDescent="0.25">
      <c r="A16" s="16">
        <v>14</v>
      </c>
      <c r="B16" s="16" t="s">
        <v>40</v>
      </c>
      <c r="C16" s="16">
        <v>122314028</v>
      </c>
      <c r="D16" s="16" t="s">
        <v>26</v>
      </c>
      <c r="E16" s="16" t="s">
        <v>117</v>
      </c>
      <c r="F16" s="75" t="s">
        <v>124</v>
      </c>
      <c r="G16" s="75" t="s">
        <v>111</v>
      </c>
      <c r="H16" s="16" t="s">
        <v>223</v>
      </c>
      <c r="I16" s="17">
        <v>75</v>
      </c>
      <c r="J16" s="18" t="str">
        <f t="shared" si="0"/>
        <v>B+</v>
      </c>
      <c r="K16" s="19">
        <f t="shared" si="1"/>
        <v>3.5</v>
      </c>
      <c r="L16" s="20">
        <v>2</v>
      </c>
      <c r="M16" s="21">
        <f t="shared" si="2"/>
        <v>7</v>
      </c>
      <c r="N16" s="22">
        <v>74</v>
      </c>
      <c r="O16" s="23" t="str">
        <f t="shared" si="3"/>
        <v>B</v>
      </c>
      <c r="P16" s="24">
        <f t="shared" si="4"/>
        <v>3</v>
      </c>
      <c r="Q16" s="25">
        <v>6</v>
      </c>
      <c r="R16" s="26">
        <f t="shared" si="5"/>
        <v>18</v>
      </c>
      <c r="S16" s="27">
        <v>77.28</v>
      </c>
      <c r="T16" s="28" t="str">
        <f t="shared" si="6"/>
        <v>B+</v>
      </c>
      <c r="U16" s="29">
        <f t="shared" si="7"/>
        <v>3.5</v>
      </c>
      <c r="V16" s="30">
        <f>3</f>
        <v>3</v>
      </c>
      <c r="W16" s="31">
        <f t="shared" si="8"/>
        <v>10.5</v>
      </c>
      <c r="X16" s="32">
        <v>77.28</v>
      </c>
      <c r="Y16" s="33" t="str">
        <f t="shared" si="9"/>
        <v>B+</v>
      </c>
      <c r="Z16" s="34">
        <f t="shared" si="10"/>
        <v>3.5</v>
      </c>
      <c r="AA16" s="35">
        <v>4</v>
      </c>
      <c r="AB16" s="36">
        <f t="shared" si="11"/>
        <v>14</v>
      </c>
      <c r="AC16" s="61">
        <v>75</v>
      </c>
      <c r="AD16" s="38" t="str">
        <f t="shared" si="12"/>
        <v>B+</v>
      </c>
      <c r="AE16" s="39">
        <f t="shared" si="13"/>
        <v>3.5</v>
      </c>
      <c r="AF16" s="40">
        <v>3</v>
      </c>
      <c r="AG16" s="41">
        <f t="shared" si="14"/>
        <v>10.5</v>
      </c>
      <c r="AH16" s="42">
        <v>75</v>
      </c>
      <c r="AI16" s="43" t="str">
        <f t="shared" si="15"/>
        <v>B+</v>
      </c>
      <c r="AJ16" s="44">
        <f t="shared" si="16"/>
        <v>3.5</v>
      </c>
      <c r="AK16" s="45">
        <v>2</v>
      </c>
      <c r="AL16" s="46">
        <f t="shared" si="17"/>
        <v>7</v>
      </c>
      <c r="AM16" s="80">
        <v>81.349999999999994</v>
      </c>
      <c r="AN16" s="49" t="str">
        <f t="shared" si="18"/>
        <v>A</v>
      </c>
      <c r="AO16" s="50">
        <f t="shared" si="19"/>
        <v>4</v>
      </c>
      <c r="AP16" s="81">
        <v>4</v>
      </c>
      <c r="AQ16" s="82">
        <f t="shared" si="20"/>
        <v>16</v>
      </c>
      <c r="AR16" s="51">
        <v>74</v>
      </c>
      <c r="AS16" s="52" t="str">
        <f t="shared" si="21"/>
        <v>B</v>
      </c>
      <c r="AT16" s="53">
        <f t="shared" si="22"/>
        <v>3</v>
      </c>
      <c r="AU16" s="83">
        <v>4</v>
      </c>
      <c r="AV16" s="52">
        <f t="shared" si="23"/>
        <v>12</v>
      </c>
      <c r="AW16" s="54">
        <v>77</v>
      </c>
      <c r="AX16" s="55" t="str">
        <f t="shared" si="24"/>
        <v>B+</v>
      </c>
      <c r="AY16" s="56">
        <f t="shared" si="25"/>
        <v>3.5</v>
      </c>
      <c r="AZ16" s="55">
        <v>3</v>
      </c>
      <c r="BA16" s="55">
        <f t="shared" si="26"/>
        <v>10.5</v>
      </c>
      <c r="BB16" s="84">
        <v>76</v>
      </c>
      <c r="BC16" s="57" t="str">
        <f t="shared" si="27"/>
        <v>B+</v>
      </c>
      <c r="BD16" s="58">
        <f t="shared" si="28"/>
        <v>3.5</v>
      </c>
      <c r="BE16" s="57">
        <v>5</v>
      </c>
      <c r="BF16" s="57">
        <f t="shared" si="29"/>
        <v>17.5</v>
      </c>
      <c r="BG16" s="59">
        <v>74</v>
      </c>
      <c r="BH16" s="59" t="str">
        <f t="shared" si="30"/>
        <v>B</v>
      </c>
      <c r="BI16" s="60">
        <f t="shared" si="31"/>
        <v>3</v>
      </c>
      <c r="BJ16" s="85">
        <v>2</v>
      </c>
      <c r="BK16" s="59">
        <f t="shared" si="32"/>
        <v>6</v>
      </c>
      <c r="BL16" s="47">
        <f t="shared" si="33"/>
        <v>67</v>
      </c>
      <c r="BM16" s="48">
        <f t="shared" si="34"/>
        <v>20</v>
      </c>
      <c r="BN16" s="47">
        <f t="shared" si="35"/>
        <v>3.35</v>
      </c>
      <c r="BO16" s="14">
        <f t="shared" si="36"/>
        <v>62</v>
      </c>
      <c r="BP16" s="15">
        <f t="shared" si="37"/>
        <v>18</v>
      </c>
      <c r="BQ16" s="14">
        <f t="shared" si="38"/>
        <v>3.4444444444444446</v>
      </c>
      <c r="BR16" s="86">
        <f t="shared" si="39"/>
        <v>129</v>
      </c>
      <c r="BS16" s="87">
        <f t="shared" si="40"/>
        <v>38</v>
      </c>
      <c r="BT16" s="88">
        <f t="shared" si="41"/>
        <v>3.3947368421052633</v>
      </c>
      <c r="BU16" s="95" t="str">
        <f t="shared" si="42"/>
        <v>Sangat Memuaskan</v>
      </c>
      <c r="BV16" s="95" t="str">
        <f t="shared" si="43"/>
        <v>Highly Satisfactory</v>
      </c>
      <c r="BW16" s="97" t="s">
        <v>166</v>
      </c>
    </row>
    <row r="17" spans="1:75" ht="15.75" x14ac:dyDescent="0.25">
      <c r="A17" s="16">
        <v>15</v>
      </c>
      <c r="B17" s="16" t="s">
        <v>41</v>
      </c>
      <c r="C17" s="16">
        <v>122314029</v>
      </c>
      <c r="D17" s="16" t="s">
        <v>26</v>
      </c>
      <c r="E17" s="16" t="s">
        <v>197</v>
      </c>
      <c r="F17" s="75" t="s">
        <v>88</v>
      </c>
      <c r="G17" s="75" t="s">
        <v>111</v>
      </c>
      <c r="H17" s="16" t="s">
        <v>224</v>
      </c>
      <c r="I17" s="17">
        <v>76</v>
      </c>
      <c r="J17" s="18" t="str">
        <f t="shared" si="0"/>
        <v>B+</v>
      </c>
      <c r="K17" s="19">
        <f t="shared" si="1"/>
        <v>3.5</v>
      </c>
      <c r="L17" s="20">
        <v>2</v>
      </c>
      <c r="M17" s="21">
        <f t="shared" si="2"/>
        <v>7</v>
      </c>
      <c r="N17" s="22">
        <v>74</v>
      </c>
      <c r="O17" s="23" t="str">
        <f t="shared" si="3"/>
        <v>B</v>
      </c>
      <c r="P17" s="24">
        <f t="shared" si="4"/>
        <v>3</v>
      </c>
      <c r="Q17" s="25">
        <v>6</v>
      </c>
      <c r="R17" s="26">
        <f t="shared" si="5"/>
        <v>18</v>
      </c>
      <c r="S17" s="27">
        <v>76</v>
      </c>
      <c r="T17" s="28" t="str">
        <f t="shared" si="6"/>
        <v>B+</v>
      </c>
      <c r="U17" s="29">
        <f t="shared" si="7"/>
        <v>3.5</v>
      </c>
      <c r="V17" s="30">
        <f>3</f>
        <v>3</v>
      </c>
      <c r="W17" s="31">
        <f t="shared" si="8"/>
        <v>10.5</v>
      </c>
      <c r="X17" s="32">
        <v>74.400000000000006</v>
      </c>
      <c r="Y17" s="33" t="str">
        <f t="shared" si="9"/>
        <v>B</v>
      </c>
      <c r="Z17" s="34">
        <f t="shared" si="10"/>
        <v>3</v>
      </c>
      <c r="AA17" s="35">
        <v>4</v>
      </c>
      <c r="AB17" s="36">
        <f t="shared" si="11"/>
        <v>12</v>
      </c>
      <c r="AC17" s="61">
        <v>76</v>
      </c>
      <c r="AD17" s="38" t="str">
        <f t="shared" si="12"/>
        <v>B+</v>
      </c>
      <c r="AE17" s="39">
        <f t="shared" si="13"/>
        <v>3.5</v>
      </c>
      <c r="AF17" s="40">
        <v>3</v>
      </c>
      <c r="AG17" s="41">
        <f t="shared" si="14"/>
        <v>10.5</v>
      </c>
      <c r="AH17" s="42">
        <v>76</v>
      </c>
      <c r="AI17" s="43" t="str">
        <f t="shared" si="15"/>
        <v>B+</v>
      </c>
      <c r="AJ17" s="44">
        <f t="shared" si="16"/>
        <v>3.5</v>
      </c>
      <c r="AK17" s="45">
        <v>2</v>
      </c>
      <c r="AL17" s="46">
        <f t="shared" si="17"/>
        <v>7</v>
      </c>
      <c r="AM17" s="93">
        <v>82</v>
      </c>
      <c r="AN17" s="49" t="str">
        <f t="shared" si="18"/>
        <v>A</v>
      </c>
      <c r="AO17" s="50">
        <f t="shared" si="19"/>
        <v>4</v>
      </c>
      <c r="AP17" s="81">
        <v>4</v>
      </c>
      <c r="AQ17" s="82">
        <f t="shared" si="20"/>
        <v>16</v>
      </c>
      <c r="AR17" s="51">
        <v>78</v>
      </c>
      <c r="AS17" s="52" t="str">
        <f t="shared" si="21"/>
        <v>B+</v>
      </c>
      <c r="AT17" s="53">
        <f t="shared" si="22"/>
        <v>3.5</v>
      </c>
      <c r="AU17" s="83">
        <v>4</v>
      </c>
      <c r="AV17" s="52">
        <f t="shared" si="23"/>
        <v>14</v>
      </c>
      <c r="AW17" s="54">
        <v>76</v>
      </c>
      <c r="AX17" s="55" t="str">
        <f t="shared" si="24"/>
        <v>B+</v>
      </c>
      <c r="AY17" s="56">
        <f t="shared" si="25"/>
        <v>3.5</v>
      </c>
      <c r="AZ17" s="55">
        <v>3</v>
      </c>
      <c r="BA17" s="55">
        <f t="shared" si="26"/>
        <v>10.5</v>
      </c>
      <c r="BB17" s="84">
        <v>76</v>
      </c>
      <c r="BC17" s="57" t="str">
        <f t="shared" si="27"/>
        <v>B+</v>
      </c>
      <c r="BD17" s="58">
        <f t="shared" si="28"/>
        <v>3.5</v>
      </c>
      <c r="BE17" s="57">
        <v>5</v>
      </c>
      <c r="BF17" s="57">
        <f t="shared" si="29"/>
        <v>17.5</v>
      </c>
      <c r="BG17" s="59">
        <v>74</v>
      </c>
      <c r="BH17" s="59" t="str">
        <f t="shared" si="30"/>
        <v>B</v>
      </c>
      <c r="BI17" s="60">
        <f t="shared" si="31"/>
        <v>3</v>
      </c>
      <c r="BJ17" s="85">
        <v>2</v>
      </c>
      <c r="BK17" s="59">
        <f t="shared" si="32"/>
        <v>6</v>
      </c>
      <c r="BL17" s="47">
        <f t="shared" si="33"/>
        <v>65</v>
      </c>
      <c r="BM17" s="48">
        <f t="shared" si="34"/>
        <v>20</v>
      </c>
      <c r="BN17" s="47">
        <f t="shared" si="35"/>
        <v>3.25</v>
      </c>
      <c r="BO17" s="14">
        <f t="shared" si="36"/>
        <v>64</v>
      </c>
      <c r="BP17" s="15">
        <f t="shared" si="37"/>
        <v>18</v>
      </c>
      <c r="BQ17" s="14">
        <f t="shared" si="38"/>
        <v>3.5555555555555554</v>
      </c>
      <c r="BR17" s="86">
        <f t="shared" si="39"/>
        <v>129</v>
      </c>
      <c r="BS17" s="87">
        <f t="shared" si="40"/>
        <v>38</v>
      </c>
      <c r="BT17" s="88">
        <f t="shared" si="41"/>
        <v>3.3947368421052633</v>
      </c>
      <c r="BU17" s="95" t="str">
        <f t="shared" si="42"/>
        <v>Sangat Memuaskan</v>
      </c>
      <c r="BV17" s="95" t="str">
        <f t="shared" si="43"/>
        <v>Highly Satisfactory</v>
      </c>
      <c r="BW17" s="95" t="s">
        <v>167</v>
      </c>
    </row>
    <row r="18" spans="1:75" ht="15.75" x14ac:dyDescent="0.25">
      <c r="A18" s="16">
        <v>16</v>
      </c>
      <c r="B18" s="16" t="s">
        <v>42</v>
      </c>
      <c r="C18" s="16">
        <v>122314030</v>
      </c>
      <c r="D18" s="16" t="s">
        <v>26</v>
      </c>
      <c r="E18" s="16" t="s">
        <v>91</v>
      </c>
      <c r="F18" s="75" t="s">
        <v>140</v>
      </c>
      <c r="G18" s="75" t="s">
        <v>111</v>
      </c>
      <c r="H18" s="16" t="s">
        <v>225</v>
      </c>
      <c r="I18" s="17">
        <v>74</v>
      </c>
      <c r="J18" s="18" t="str">
        <f t="shared" si="0"/>
        <v>B</v>
      </c>
      <c r="K18" s="19">
        <f t="shared" si="1"/>
        <v>3</v>
      </c>
      <c r="L18" s="20">
        <v>2</v>
      </c>
      <c r="M18" s="21">
        <f t="shared" si="2"/>
        <v>6</v>
      </c>
      <c r="N18" s="22">
        <v>74</v>
      </c>
      <c r="O18" s="23" t="str">
        <f t="shared" si="3"/>
        <v>B</v>
      </c>
      <c r="P18" s="24">
        <f t="shared" si="4"/>
        <v>3</v>
      </c>
      <c r="Q18" s="25">
        <v>6</v>
      </c>
      <c r="R18" s="26">
        <f t="shared" si="5"/>
        <v>18</v>
      </c>
      <c r="S18" s="27">
        <v>75</v>
      </c>
      <c r="T18" s="28" t="str">
        <f t="shared" si="6"/>
        <v>B+</v>
      </c>
      <c r="U18" s="29">
        <f t="shared" si="7"/>
        <v>3.5</v>
      </c>
      <c r="V18" s="30">
        <f>3</f>
        <v>3</v>
      </c>
      <c r="W18" s="31">
        <f t="shared" si="8"/>
        <v>10.5</v>
      </c>
      <c r="X18" s="32">
        <v>72.45</v>
      </c>
      <c r="Y18" s="33" t="str">
        <f t="shared" si="9"/>
        <v>B</v>
      </c>
      <c r="Z18" s="34">
        <f t="shared" si="10"/>
        <v>3</v>
      </c>
      <c r="AA18" s="35">
        <v>4</v>
      </c>
      <c r="AB18" s="36">
        <f t="shared" si="11"/>
        <v>12</v>
      </c>
      <c r="AC18" s="61">
        <v>76</v>
      </c>
      <c r="AD18" s="38" t="str">
        <f t="shared" si="12"/>
        <v>B+</v>
      </c>
      <c r="AE18" s="39">
        <f t="shared" si="13"/>
        <v>3.5</v>
      </c>
      <c r="AF18" s="40">
        <v>3</v>
      </c>
      <c r="AG18" s="41">
        <f t="shared" si="14"/>
        <v>10.5</v>
      </c>
      <c r="AH18" s="42">
        <v>75</v>
      </c>
      <c r="AI18" s="43" t="str">
        <f t="shared" si="15"/>
        <v>B+</v>
      </c>
      <c r="AJ18" s="44">
        <f t="shared" si="16"/>
        <v>3.5</v>
      </c>
      <c r="AK18" s="45">
        <v>2</v>
      </c>
      <c r="AL18" s="46">
        <f t="shared" si="17"/>
        <v>7</v>
      </c>
      <c r="AM18" s="80">
        <v>81.349999999999994</v>
      </c>
      <c r="AN18" s="49" t="str">
        <f t="shared" si="18"/>
        <v>A</v>
      </c>
      <c r="AO18" s="50">
        <f t="shared" si="19"/>
        <v>4</v>
      </c>
      <c r="AP18" s="81">
        <v>4</v>
      </c>
      <c r="AQ18" s="82">
        <f t="shared" si="20"/>
        <v>16</v>
      </c>
      <c r="AR18" s="51">
        <v>73</v>
      </c>
      <c r="AS18" s="52" t="str">
        <f t="shared" si="21"/>
        <v>B</v>
      </c>
      <c r="AT18" s="53">
        <f t="shared" si="22"/>
        <v>3</v>
      </c>
      <c r="AU18" s="83">
        <v>4</v>
      </c>
      <c r="AV18" s="52">
        <f t="shared" si="23"/>
        <v>12</v>
      </c>
      <c r="AW18" s="54">
        <v>75</v>
      </c>
      <c r="AX18" s="55" t="str">
        <f t="shared" si="24"/>
        <v>B+</v>
      </c>
      <c r="AY18" s="56">
        <f t="shared" si="25"/>
        <v>3.5</v>
      </c>
      <c r="AZ18" s="55">
        <v>3</v>
      </c>
      <c r="BA18" s="55">
        <f t="shared" si="26"/>
        <v>10.5</v>
      </c>
      <c r="BB18" s="84">
        <v>75</v>
      </c>
      <c r="BC18" s="57" t="str">
        <f t="shared" si="27"/>
        <v>B+</v>
      </c>
      <c r="BD18" s="58">
        <f t="shared" si="28"/>
        <v>3.5</v>
      </c>
      <c r="BE18" s="57">
        <v>5</v>
      </c>
      <c r="BF18" s="57">
        <f t="shared" si="29"/>
        <v>17.5</v>
      </c>
      <c r="BG18" s="59">
        <v>74</v>
      </c>
      <c r="BH18" s="59" t="str">
        <f t="shared" si="30"/>
        <v>B</v>
      </c>
      <c r="BI18" s="60">
        <f t="shared" si="31"/>
        <v>3</v>
      </c>
      <c r="BJ18" s="85">
        <v>2</v>
      </c>
      <c r="BK18" s="59">
        <f t="shared" si="32"/>
        <v>6</v>
      </c>
      <c r="BL18" s="47">
        <f t="shared" si="33"/>
        <v>64</v>
      </c>
      <c r="BM18" s="48">
        <f t="shared" si="34"/>
        <v>20</v>
      </c>
      <c r="BN18" s="47">
        <f t="shared" si="35"/>
        <v>3.2</v>
      </c>
      <c r="BO18" s="14">
        <f t="shared" si="36"/>
        <v>62</v>
      </c>
      <c r="BP18" s="15">
        <f t="shared" si="37"/>
        <v>18</v>
      </c>
      <c r="BQ18" s="14">
        <f t="shared" si="38"/>
        <v>3.4444444444444446</v>
      </c>
      <c r="BR18" s="86">
        <f t="shared" si="39"/>
        <v>126</v>
      </c>
      <c r="BS18" s="87">
        <f t="shared" si="40"/>
        <v>38</v>
      </c>
      <c r="BT18" s="88">
        <f t="shared" si="41"/>
        <v>3.3157894736842106</v>
      </c>
      <c r="BU18" s="95" t="str">
        <f t="shared" si="42"/>
        <v>Sangat Memuaskan</v>
      </c>
      <c r="BV18" s="95" t="str">
        <f t="shared" si="43"/>
        <v>Highly Satisfactory</v>
      </c>
      <c r="BW18" s="95" t="s">
        <v>168</v>
      </c>
    </row>
    <row r="19" spans="1:75" ht="15.75" x14ac:dyDescent="0.25">
      <c r="A19" s="16">
        <v>17</v>
      </c>
      <c r="B19" s="16" t="s">
        <v>43</v>
      </c>
      <c r="C19" s="16">
        <v>122314031</v>
      </c>
      <c r="D19" s="16" t="s">
        <v>26</v>
      </c>
      <c r="E19" s="16" t="s">
        <v>141</v>
      </c>
      <c r="F19" s="75" t="s">
        <v>142</v>
      </c>
      <c r="G19" s="75" t="s">
        <v>112</v>
      </c>
      <c r="H19" s="16" t="s">
        <v>213</v>
      </c>
      <c r="I19" s="17">
        <v>80</v>
      </c>
      <c r="J19" s="18" t="str">
        <f t="shared" si="0"/>
        <v>A</v>
      </c>
      <c r="K19" s="19">
        <f t="shared" si="1"/>
        <v>4</v>
      </c>
      <c r="L19" s="20">
        <v>2</v>
      </c>
      <c r="M19" s="21">
        <f t="shared" si="2"/>
        <v>8</v>
      </c>
      <c r="N19" s="22">
        <v>74</v>
      </c>
      <c r="O19" s="23" t="str">
        <f t="shared" si="3"/>
        <v>B</v>
      </c>
      <c r="P19" s="24">
        <f t="shared" si="4"/>
        <v>3</v>
      </c>
      <c r="Q19" s="25">
        <v>6</v>
      </c>
      <c r="R19" s="26">
        <f t="shared" si="5"/>
        <v>18</v>
      </c>
      <c r="S19" s="27">
        <v>76.3</v>
      </c>
      <c r="T19" s="28" t="str">
        <f t="shared" si="6"/>
        <v>B+</v>
      </c>
      <c r="U19" s="29">
        <f t="shared" si="7"/>
        <v>3.5</v>
      </c>
      <c r="V19" s="30">
        <f>3</f>
        <v>3</v>
      </c>
      <c r="W19" s="31">
        <f t="shared" si="8"/>
        <v>10.5</v>
      </c>
      <c r="X19" s="32">
        <v>76.3</v>
      </c>
      <c r="Y19" s="33" t="str">
        <f t="shared" si="9"/>
        <v>B+</v>
      </c>
      <c r="Z19" s="34">
        <f t="shared" si="10"/>
        <v>3.5</v>
      </c>
      <c r="AA19" s="35">
        <v>4</v>
      </c>
      <c r="AB19" s="36">
        <f t="shared" si="11"/>
        <v>14</v>
      </c>
      <c r="AC19" s="61">
        <v>75</v>
      </c>
      <c r="AD19" s="38" t="str">
        <f t="shared" si="12"/>
        <v>B+</v>
      </c>
      <c r="AE19" s="39">
        <f t="shared" si="13"/>
        <v>3.5</v>
      </c>
      <c r="AF19" s="40">
        <v>3</v>
      </c>
      <c r="AG19" s="41">
        <f t="shared" si="14"/>
        <v>10.5</v>
      </c>
      <c r="AH19" s="42">
        <v>75</v>
      </c>
      <c r="AI19" s="43" t="str">
        <f t="shared" si="15"/>
        <v>B+</v>
      </c>
      <c r="AJ19" s="44">
        <f t="shared" si="16"/>
        <v>3.5</v>
      </c>
      <c r="AK19" s="45">
        <v>2</v>
      </c>
      <c r="AL19" s="46">
        <f t="shared" si="17"/>
        <v>7</v>
      </c>
      <c r="AM19" s="80">
        <v>81.599999999999994</v>
      </c>
      <c r="AN19" s="49" t="str">
        <f t="shared" si="18"/>
        <v>A</v>
      </c>
      <c r="AO19" s="50">
        <f t="shared" si="19"/>
        <v>4</v>
      </c>
      <c r="AP19" s="81">
        <v>4</v>
      </c>
      <c r="AQ19" s="82">
        <f t="shared" si="20"/>
        <v>16</v>
      </c>
      <c r="AR19" s="51">
        <v>78</v>
      </c>
      <c r="AS19" s="52" t="str">
        <f t="shared" si="21"/>
        <v>B+</v>
      </c>
      <c r="AT19" s="53">
        <f t="shared" si="22"/>
        <v>3.5</v>
      </c>
      <c r="AU19" s="83">
        <v>4</v>
      </c>
      <c r="AV19" s="52">
        <f t="shared" si="23"/>
        <v>14</v>
      </c>
      <c r="AW19" s="54">
        <v>76</v>
      </c>
      <c r="AX19" s="55" t="str">
        <f t="shared" si="24"/>
        <v>B+</v>
      </c>
      <c r="AY19" s="56">
        <f t="shared" si="25"/>
        <v>3.5</v>
      </c>
      <c r="AZ19" s="55">
        <v>3</v>
      </c>
      <c r="BA19" s="55">
        <f t="shared" si="26"/>
        <v>10.5</v>
      </c>
      <c r="BB19" s="84">
        <v>75</v>
      </c>
      <c r="BC19" s="57" t="str">
        <f t="shared" si="27"/>
        <v>B+</v>
      </c>
      <c r="BD19" s="58">
        <f t="shared" si="28"/>
        <v>3.5</v>
      </c>
      <c r="BE19" s="57">
        <v>5</v>
      </c>
      <c r="BF19" s="57">
        <f t="shared" si="29"/>
        <v>17.5</v>
      </c>
      <c r="BG19" s="59">
        <v>74</v>
      </c>
      <c r="BH19" s="59" t="str">
        <f t="shared" si="30"/>
        <v>B</v>
      </c>
      <c r="BI19" s="60">
        <f t="shared" si="31"/>
        <v>3</v>
      </c>
      <c r="BJ19" s="85">
        <v>2</v>
      </c>
      <c r="BK19" s="59">
        <f t="shared" si="32"/>
        <v>6</v>
      </c>
      <c r="BL19" s="47">
        <f t="shared" si="33"/>
        <v>68</v>
      </c>
      <c r="BM19" s="48">
        <f t="shared" si="34"/>
        <v>20</v>
      </c>
      <c r="BN19" s="47">
        <f t="shared" si="35"/>
        <v>3.4</v>
      </c>
      <c r="BO19" s="14">
        <f t="shared" si="36"/>
        <v>64</v>
      </c>
      <c r="BP19" s="15">
        <f t="shared" si="37"/>
        <v>18</v>
      </c>
      <c r="BQ19" s="14">
        <f t="shared" si="38"/>
        <v>3.5555555555555554</v>
      </c>
      <c r="BR19" s="86">
        <f t="shared" si="39"/>
        <v>132</v>
      </c>
      <c r="BS19" s="87">
        <f t="shared" si="40"/>
        <v>38</v>
      </c>
      <c r="BT19" s="88">
        <f t="shared" si="41"/>
        <v>3.4736842105263159</v>
      </c>
      <c r="BU19" s="95" t="str">
        <f t="shared" si="42"/>
        <v>Sangat Memuaskan</v>
      </c>
      <c r="BV19" s="95" t="str">
        <f t="shared" si="43"/>
        <v>Highly Satisfactory</v>
      </c>
      <c r="BW19" s="95" t="s">
        <v>195</v>
      </c>
    </row>
    <row r="20" spans="1:75" ht="15.75" x14ac:dyDescent="0.25">
      <c r="A20" s="16">
        <v>18</v>
      </c>
      <c r="B20" s="16" t="s">
        <v>44</v>
      </c>
      <c r="C20" s="16">
        <v>122314032</v>
      </c>
      <c r="D20" s="16" t="s">
        <v>26</v>
      </c>
      <c r="E20" s="95" t="s">
        <v>89</v>
      </c>
      <c r="F20" s="75" t="s">
        <v>90</v>
      </c>
      <c r="G20" s="75" t="s">
        <v>111</v>
      </c>
      <c r="H20" s="16" t="s">
        <v>226</v>
      </c>
      <c r="I20" s="17">
        <v>76</v>
      </c>
      <c r="J20" s="18" t="str">
        <f t="shared" si="0"/>
        <v>B+</v>
      </c>
      <c r="K20" s="19">
        <f t="shared" si="1"/>
        <v>3.5</v>
      </c>
      <c r="L20" s="20">
        <v>2</v>
      </c>
      <c r="M20" s="21">
        <f t="shared" si="2"/>
        <v>7</v>
      </c>
      <c r="N20" s="22">
        <v>74</v>
      </c>
      <c r="O20" s="23" t="str">
        <f t="shared" si="3"/>
        <v>B</v>
      </c>
      <c r="P20" s="24">
        <f t="shared" si="4"/>
        <v>3</v>
      </c>
      <c r="Q20" s="25">
        <v>6</v>
      </c>
      <c r="R20" s="26">
        <f t="shared" si="5"/>
        <v>18</v>
      </c>
      <c r="S20" s="27">
        <v>73.63</v>
      </c>
      <c r="T20" s="28" t="str">
        <f t="shared" si="6"/>
        <v>B</v>
      </c>
      <c r="U20" s="29">
        <f t="shared" si="7"/>
        <v>3</v>
      </c>
      <c r="V20" s="30">
        <f>3</f>
        <v>3</v>
      </c>
      <c r="W20" s="31">
        <f t="shared" si="8"/>
        <v>9</v>
      </c>
      <c r="X20" s="32">
        <v>75</v>
      </c>
      <c r="Y20" s="33" t="str">
        <f t="shared" si="9"/>
        <v>B+</v>
      </c>
      <c r="Z20" s="34">
        <f t="shared" si="10"/>
        <v>3.5</v>
      </c>
      <c r="AA20" s="35">
        <v>4</v>
      </c>
      <c r="AB20" s="36">
        <f t="shared" si="11"/>
        <v>14</v>
      </c>
      <c r="AC20" s="61">
        <v>74</v>
      </c>
      <c r="AD20" s="38" t="str">
        <f t="shared" si="12"/>
        <v>B</v>
      </c>
      <c r="AE20" s="39">
        <f t="shared" si="13"/>
        <v>3</v>
      </c>
      <c r="AF20" s="40">
        <v>3</v>
      </c>
      <c r="AG20" s="41">
        <f t="shared" si="14"/>
        <v>9</v>
      </c>
      <c r="AH20" s="42">
        <v>75</v>
      </c>
      <c r="AI20" s="43" t="str">
        <f t="shared" si="15"/>
        <v>B+</v>
      </c>
      <c r="AJ20" s="44">
        <f t="shared" si="16"/>
        <v>3.5</v>
      </c>
      <c r="AK20" s="45">
        <v>2</v>
      </c>
      <c r="AL20" s="46">
        <f t="shared" si="17"/>
        <v>7</v>
      </c>
      <c r="AM20" s="80">
        <v>84.25</v>
      </c>
      <c r="AN20" s="49" t="str">
        <f t="shared" si="18"/>
        <v>A</v>
      </c>
      <c r="AO20" s="50">
        <f t="shared" si="19"/>
        <v>4</v>
      </c>
      <c r="AP20" s="81">
        <v>4</v>
      </c>
      <c r="AQ20" s="82">
        <f t="shared" si="20"/>
        <v>16</v>
      </c>
      <c r="AR20" s="51">
        <v>74</v>
      </c>
      <c r="AS20" s="52" t="str">
        <f t="shared" si="21"/>
        <v>B</v>
      </c>
      <c r="AT20" s="53">
        <f t="shared" si="22"/>
        <v>3</v>
      </c>
      <c r="AU20" s="83">
        <v>4</v>
      </c>
      <c r="AV20" s="52">
        <f t="shared" si="23"/>
        <v>12</v>
      </c>
      <c r="AW20" s="54">
        <v>75</v>
      </c>
      <c r="AX20" s="55" t="str">
        <f t="shared" si="24"/>
        <v>B+</v>
      </c>
      <c r="AY20" s="56">
        <f t="shared" si="25"/>
        <v>3.5</v>
      </c>
      <c r="AZ20" s="55">
        <v>3</v>
      </c>
      <c r="BA20" s="55">
        <f t="shared" si="26"/>
        <v>10.5</v>
      </c>
      <c r="BB20" s="84">
        <v>75</v>
      </c>
      <c r="BC20" s="57" t="str">
        <f t="shared" si="27"/>
        <v>B+</v>
      </c>
      <c r="BD20" s="58">
        <f t="shared" si="28"/>
        <v>3.5</v>
      </c>
      <c r="BE20" s="57">
        <v>5</v>
      </c>
      <c r="BF20" s="57">
        <f t="shared" si="29"/>
        <v>17.5</v>
      </c>
      <c r="BG20" s="59">
        <v>75</v>
      </c>
      <c r="BH20" s="59" t="str">
        <f t="shared" si="30"/>
        <v>B+</v>
      </c>
      <c r="BI20" s="60">
        <f t="shared" si="31"/>
        <v>3.5</v>
      </c>
      <c r="BJ20" s="85">
        <v>2</v>
      </c>
      <c r="BK20" s="59">
        <f t="shared" si="32"/>
        <v>7</v>
      </c>
      <c r="BL20" s="47">
        <f t="shared" si="33"/>
        <v>64</v>
      </c>
      <c r="BM20" s="48">
        <f t="shared" si="34"/>
        <v>20</v>
      </c>
      <c r="BN20" s="47">
        <f t="shared" si="35"/>
        <v>3.2</v>
      </c>
      <c r="BO20" s="14">
        <f t="shared" si="36"/>
        <v>63</v>
      </c>
      <c r="BP20" s="15">
        <f t="shared" si="37"/>
        <v>18</v>
      </c>
      <c r="BQ20" s="14">
        <f t="shared" si="38"/>
        <v>3.5</v>
      </c>
      <c r="BR20" s="86">
        <f t="shared" si="39"/>
        <v>127</v>
      </c>
      <c r="BS20" s="87">
        <f t="shared" si="40"/>
        <v>38</v>
      </c>
      <c r="BT20" s="88">
        <f t="shared" si="41"/>
        <v>3.3421052631578947</v>
      </c>
      <c r="BU20" s="95" t="str">
        <f t="shared" si="42"/>
        <v>Sangat Memuaskan</v>
      </c>
      <c r="BV20" s="95" t="str">
        <f t="shared" si="43"/>
        <v>Highly Satisfactory</v>
      </c>
      <c r="BW20" s="95" t="s">
        <v>169</v>
      </c>
    </row>
    <row r="21" spans="1:75" ht="15.75" x14ac:dyDescent="0.25">
      <c r="A21" s="16">
        <v>19</v>
      </c>
      <c r="B21" s="16" t="s">
        <v>45</v>
      </c>
      <c r="C21" s="16">
        <v>122314033</v>
      </c>
      <c r="D21" s="16" t="s">
        <v>26</v>
      </c>
      <c r="E21" s="94" t="s">
        <v>117</v>
      </c>
      <c r="F21" s="75" t="s">
        <v>124</v>
      </c>
      <c r="G21" s="75" t="s">
        <v>112</v>
      </c>
      <c r="H21" s="16" t="s">
        <v>214</v>
      </c>
      <c r="I21" s="17">
        <v>74</v>
      </c>
      <c r="J21" s="18" t="str">
        <f t="shared" si="0"/>
        <v>B</v>
      </c>
      <c r="K21" s="19">
        <f t="shared" si="1"/>
        <v>3</v>
      </c>
      <c r="L21" s="20">
        <v>2</v>
      </c>
      <c r="M21" s="21">
        <f t="shared" si="2"/>
        <v>6</v>
      </c>
      <c r="N21" s="22">
        <v>74</v>
      </c>
      <c r="O21" s="23" t="str">
        <f t="shared" si="3"/>
        <v>B</v>
      </c>
      <c r="P21" s="24">
        <f t="shared" si="4"/>
        <v>3</v>
      </c>
      <c r="Q21" s="25">
        <v>6</v>
      </c>
      <c r="R21" s="26">
        <f t="shared" si="5"/>
        <v>18</v>
      </c>
      <c r="S21" s="27">
        <v>75.400000000000006</v>
      </c>
      <c r="T21" s="28" t="str">
        <f t="shared" si="6"/>
        <v>B+</v>
      </c>
      <c r="U21" s="29">
        <f t="shared" si="7"/>
        <v>3.5</v>
      </c>
      <c r="V21" s="30">
        <f>3</f>
        <v>3</v>
      </c>
      <c r="W21" s="31">
        <f t="shared" si="8"/>
        <v>10.5</v>
      </c>
      <c r="X21" s="32">
        <v>75.400000000000006</v>
      </c>
      <c r="Y21" s="33" t="str">
        <f t="shared" si="9"/>
        <v>B+</v>
      </c>
      <c r="Z21" s="34">
        <f t="shared" si="10"/>
        <v>3.5</v>
      </c>
      <c r="AA21" s="35">
        <v>4</v>
      </c>
      <c r="AB21" s="36">
        <f t="shared" si="11"/>
        <v>14</v>
      </c>
      <c r="AC21" s="61">
        <v>76</v>
      </c>
      <c r="AD21" s="38" t="str">
        <f t="shared" si="12"/>
        <v>B+</v>
      </c>
      <c r="AE21" s="39">
        <f t="shared" si="13"/>
        <v>3.5</v>
      </c>
      <c r="AF21" s="40">
        <v>3</v>
      </c>
      <c r="AG21" s="41">
        <f t="shared" si="14"/>
        <v>10.5</v>
      </c>
      <c r="AH21" s="42">
        <v>75</v>
      </c>
      <c r="AI21" s="43" t="str">
        <f t="shared" si="15"/>
        <v>B+</v>
      </c>
      <c r="AJ21" s="44">
        <f t="shared" si="16"/>
        <v>3.5</v>
      </c>
      <c r="AK21" s="45">
        <v>2</v>
      </c>
      <c r="AL21" s="46">
        <f t="shared" si="17"/>
        <v>7</v>
      </c>
      <c r="AM21" s="80">
        <v>81.650000000000006</v>
      </c>
      <c r="AN21" s="49" t="str">
        <f t="shared" si="18"/>
        <v>A</v>
      </c>
      <c r="AO21" s="50">
        <f t="shared" si="19"/>
        <v>4</v>
      </c>
      <c r="AP21" s="81">
        <v>4</v>
      </c>
      <c r="AQ21" s="82">
        <f t="shared" si="20"/>
        <v>16</v>
      </c>
      <c r="AR21" s="51">
        <v>78</v>
      </c>
      <c r="AS21" s="52" t="str">
        <f t="shared" si="21"/>
        <v>B+</v>
      </c>
      <c r="AT21" s="53">
        <f t="shared" si="22"/>
        <v>3.5</v>
      </c>
      <c r="AU21" s="83">
        <v>4</v>
      </c>
      <c r="AV21" s="52">
        <f t="shared" si="23"/>
        <v>14</v>
      </c>
      <c r="AW21" s="54">
        <v>75</v>
      </c>
      <c r="AX21" s="55" t="str">
        <f t="shared" si="24"/>
        <v>B+</v>
      </c>
      <c r="AY21" s="56">
        <f t="shared" si="25"/>
        <v>3.5</v>
      </c>
      <c r="AZ21" s="55">
        <v>3</v>
      </c>
      <c r="BA21" s="55">
        <f t="shared" si="26"/>
        <v>10.5</v>
      </c>
      <c r="BB21" s="84">
        <v>75</v>
      </c>
      <c r="BC21" s="57" t="str">
        <f t="shared" si="27"/>
        <v>B+</v>
      </c>
      <c r="BD21" s="58">
        <f t="shared" si="28"/>
        <v>3.5</v>
      </c>
      <c r="BE21" s="57">
        <v>5</v>
      </c>
      <c r="BF21" s="57">
        <f t="shared" si="29"/>
        <v>17.5</v>
      </c>
      <c r="BG21" s="59">
        <v>74</v>
      </c>
      <c r="BH21" s="59" t="str">
        <f t="shared" si="30"/>
        <v>B</v>
      </c>
      <c r="BI21" s="60">
        <f t="shared" si="31"/>
        <v>3</v>
      </c>
      <c r="BJ21" s="85">
        <v>2</v>
      </c>
      <c r="BK21" s="59">
        <f t="shared" si="32"/>
        <v>6</v>
      </c>
      <c r="BL21" s="47">
        <f t="shared" si="33"/>
        <v>66</v>
      </c>
      <c r="BM21" s="48">
        <f t="shared" si="34"/>
        <v>20</v>
      </c>
      <c r="BN21" s="47">
        <f t="shared" si="35"/>
        <v>3.3</v>
      </c>
      <c r="BO21" s="14">
        <f t="shared" si="36"/>
        <v>64</v>
      </c>
      <c r="BP21" s="15">
        <f t="shared" si="37"/>
        <v>18</v>
      </c>
      <c r="BQ21" s="14">
        <f t="shared" si="38"/>
        <v>3.5555555555555554</v>
      </c>
      <c r="BR21" s="86">
        <f t="shared" si="39"/>
        <v>130</v>
      </c>
      <c r="BS21" s="87">
        <f t="shared" si="40"/>
        <v>38</v>
      </c>
      <c r="BT21" s="88">
        <f t="shared" si="41"/>
        <v>3.4210526315789473</v>
      </c>
      <c r="BU21" s="95" t="str">
        <f t="shared" si="42"/>
        <v>Sangat Memuaskan</v>
      </c>
      <c r="BV21" s="95" t="str">
        <f t="shared" si="43"/>
        <v>Highly Satisfactory</v>
      </c>
      <c r="BW21" s="97" t="s">
        <v>170</v>
      </c>
    </row>
    <row r="22" spans="1:75" ht="21.95" customHeight="1" x14ac:dyDescent="0.25">
      <c r="A22" s="16">
        <v>34</v>
      </c>
      <c r="B22" s="16" t="s">
        <v>46</v>
      </c>
      <c r="C22" s="16">
        <v>122314034</v>
      </c>
      <c r="D22" s="16" t="s">
        <v>26</v>
      </c>
      <c r="E22" s="16" t="s">
        <v>143</v>
      </c>
      <c r="F22" s="75" t="s">
        <v>144</v>
      </c>
      <c r="G22" s="75" t="s">
        <v>111</v>
      </c>
      <c r="H22" s="16" t="s">
        <v>227</v>
      </c>
      <c r="I22" s="17">
        <v>80</v>
      </c>
      <c r="J22" s="18" t="str">
        <f t="shared" si="0"/>
        <v>A</v>
      </c>
      <c r="K22" s="19">
        <f t="shared" si="1"/>
        <v>4</v>
      </c>
      <c r="L22" s="20">
        <v>2</v>
      </c>
      <c r="M22" s="21">
        <f t="shared" si="2"/>
        <v>8</v>
      </c>
      <c r="N22" s="22">
        <v>75</v>
      </c>
      <c r="O22" s="23" t="str">
        <f t="shared" si="3"/>
        <v>B+</v>
      </c>
      <c r="P22" s="24">
        <f t="shared" si="4"/>
        <v>3.5</v>
      </c>
      <c r="Q22" s="25">
        <v>6</v>
      </c>
      <c r="R22" s="26">
        <f t="shared" si="5"/>
        <v>21</v>
      </c>
      <c r="S22" s="27">
        <v>76.73</v>
      </c>
      <c r="T22" s="28" t="str">
        <f t="shared" si="6"/>
        <v>B+</v>
      </c>
      <c r="U22" s="29">
        <f t="shared" si="7"/>
        <v>3.5</v>
      </c>
      <c r="V22" s="30">
        <f>3</f>
        <v>3</v>
      </c>
      <c r="W22" s="31">
        <f t="shared" si="8"/>
        <v>10.5</v>
      </c>
      <c r="X22" s="32">
        <v>76.73</v>
      </c>
      <c r="Y22" s="33" t="str">
        <f t="shared" si="9"/>
        <v>B+</v>
      </c>
      <c r="Z22" s="34">
        <f t="shared" si="10"/>
        <v>3.5</v>
      </c>
      <c r="AA22" s="35">
        <v>4</v>
      </c>
      <c r="AB22" s="36">
        <f t="shared" si="11"/>
        <v>14</v>
      </c>
      <c r="AC22" s="61">
        <v>75</v>
      </c>
      <c r="AD22" s="38" t="str">
        <f t="shared" si="12"/>
        <v>B+</v>
      </c>
      <c r="AE22" s="39">
        <f t="shared" si="13"/>
        <v>3.5</v>
      </c>
      <c r="AF22" s="40">
        <v>3</v>
      </c>
      <c r="AG22" s="41">
        <f t="shared" si="14"/>
        <v>10.5</v>
      </c>
      <c r="AH22" s="42">
        <v>78</v>
      </c>
      <c r="AI22" s="43" t="str">
        <f t="shared" si="15"/>
        <v>B+</v>
      </c>
      <c r="AJ22" s="44">
        <f t="shared" si="16"/>
        <v>3.5</v>
      </c>
      <c r="AK22" s="45">
        <v>2</v>
      </c>
      <c r="AL22" s="46">
        <f t="shared" si="17"/>
        <v>7</v>
      </c>
      <c r="AM22" s="80">
        <v>80.849999999999994</v>
      </c>
      <c r="AN22" s="49" t="str">
        <f t="shared" si="18"/>
        <v>A</v>
      </c>
      <c r="AO22" s="50">
        <f t="shared" si="19"/>
        <v>4</v>
      </c>
      <c r="AP22" s="81">
        <v>4</v>
      </c>
      <c r="AQ22" s="82">
        <f t="shared" si="20"/>
        <v>16</v>
      </c>
      <c r="AR22" s="51">
        <v>77</v>
      </c>
      <c r="AS22" s="52" t="str">
        <f t="shared" si="21"/>
        <v>B+</v>
      </c>
      <c r="AT22" s="53">
        <f t="shared" si="22"/>
        <v>3.5</v>
      </c>
      <c r="AU22" s="83">
        <v>4</v>
      </c>
      <c r="AV22" s="52">
        <f t="shared" si="23"/>
        <v>14</v>
      </c>
      <c r="AW22" s="54">
        <v>77</v>
      </c>
      <c r="AX22" s="55" t="str">
        <f t="shared" si="24"/>
        <v>B+</v>
      </c>
      <c r="AY22" s="56">
        <f t="shared" si="25"/>
        <v>3.5</v>
      </c>
      <c r="AZ22" s="55">
        <v>3</v>
      </c>
      <c r="BA22" s="55">
        <f t="shared" si="26"/>
        <v>10.5</v>
      </c>
      <c r="BB22" s="84">
        <v>80</v>
      </c>
      <c r="BC22" s="57" t="str">
        <f t="shared" si="27"/>
        <v>A</v>
      </c>
      <c r="BD22" s="58">
        <f t="shared" si="28"/>
        <v>4</v>
      </c>
      <c r="BE22" s="57">
        <v>5</v>
      </c>
      <c r="BF22" s="57">
        <f t="shared" si="29"/>
        <v>20</v>
      </c>
      <c r="BG22" s="59">
        <v>80</v>
      </c>
      <c r="BH22" s="59" t="str">
        <f t="shared" si="30"/>
        <v>A</v>
      </c>
      <c r="BI22" s="60">
        <f t="shared" si="31"/>
        <v>4</v>
      </c>
      <c r="BJ22" s="85">
        <v>2</v>
      </c>
      <c r="BK22" s="59">
        <f t="shared" si="32"/>
        <v>8</v>
      </c>
      <c r="BL22" s="47">
        <f t="shared" si="33"/>
        <v>71</v>
      </c>
      <c r="BM22" s="48">
        <f t="shared" ref="BM22" si="44">BJ22+BE22+AZ22+AU22+AP22+AK22</f>
        <v>20</v>
      </c>
      <c r="BN22" s="47">
        <f t="shared" si="35"/>
        <v>3.55</v>
      </c>
      <c r="BO22" s="14">
        <f t="shared" si="36"/>
        <v>68.5</v>
      </c>
      <c r="BP22" s="15">
        <f t="shared" si="37"/>
        <v>18</v>
      </c>
      <c r="BQ22" s="14">
        <f t="shared" si="38"/>
        <v>3.8055555555555554</v>
      </c>
      <c r="BR22" s="86">
        <f t="shared" si="39"/>
        <v>139.5</v>
      </c>
      <c r="BS22" s="87">
        <f t="shared" si="40"/>
        <v>38</v>
      </c>
      <c r="BT22" s="88">
        <f t="shared" si="41"/>
        <v>3.6710526315789473</v>
      </c>
      <c r="BU22" s="95" t="str">
        <f t="shared" si="42"/>
        <v>Cum Laude</v>
      </c>
      <c r="BV22" s="95" t="str">
        <f t="shared" si="43"/>
        <v>Excellent</v>
      </c>
      <c r="BW22" s="95" t="s">
        <v>171</v>
      </c>
    </row>
    <row r="23" spans="1:75" ht="15.75" x14ac:dyDescent="0.25">
      <c r="A23" s="16">
        <v>20</v>
      </c>
      <c r="B23" s="16" t="s">
        <v>47</v>
      </c>
      <c r="C23" s="16">
        <v>122314036</v>
      </c>
      <c r="D23" s="16" t="s">
        <v>26</v>
      </c>
      <c r="E23" s="95" t="s">
        <v>91</v>
      </c>
      <c r="F23" s="75" t="s">
        <v>92</v>
      </c>
      <c r="G23" s="75" t="s">
        <v>111</v>
      </c>
      <c r="H23" s="16" t="s">
        <v>228</v>
      </c>
      <c r="I23" s="17">
        <v>74</v>
      </c>
      <c r="J23" s="18" t="str">
        <f t="shared" si="0"/>
        <v>B</v>
      </c>
      <c r="K23" s="19">
        <f t="shared" si="1"/>
        <v>3</v>
      </c>
      <c r="L23" s="20">
        <v>2</v>
      </c>
      <c r="M23" s="21">
        <f t="shared" si="2"/>
        <v>6</v>
      </c>
      <c r="N23" s="22">
        <v>74</v>
      </c>
      <c r="O23" s="23" t="str">
        <f t="shared" si="3"/>
        <v>B</v>
      </c>
      <c r="P23" s="24">
        <f t="shared" si="4"/>
        <v>3</v>
      </c>
      <c r="Q23" s="25">
        <v>6</v>
      </c>
      <c r="R23" s="26">
        <f t="shared" si="5"/>
        <v>18</v>
      </c>
      <c r="S23" s="27">
        <v>71.95</v>
      </c>
      <c r="T23" s="28" t="str">
        <f t="shared" si="6"/>
        <v>B</v>
      </c>
      <c r="U23" s="29">
        <f t="shared" si="7"/>
        <v>3</v>
      </c>
      <c r="V23" s="30">
        <f>3</f>
        <v>3</v>
      </c>
      <c r="W23" s="31">
        <f t="shared" si="8"/>
        <v>9</v>
      </c>
      <c r="X23" s="32">
        <v>75</v>
      </c>
      <c r="Y23" s="33" t="str">
        <f t="shared" si="9"/>
        <v>B+</v>
      </c>
      <c r="Z23" s="34">
        <f t="shared" si="10"/>
        <v>3.5</v>
      </c>
      <c r="AA23" s="35">
        <v>4</v>
      </c>
      <c r="AB23" s="36">
        <f t="shared" si="11"/>
        <v>14</v>
      </c>
      <c r="AC23" s="61">
        <v>75</v>
      </c>
      <c r="AD23" s="38" t="str">
        <f t="shared" si="12"/>
        <v>B+</v>
      </c>
      <c r="AE23" s="39">
        <f t="shared" si="13"/>
        <v>3.5</v>
      </c>
      <c r="AF23" s="40">
        <v>3</v>
      </c>
      <c r="AG23" s="41">
        <f t="shared" si="14"/>
        <v>10.5</v>
      </c>
      <c r="AH23" s="42">
        <v>75</v>
      </c>
      <c r="AI23" s="43" t="str">
        <f t="shared" si="15"/>
        <v>B+</v>
      </c>
      <c r="AJ23" s="44">
        <f t="shared" si="16"/>
        <v>3.5</v>
      </c>
      <c r="AK23" s="45">
        <v>2</v>
      </c>
      <c r="AL23" s="46">
        <f t="shared" si="17"/>
        <v>7</v>
      </c>
      <c r="AM23" s="93">
        <v>82</v>
      </c>
      <c r="AN23" s="49" t="str">
        <f t="shared" si="18"/>
        <v>A</v>
      </c>
      <c r="AO23" s="50">
        <f t="shared" si="19"/>
        <v>4</v>
      </c>
      <c r="AP23" s="81">
        <v>4</v>
      </c>
      <c r="AQ23" s="82">
        <f t="shared" si="20"/>
        <v>16</v>
      </c>
      <c r="AR23" s="51">
        <v>78</v>
      </c>
      <c r="AS23" s="52" t="str">
        <f t="shared" si="21"/>
        <v>B+</v>
      </c>
      <c r="AT23" s="53">
        <f t="shared" si="22"/>
        <v>3.5</v>
      </c>
      <c r="AU23" s="83">
        <v>4</v>
      </c>
      <c r="AV23" s="52">
        <f t="shared" si="23"/>
        <v>14</v>
      </c>
      <c r="AW23" s="54">
        <v>75</v>
      </c>
      <c r="AX23" s="55" t="str">
        <f t="shared" si="24"/>
        <v>B+</v>
      </c>
      <c r="AY23" s="56">
        <f t="shared" si="25"/>
        <v>3.5</v>
      </c>
      <c r="AZ23" s="55">
        <v>3</v>
      </c>
      <c r="BA23" s="55">
        <f t="shared" si="26"/>
        <v>10.5</v>
      </c>
      <c r="BB23" s="84">
        <v>75</v>
      </c>
      <c r="BC23" s="57" t="str">
        <f t="shared" si="27"/>
        <v>B+</v>
      </c>
      <c r="BD23" s="58">
        <f t="shared" si="28"/>
        <v>3.5</v>
      </c>
      <c r="BE23" s="57">
        <v>5</v>
      </c>
      <c r="BF23" s="57">
        <f t="shared" si="29"/>
        <v>17.5</v>
      </c>
      <c r="BG23" s="59">
        <v>74</v>
      </c>
      <c r="BH23" s="59" t="str">
        <f t="shared" si="30"/>
        <v>B</v>
      </c>
      <c r="BI23" s="60">
        <f t="shared" si="31"/>
        <v>3</v>
      </c>
      <c r="BJ23" s="85">
        <v>2</v>
      </c>
      <c r="BK23" s="59">
        <f t="shared" si="32"/>
        <v>6</v>
      </c>
      <c r="BL23" s="47">
        <f t="shared" si="33"/>
        <v>64.5</v>
      </c>
      <c r="BM23" s="48">
        <f t="shared" ref="BM23:BM47" si="45">AK23+AF23+AA23+V23+Q23+L23</f>
        <v>20</v>
      </c>
      <c r="BN23" s="47">
        <f t="shared" si="35"/>
        <v>3.2250000000000001</v>
      </c>
      <c r="BO23" s="14">
        <f t="shared" si="36"/>
        <v>64</v>
      </c>
      <c r="BP23" s="15">
        <f t="shared" si="37"/>
        <v>18</v>
      </c>
      <c r="BQ23" s="14">
        <f t="shared" si="38"/>
        <v>3.5555555555555554</v>
      </c>
      <c r="BR23" s="86">
        <f t="shared" si="39"/>
        <v>128.5</v>
      </c>
      <c r="BS23" s="87">
        <f t="shared" si="40"/>
        <v>38</v>
      </c>
      <c r="BT23" s="88">
        <f t="shared" si="41"/>
        <v>3.3815789473684212</v>
      </c>
      <c r="BU23" s="95" t="str">
        <f t="shared" si="42"/>
        <v>Sangat Memuaskan</v>
      </c>
      <c r="BV23" s="95" t="str">
        <f t="shared" si="43"/>
        <v>Highly Satisfactory</v>
      </c>
      <c r="BW23" s="95" t="s">
        <v>172</v>
      </c>
    </row>
    <row r="24" spans="1:75" ht="15.75" x14ac:dyDescent="0.25">
      <c r="A24" s="16">
        <v>21</v>
      </c>
      <c r="B24" s="16" t="s">
        <v>48</v>
      </c>
      <c r="C24" s="16">
        <v>122314038</v>
      </c>
      <c r="D24" s="16" t="s">
        <v>26</v>
      </c>
      <c r="E24" s="94" t="s">
        <v>113</v>
      </c>
      <c r="F24" s="75" t="s">
        <v>125</v>
      </c>
      <c r="G24" s="75" t="s">
        <v>112</v>
      </c>
      <c r="H24" s="16" t="s">
        <v>215</v>
      </c>
      <c r="I24" s="17">
        <v>74</v>
      </c>
      <c r="J24" s="18" t="str">
        <f t="shared" si="0"/>
        <v>B</v>
      </c>
      <c r="K24" s="19">
        <f t="shared" si="1"/>
        <v>3</v>
      </c>
      <c r="L24" s="20">
        <v>2</v>
      </c>
      <c r="M24" s="21">
        <f t="shared" si="2"/>
        <v>6</v>
      </c>
      <c r="N24" s="22">
        <v>74</v>
      </c>
      <c r="O24" s="23" t="str">
        <f t="shared" si="3"/>
        <v>B</v>
      </c>
      <c r="P24" s="24">
        <f t="shared" si="4"/>
        <v>3</v>
      </c>
      <c r="Q24" s="25">
        <v>6</v>
      </c>
      <c r="R24" s="26">
        <f t="shared" si="5"/>
        <v>18</v>
      </c>
      <c r="S24" s="27">
        <v>77.03</v>
      </c>
      <c r="T24" s="28" t="str">
        <f t="shared" si="6"/>
        <v>B+</v>
      </c>
      <c r="U24" s="29">
        <f t="shared" si="7"/>
        <v>3.5</v>
      </c>
      <c r="V24" s="30">
        <f>3</f>
        <v>3</v>
      </c>
      <c r="W24" s="31">
        <f t="shared" si="8"/>
        <v>10.5</v>
      </c>
      <c r="X24" s="32">
        <v>77.03</v>
      </c>
      <c r="Y24" s="33" t="str">
        <f t="shared" si="9"/>
        <v>B+</v>
      </c>
      <c r="Z24" s="34">
        <f t="shared" si="10"/>
        <v>3.5</v>
      </c>
      <c r="AA24" s="35">
        <v>4</v>
      </c>
      <c r="AB24" s="36">
        <f t="shared" si="11"/>
        <v>14</v>
      </c>
      <c r="AC24" s="37">
        <v>75</v>
      </c>
      <c r="AD24" s="38" t="str">
        <f t="shared" si="12"/>
        <v>B+</v>
      </c>
      <c r="AE24" s="39">
        <f t="shared" si="13"/>
        <v>3.5</v>
      </c>
      <c r="AF24" s="40">
        <v>3</v>
      </c>
      <c r="AG24" s="41">
        <f t="shared" si="14"/>
        <v>10.5</v>
      </c>
      <c r="AH24" s="42">
        <v>75</v>
      </c>
      <c r="AI24" s="43" t="str">
        <f t="shared" si="15"/>
        <v>B+</v>
      </c>
      <c r="AJ24" s="44">
        <f t="shared" si="16"/>
        <v>3.5</v>
      </c>
      <c r="AK24" s="45">
        <v>2</v>
      </c>
      <c r="AL24" s="46">
        <f t="shared" si="17"/>
        <v>7</v>
      </c>
      <c r="AM24" s="93">
        <v>82</v>
      </c>
      <c r="AN24" s="49" t="str">
        <f t="shared" si="18"/>
        <v>A</v>
      </c>
      <c r="AO24" s="50">
        <f t="shared" si="19"/>
        <v>4</v>
      </c>
      <c r="AP24" s="81">
        <v>4</v>
      </c>
      <c r="AQ24" s="82">
        <f t="shared" si="20"/>
        <v>16</v>
      </c>
      <c r="AR24" s="51">
        <v>75</v>
      </c>
      <c r="AS24" s="52" t="str">
        <f t="shared" si="21"/>
        <v>B+</v>
      </c>
      <c r="AT24" s="53">
        <f t="shared" si="22"/>
        <v>3.5</v>
      </c>
      <c r="AU24" s="83">
        <v>4</v>
      </c>
      <c r="AV24" s="52">
        <f t="shared" si="23"/>
        <v>14</v>
      </c>
      <c r="AW24" s="54">
        <v>75</v>
      </c>
      <c r="AX24" s="55" t="str">
        <f t="shared" si="24"/>
        <v>B+</v>
      </c>
      <c r="AY24" s="56">
        <f t="shared" si="25"/>
        <v>3.5</v>
      </c>
      <c r="AZ24" s="55">
        <v>3</v>
      </c>
      <c r="BA24" s="55">
        <f t="shared" si="26"/>
        <v>10.5</v>
      </c>
      <c r="BB24" s="84">
        <v>75</v>
      </c>
      <c r="BC24" s="57" t="str">
        <f t="shared" si="27"/>
        <v>B+</v>
      </c>
      <c r="BD24" s="58">
        <f t="shared" si="28"/>
        <v>3.5</v>
      </c>
      <c r="BE24" s="57">
        <v>5</v>
      </c>
      <c r="BF24" s="57">
        <f t="shared" si="29"/>
        <v>17.5</v>
      </c>
      <c r="BG24" s="59">
        <v>76.400000000000006</v>
      </c>
      <c r="BH24" s="59" t="str">
        <f t="shared" si="30"/>
        <v>B+</v>
      </c>
      <c r="BI24" s="60">
        <f t="shared" si="31"/>
        <v>3.5</v>
      </c>
      <c r="BJ24" s="85">
        <v>2</v>
      </c>
      <c r="BK24" s="59">
        <f t="shared" si="32"/>
        <v>7</v>
      </c>
      <c r="BL24" s="47">
        <f t="shared" si="33"/>
        <v>66</v>
      </c>
      <c r="BM24" s="48">
        <f t="shared" si="45"/>
        <v>20</v>
      </c>
      <c r="BN24" s="47">
        <f t="shared" si="35"/>
        <v>3.3</v>
      </c>
      <c r="BO24" s="14">
        <f t="shared" si="36"/>
        <v>65</v>
      </c>
      <c r="BP24" s="15">
        <f t="shared" si="37"/>
        <v>18</v>
      </c>
      <c r="BQ24" s="14">
        <f t="shared" si="38"/>
        <v>3.6111111111111112</v>
      </c>
      <c r="BR24" s="86">
        <f t="shared" si="39"/>
        <v>131</v>
      </c>
      <c r="BS24" s="87">
        <f t="shared" si="40"/>
        <v>38</v>
      </c>
      <c r="BT24" s="88">
        <f t="shared" si="41"/>
        <v>3.4473684210526314</v>
      </c>
      <c r="BU24" s="95" t="str">
        <f t="shared" si="42"/>
        <v>Sangat Memuaskan</v>
      </c>
      <c r="BV24" s="95" t="str">
        <f t="shared" si="43"/>
        <v>Highly Satisfactory</v>
      </c>
      <c r="BW24" s="95" t="s">
        <v>173</v>
      </c>
    </row>
    <row r="25" spans="1:75" ht="15.75" x14ac:dyDescent="0.25">
      <c r="A25" s="16">
        <v>22</v>
      </c>
      <c r="B25" s="16" t="s">
        <v>49</v>
      </c>
      <c r="C25" s="16">
        <v>122314039</v>
      </c>
      <c r="D25" s="16" t="s">
        <v>26</v>
      </c>
      <c r="E25" s="94" t="s">
        <v>126</v>
      </c>
      <c r="F25" s="75" t="s">
        <v>127</v>
      </c>
      <c r="G25" s="75" t="s">
        <v>112</v>
      </c>
      <c r="H25" s="16" t="s">
        <v>216</v>
      </c>
      <c r="I25" s="17">
        <v>78</v>
      </c>
      <c r="J25" s="18" t="str">
        <f t="shared" si="0"/>
        <v>B+</v>
      </c>
      <c r="K25" s="19">
        <f t="shared" si="1"/>
        <v>3.5</v>
      </c>
      <c r="L25" s="20">
        <v>2</v>
      </c>
      <c r="M25" s="21">
        <f t="shared" si="2"/>
        <v>7</v>
      </c>
      <c r="N25" s="22">
        <v>79</v>
      </c>
      <c r="O25" s="23" t="str">
        <f t="shared" si="3"/>
        <v>B+</v>
      </c>
      <c r="P25" s="24">
        <f t="shared" si="4"/>
        <v>3.5</v>
      </c>
      <c r="Q25" s="25">
        <v>6</v>
      </c>
      <c r="R25" s="26">
        <f t="shared" si="5"/>
        <v>21</v>
      </c>
      <c r="S25" s="27">
        <v>79.150000000000006</v>
      </c>
      <c r="T25" s="28" t="str">
        <f t="shared" si="6"/>
        <v>B+</v>
      </c>
      <c r="U25" s="29">
        <f t="shared" si="7"/>
        <v>3.5</v>
      </c>
      <c r="V25" s="30">
        <f>3</f>
        <v>3</v>
      </c>
      <c r="W25" s="31">
        <f t="shared" si="8"/>
        <v>10.5</v>
      </c>
      <c r="X25" s="32">
        <v>79.150000000000006</v>
      </c>
      <c r="Y25" s="33" t="str">
        <f t="shared" si="9"/>
        <v>B+</v>
      </c>
      <c r="Z25" s="34">
        <f t="shared" si="10"/>
        <v>3.5</v>
      </c>
      <c r="AA25" s="35">
        <v>4</v>
      </c>
      <c r="AB25" s="36">
        <f t="shared" si="11"/>
        <v>14</v>
      </c>
      <c r="AC25" s="37">
        <v>75</v>
      </c>
      <c r="AD25" s="38" t="str">
        <f t="shared" si="12"/>
        <v>B+</v>
      </c>
      <c r="AE25" s="39">
        <f t="shared" si="13"/>
        <v>3.5</v>
      </c>
      <c r="AF25" s="40">
        <v>3</v>
      </c>
      <c r="AG25" s="41">
        <f t="shared" si="14"/>
        <v>10.5</v>
      </c>
      <c r="AH25" s="42">
        <v>75</v>
      </c>
      <c r="AI25" s="43" t="str">
        <f t="shared" si="15"/>
        <v>B+</v>
      </c>
      <c r="AJ25" s="44">
        <f t="shared" si="16"/>
        <v>3.5</v>
      </c>
      <c r="AK25" s="45">
        <v>2</v>
      </c>
      <c r="AL25" s="46">
        <f t="shared" si="17"/>
        <v>7</v>
      </c>
      <c r="AM25" s="80">
        <v>81.349999999999994</v>
      </c>
      <c r="AN25" s="49" t="str">
        <f t="shared" si="18"/>
        <v>A</v>
      </c>
      <c r="AO25" s="50">
        <f t="shared" si="19"/>
        <v>4</v>
      </c>
      <c r="AP25" s="81">
        <v>4</v>
      </c>
      <c r="AQ25" s="82">
        <f t="shared" si="20"/>
        <v>16</v>
      </c>
      <c r="AR25" s="51">
        <v>77</v>
      </c>
      <c r="AS25" s="52" t="str">
        <f t="shared" si="21"/>
        <v>B+</v>
      </c>
      <c r="AT25" s="53">
        <f t="shared" si="22"/>
        <v>3.5</v>
      </c>
      <c r="AU25" s="83">
        <v>4</v>
      </c>
      <c r="AV25" s="52">
        <f t="shared" si="23"/>
        <v>14</v>
      </c>
      <c r="AW25" s="54">
        <v>77</v>
      </c>
      <c r="AX25" s="55" t="str">
        <f t="shared" si="24"/>
        <v>B+</v>
      </c>
      <c r="AY25" s="56">
        <f t="shared" si="25"/>
        <v>3.5</v>
      </c>
      <c r="AZ25" s="55">
        <v>3</v>
      </c>
      <c r="BA25" s="55">
        <f t="shared" si="26"/>
        <v>10.5</v>
      </c>
      <c r="BB25" s="84">
        <v>75</v>
      </c>
      <c r="BC25" s="57" t="str">
        <f t="shared" si="27"/>
        <v>B+</v>
      </c>
      <c r="BD25" s="58">
        <f t="shared" si="28"/>
        <v>3.5</v>
      </c>
      <c r="BE25" s="57">
        <v>5</v>
      </c>
      <c r="BF25" s="57">
        <f t="shared" si="29"/>
        <v>17.5</v>
      </c>
      <c r="BG25" s="59">
        <v>74</v>
      </c>
      <c r="BH25" s="59" t="str">
        <f t="shared" si="30"/>
        <v>B</v>
      </c>
      <c r="BI25" s="60">
        <f t="shared" si="31"/>
        <v>3</v>
      </c>
      <c r="BJ25" s="85">
        <v>2</v>
      </c>
      <c r="BK25" s="59">
        <f t="shared" si="32"/>
        <v>6</v>
      </c>
      <c r="BL25" s="47">
        <f t="shared" si="33"/>
        <v>70</v>
      </c>
      <c r="BM25" s="48">
        <f t="shared" si="45"/>
        <v>20</v>
      </c>
      <c r="BN25" s="47">
        <f t="shared" si="35"/>
        <v>3.5</v>
      </c>
      <c r="BO25" s="14">
        <f t="shared" si="36"/>
        <v>64</v>
      </c>
      <c r="BP25" s="15">
        <f t="shared" si="37"/>
        <v>18</v>
      </c>
      <c r="BQ25" s="14">
        <f t="shared" si="38"/>
        <v>3.5555555555555554</v>
      </c>
      <c r="BR25" s="86">
        <f t="shared" si="39"/>
        <v>134</v>
      </c>
      <c r="BS25" s="87">
        <f t="shared" si="40"/>
        <v>38</v>
      </c>
      <c r="BT25" s="88">
        <f t="shared" si="41"/>
        <v>3.5263157894736841</v>
      </c>
      <c r="BU25" s="95" t="str">
        <f t="shared" si="42"/>
        <v>Cum Laude</v>
      </c>
      <c r="BV25" s="95" t="str">
        <f t="shared" si="43"/>
        <v>Excellent</v>
      </c>
      <c r="BW25" s="95" t="s">
        <v>174</v>
      </c>
    </row>
    <row r="26" spans="1:75" x14ac:dyDescent="0.25">
      <c r="A26" s="16">
        <v>23</v>
      </c>
      <c r="B26" s="16" t="s">
        <v>50</v>
      </c>
      <c r="C26" s="16">
        <v>122314040</v>
      </c>
      <c r="D26" s="16" t="s">
        <v>26</v>
      </c>
      <c r="E26" s="94" t="s">
        <v>128</v>
      </c>
      <c r="F26" s="75" t="s">
        <v>129</v>
      </c>
      <c r="G26" s="75" t="s">
        <v>112</v>
      </c>
      <c r="H26" s="16" t="s">
        <v>217</v>
      </c>
      <c r="I26" s="17">
        <v>75</v>
      </c>
      <c r="J26" s="18" t="str">
        <f t="shared" si="0"/>
        <v>B+</v>
      </c>
      <c r="K26" s="19">
        <f t="shared" si="1"/>
        <v>3.5</v>
      </c>
      <c r="L26" s="20">
        <v>2</v>
      </c>
      <c r="M26" s="21">
        <f t="shared" si="2"/>
        <v>7</v>
      </c>
      <c r="N26" s="22">
        <v>74</v>
      </c>
      <c r="O26" s="23" t="str">
        <f t="shared" si="3"/>
        <v>B</v>
      </c>
      <c r="P26" s="24">
        <f t="shared" si="4"/>
        <v>3</v>
      </c>
      <c r="Q26" s="25">
        <v>6</v>
      </c>
      <c r="R26" s="26">
        <f t="shared" si="5"/>
        <v>18</v>
      </c>
      <c r="S26" s="27">
        <v>75</v>
      </c>
      <c r="T26" s="28" t="str">
        <f t="shared" si="6"/>
        <v>B+</v>
      </c>
      <c r="U26" s="29">
        <f t="shared" si="7"/>
        <v>3.5</v>
      </c>
      <c r="V26" s="30">
        <f>3</f>
        <v>3</v>
      </c>
      <c r="W26" s="31">
        <f t="shared" si="8"/>
        <v>10.5</v>
      </c>
      <c r="X26" s="32">
        <v>74.48</v>
      </c>
      <c r="Y26" s="33" t="str">
        <f t="shared" si="9"/>
        <v>B</v>
      </c>
      <c r="Z26" s="34">
        <f t="shared" si="10"/>
        <v>3</v>
      </c>
      <c r="AA26" s="35">
        <v>4</v>
      </c>
      <c r="AB26" s="36">
        <f t="shared" si="11"/>
        <v>12</v>
      </c>
      <c r="AC26" s="37">
        <v>75</v>
      </c>
      <c r="AD26" s="38" t="str">
        <f t="shared" si="12"/>
        <v>B+</v>
      </c>
      <c r="AE26" s="39">
        <f t="shared" si="13"/>
        <v>3.5</v>
      </c>
      <c r="AF26" s="40">
        <v>3</v>
      </c>
      <c r="AG26" s="41">
        <f t="shared" si="14"/>
        <v>10.5</v>
      </c>
      <c r="AH26" s="42">
        <v>75</v>
      </c>
      <c r="AI26" s="43" t="str">
        <f t="shared" si="15"/>
        <v>B+</v>
      </c>
      <c r="AJ26" s="44">
        <f t="shared" si="16"/>
        <v>3.5</v>
      </c>
      <c r="AK26" s="45">
        <v>2</v>
      </c>
      <c r="AL26" s="46">
        <f t="shared" si="17"/>
        <v>7</v>
      </c>
      <c r="AM26" s="80">
        <v>81.599999999999994</v>
      </c>
      <c r="AN26" s="49" t="str">
        <f t="shared" si="18"/>
        <v>A</v>
      </c>
      <c r="AO26" s="50">
        <f t="shared" si="19"/>
        <v>4</v>
      </c>
      <c r="AP26" s="81">
        <v>4</v>
      </c>
      <c r="AQ26" s="82">
        <f t="shared" si="20"/>
        <v>16</v>
      </c>
      <c r="AR26" s="51">
        <v>70</v>
      </c>
      <c r="AS26" s="52" t="str">
        <f t="shared" si="21"/>
        <v>B</v>
      </c>
      <c r="AT26" s="53">
        <f t="shared" si="22"/>
        <v>3</v>
      </c>
      <c r="AU26" s="83">
        <v>4</v>
      </c>
      <c r="AV26" s="52">
        <f t="shared" si="23"/>
        <v>12</v>
      </c>
      <c r="AW26" s="54">
        <v>75</v>
      </c>
      <c r="AX26" s="55" t="str">
        <f t="shared" si="24"/>
        <v>B+</v>
      </c>
      <c r="AY26" s="56">
        <f t="shared" si="25"/>
        <v>3.5</v>
      </c>
      <c r="AZ26" s="55">
        <v>3</v>
      </c>
      <c r="BA26" s="55">
        <f t="shared" si="26"/>
        <v>10.5</v>
      </c>
      <c r="BB26" s="84">
        <v>74</v>
      </c>
      <c r="BC26" s="57" t="str">
        <f t="shared" si="27"/>
        <v>B</v>
      </c>
      <c r="BD26" s="58">
        <f t="shared" si="28"/>
        <v>3</v>
      </c>
      <c r="BE26" s="57">
        <v>5</v>
      </c>
      <c r="BF26" s="57">
        <f t="shared" si="29"/>
        <v>15</v>
      </c>
      <c r="BG26" s="59">
        <v>74</v>
      </c>
      <c r="BH26" s="59" t="str">
        <f t="shared" si="30"/>
        <v>B</v>
      </c>
      <c r="BI26" s="60">
        <f t="shared" si="31"/>
        <v>3</v>
      </c>
      <c r="BJ26" s="85">
        <v>2</v>
      </c>
      <c r="BK26" s="59">
        <f t="shared" si="32"/>
        <v>6</v>
      </c>
      <c r="BL26" s="47">
        <f t="shared" si="33"/>
        <v>65</v>
      </c>
      <c r="BM26" s="48">
        <f t="shared" si="45"/>
        <v>20</v>
      </c>
      <c r="BN26" s="47">
        <f t="shared" si="35"/>
        <v>3.25</v>
      </c>
      <c r="BO26" s="47">
        <f t="shared" si="36"/>
        <v>59.5</v>
      </c>
      <c r="BP26" s="73">
        <f t="shared" si="37"/>
        <v>18</v>
      </c>
      <c r="BQ26" s="47">
        <f t="shared" si="38"/>
        <v>3.3055555555555554</v>
      </c>
      <c r="BR26" s="89">
        <f t="shared" si="39"/>
        <v>124.5</v>
      </c>
      <c r="BS26" s="84">
        <f t="shared" si="40"/>
        <v>38</v>
      </c>
      <c r="BT26" s="90">
        <f t="shared" si="41"/>
        <v>3.2763157894736841</v>
      </c>
      <c r="BU26" s="95" t="str">
        <f t="shared" si="42"/>
        <v>Sangat Memuaskan</v>
      </c>
      <c r="BV26" s="95" t="str">
        <f t="shared" si="43"/>
        <v>Highly Satisfactory</v>
      </c>
      <c r="BW26" s="95" t="s">
        <v>175</v>
      </c>
    </row>
    <row r="27" spans="1:75" ht="15.75" x14ac:dyDescent="0.25">
      <c r="A27" s="16">
        <v>24</v>
      </c>
      <c r="B27" s="16" t="s">
        <v>51</v>
      </c>
      <c r="C27" s="16">
        <v>122314041</v>
      </c>
      <c r="D27" s="16" t="s">
        <v>26</v>
      </c>
      <c r="E27" s="16" t="s">
        <v>93</v>
      </c>
      <c r="F27" s="75" t="s">
        <v>94</v>
      </c>
      <c r="G27" s="75" t="s">
        <v>111</v>
      </c>
      <c r="H27" s="16" t="s">
        <v>229</v>
      </c>
      <c r="I27" s="17">
        <v>76</v>
      </c>
      <c r="J27" s="18" t="str">
        <f t="shared" si="0"/>
        <v>B+</v>
      </c>
      <c r="K27" s="19">
        <f t="shared" si="1"/>
        <v>3.5</v>
      </c>
      <c r="L27" s="20">
        <v>2</v>
      </c>
      <c r="M27" s="21">
        <f t="shared" si="2"/>
        <v>7</v>
      </c>
      <c r="N27" s="22">
        <v>75</v>
      </c>
      <c r="O27" s="23" t="str">
        <f t="shared" si="3"/>
        <v>B+</v>
      </c>
      <c r="P27" s="24">
        <f t="shared" si="4"/>
        <v>3.5</v>
      </c>
      <c r="Q27" s="25">
        <v>6</v>
      </c>
      <c r="R27" s="26">
        <f t="shared" si="5"/>
        <v>21</v>
      </c>
      <c r="S27" s="27">
        <v>77.599999999999994</v>
      </c>
      <c r="T27" s="28" t="str">
        <f t="shared" si="6"/>
        <v>B+</v>
      </c>
      <c r="U27" s="29">
        <f t="shared" si="7"/>
        <v>3.5</v>
      </c>
      <c r="V27" s="30">
        <f>3</f>
        <v>3</v>
      </c>
      <c r="W27" s="31">
        <f t="shared" si="8"/>
        <v>10.5</v>
      </c>
      <c r="X27" s="32">
        <v>77.599999999999994</v>
      </c>
      <c r="Y27" s="33" t="str">
        <f t="shared" si="9"/>
        <v>B+</v>
      </c>
      <c r="Z27" s="34">
        <f t="shared" si="10"/>
        <v>3.5</v>
      </c>
      <c r="AA27" s="35">
        <v>4</v>
      </c>
      <c r="AB27" s="36">
        <f t="shared" si="11"/>
        <v>14</v>
      </c>
      <c r="AC27" s="37">
        <v>82</v>
      </c>
      <c r="AD27" s="38" t="str">
        <f t="shared" si="12"/>
        <v>A</v>
      </c>
      <c r="AE27" s="39">
        <f t="shared" si="13"/>
        <v>4</v>
      </c>
      <c r="AF27" s="40">
        <v>3</v>
      </c>
      <c r="AG27" s="41">
        <f t="shared" si="14"/>
        <v>12</v>
      </c>
      <c r="AH27" s="42">
        <v>76</v>
      </c>
      <c r="AI27" s="43" t="str">
        <f t="shared" si="15"/>
        <v>B+</v>
      </c>
      <c r="AJ27" s="44">
        <f t="shared" si="16"/>
        <v>3.5</v>
      </c>
      <c r="AK27" s="45">
        <v>2</v>
      </c>
      <c r="AL27" s="46">
        <f t="shared" si="17"/>
        <v>7</v>
      </c>
      <c r="AM27" s="80">
        <v>84.25</v>
      </c>
      <c r="AN27" s="49" t="str">
        <f t="shared" si="18"/>
        <v>A</v>
      </c>
      <c r="AO27" s="50">
        <f t="shared" si="19"/>
        <v>4</v>
      </c>
      <c r="AP27" s="81">
        <v>4</v>
      </c>
      <c r="AQ27" s="82">
        <f t="shared" si="20"/>
        <v>16</v>
      </c>
      <c r="AR27" s="51">
        <v>79</v>
      </c>
      <c r="AS27" s="52" t="str">
        <f t="shared" si="21"/>
        <v>B+</v>
      </c>
      <c r="AT27" s="53">
        <f t="shared" si="22"/>
        <v>3.5</v>
      </c>
      <c r="AU27" s="83">
        <v>4</v>
      </c>
      <c r="AV27" s="52">
        <f t="shared" si="23"/>
        <v>14</v>
      </c>
      <c r="AW27" s="54">
        <v>76</v>
      </c>
      <c r="AX27" s="55" t="str">
        <f t="shared" si="24"/>
        <v>B+</v>
      </c>
      <c r="AY27" s="56">
        <f t="shared" si="25"/>
        <v>3.5</v>
      </c>
      <c r="AZ27" s="55">
        <v>3</v>
      </c>
      <c r="BA27" s="55">
        <f t="shared" si="26"/>
        <v>10.5</v>
      </c>
      <c r="BB27" s="84">
        <v>76</v>
      </c>
      <c r="BC27" s="57" t="str">
        <f t="shared" si="27"/>
        <v>B+</v>
      </c>
      <c r="BD27" s="58">
        <f t="shared" si="28"/>
        <v>3.5</v>
      </c>
      <c r="BE27" s="57">
        <v>5</v>
      </c>
      <c r="BF27" s="57">
        <f t="shared" si="29"/>
        <v>17.5</v>
      </c>
      <c r="BG27" s="59">
        <v>81</v>
      </c>
      <c r="BH27" s="59" t="str">
        <f t="shared" si="30"/>
        <v>A</v>
      </c>
      <c r="BI27" s="60">
        <f t="shared" si="31"/>
        <v>4</v>
      </c>
      <c r="BJ27" s="85">
        <v>2</v>
      </c>
      <c r="BK27" s="59">
        <f t="shared" si="32"/>
        <v>8</v>
      </c>
      <c r="BL27" s="47">
        <f t="shared" si="33"/>
        <v>71.5</v>
      </c>
      <c r="BM27" s="48">
        <f t="shared" si="45"/>
        <v>20</v>
      </c>
      <c r="BN27" s="47">
        <f t="shared" si="35"/>
        <v>3.5750000000000002</v>
      </c>
      <c r="BO27" s="14">
        <f t="shared" si="36"/>
        <v>66</v>
      </c>
      <c r="BP27" s="15">
        <f t="shared" si="37"/>
        <v>18</v>
      </c>
      <c r="BQ27" s="14">
        <f t="shared" si="38"/>
        <v>3.6666666666666665</v>
      </c>
      <c r="BR27" s="86">
        <f t="shared" si="39"/>
        <v>137.5</v>
      </c>
      <c r="BS27" s="87">
        <f t="shared" si="40"/>
        <v>38</v>
      </c>
      <c r="BT27" s="88">
        <f t="shared" si="41"/>
        <v>3.6184210526315788</v>
      </c>
      <c r="BU27" s="95" t="str">
        <f t="shared" si="42"/>
        <v>Cum Laude</v>
      </c>
      <c r="BV27" s="95" t="str">
        <f t="shared" si="43"/>
        <v>Excellent</v>
      </c>
      <c r="BW27" s="95" t="s">
        <v>176</v>
      </c>
    </row>
    <row r="28" spans="1:75" ht="15.75" x14ac:dyDescent="0.25">
      <c r="A28" s="16">
        <v>25</v>
      </c>
      <c r="B28" s="16" t="s">
        <v>52</v>
      </c>
      <c r="C28" s="16">
        <v>122314043</v>
      </c>
      <c r="D28" s="16" t="s">
        <v>26</v>
      </c>
      <c r="E28" s="16" t="s">
        <v>117</v>
      </c>
      <c r="F28" s="75" t="s">
        <v>145</v>
      </c>
      <c r="G28" s="75" t="s">
        <v>112</v>
      </c>
      <c r="H28" s="16" t="s">
        <v>218</v>
      </c>
      <c r="I28" s="17">
        <v>74</v>
      </c>
      <c r="J28" s="18" t="str">
        <f t="shared" si="0"/>
        <v>B</v>
      </c>
      <c r="K28" s="19">
        <f t="shared" si="1"/>
        <v>3</v>
      </c>
      <c r="L28" s="20">
        <v>2</v>
      </c>
      <c r="M28" s="21">
        <f t="shared" si="2"/>
        <v>6</v>
      </c>
      <c r="N28" s="22">
        <v>70</v>
      </c>
      <c r="O28" s="23" t="str">
        <f t="shared" si="3"/>
        <v>B</v>
      </c>
      <c r="P28" s="24">
        <f t="shared" si="4"/>
        <v>3</v>
      </c>
      <c r="Q28" s="25">
        <v>6</v>
      </c>
      <c r="R28" s="26">
        <f t="shared" si="5"/>
        <v>18</v>
      </c>
      <c r="S28" s="27">
        <v>73.08</v>
      </c>
      <c r="T28" s="28" t="str">
        <f t="shared" si="6"/>
        <v>B</v>
      </c>
      <c r="U28" s="29">
        <f t="shared" si="7"/>
        <v>3</v>
      </c>
      <c r="V28" s="30">
        <f>3</f>
        <v>3</v>
      </c>
      <c r="W28" s="31">
        <f t="shared" si="8"/>
        <v>9</v>
      </c>
      <c r="X28" s="32">
        <v>75</v>
      </c>
      <c r="Y28" s="33" t="str">
        <f t="shared" si="9"/>
        <v>B+</v>
      </c>
      <c r="Z28" s="34">
        <f t="shared" si="10"/>
        <v>3.5</v>
      </c>
      <c r="AA28" s="35">
        <v>4</v>
      </c>
      <c r="AB28" s="36">
        <f t="shared" si="11"/>
        <v>14</v>
      </c>
      <c r="AC28" s="37">
        <v>75</v>
      </c>
      <c r="AD28" s="38" t="str">
        <f t="shared" si="12"/>
        <v>B+</v>
      </c>
      <c r="AE28" s="39">
        <f t="shared" si="13"/>
        <v>3.5</v>
      </c>
      <c r="AF28" s="40">
        <v>3</v>
      </c>
      <c r="AG28" s="41">
        <f t="shared" si="14"/>
        <v>10.5</v>
      </c>
      <c r="AH28" s="42">
        <v>75</v>
      </c>
      <c r="AI28" s="43" t="str">
        <f t="shared" si="15"/>
        <v>B+</v>
      </c>
      <c r="AJ28" s="44">
        <f t="shared" si="16"/>
        <v>3.5</v>
      </c>
      <c r="AK28" s="45">
        <v>2</v>
      </c>
      <c r="AL28" s="46">
        <f t="shared" si="17"/>
        <v>7</v>
      </c>
      <c r="AM28" s="80">
        <v>81.599999999999994</v>
      </c>
      <c r="AN28" s="49" t="str">
        <f t="shared" si="18"/>
        <v>A</v>
      </c>
      <c r="AO28" s="50">
        <f t="shared" si="19"/>
        <v>4</v>
      </c>
      <c r="AP28" s="81">
        <v>4</v>
      </c>
      <c r="AQ28" s="82">
        <f t="shared" si="20"/>
        <v>16</v>
      </c>
      <c r="AR28" s="51">
        <v>75</v>
      </c>
      <c r="AS28" s="52" t="str">
        <f t="shared" si="21"/>
        <v>B+</v>
      </c>
      <c r="AT28" s="53">
        <f t="shared" si="22"/>
        <v>3.5</v>
      </c>
      <c r="AU28" s="83">
        <v>4</v>
      </c>
      <c r="AV28" s="52">
        <f t="shared" si="23"/>
        <v>14</v>
      </c>
      <c r="AW28" s="54">
        <v>75</v>
      </c>
      <c r="AX28" s="55" t="str">
        <f t="shared" si="24"/>
        <v>B+</v>
      </c>
      <c r="AY28" s="56">
        <f t="shared" si="25"/>
        <v>3.5</v>
      </c>
      <c r="AZ28" s="55">
        <v>3</v>
      </c>
      <c r="BA28" s="55">
        <f t="shared" si="26"/>
        <v>10.5</v>
      </c>
      <c r="BB28" s="84">
        <v>75</v>
      </c>
      <c r="BC28" s="57" t="str">
        <f t="shared" si="27"/>
        <v>B+</v>
      </c>
      <c r="BD28" s="58">
        <f t="shared" si="28"/>
        <v>3.5</v>
      </c>
      <c r="BE28" s="57">
        <v>5</v>
      </c>
      <c r="BF28" s="57">
        <f t="shared" si="29"/>
        <v>17.5</v>
      </c>
      <c r="BG28" s="59">
        <v>74</v>
      </c>
      <c r="BH28" s="59" t="str">
        <f t="shared" si="30"/>
        <v>B</v>
      </c>
      <c r="BI28" s="60">
        <f t="shared" si="31"/>
        <v>3</v>
      </c>
      <c r="BJ28" s="85">
        <v>2</v>
      </c>
      <c r="BK28" s="59">
        <f t="shared" si="32"/>
        <v>6</v>
      </c>
      <c r="BL28" s="47">
        <f t="shared" si="33"/>
        <v>64.5</v>
      </c>
      <c r="BM28" s="48">
        <f t="shared" si="45"/>
        <v>20</v>
      </c>
      <c r="BN28" s="47">
        <f t="shared" si="35"/>
        <v>3.2250000000000001</v>
      </c>
      <c r="BO28" s="14">
        <f t="shared" si="36"/>
        <v>64</v>
      </c>
      <c r="BP28" s="15">
        <f t="shared" si="37"/>
        <v>18</v>
      </c>
      <c r="BQ28" s="14">
        <f t="shared" si="38"/>
        <v>3.5555555555555554</v>
      </c>
      <c r="BR28" s="86">
        <f t="shared" si="39"/>
        <v>128.5</v>
      </c>
      <c r="BS28" s="87">
        <f t="shared" si="40"/>
        <v>38</v>
      </c>
      <c r="BT28" s="88">
        <f t="shared" si="41"/>
        <v>3.3815789473684212</v>
      </c>
      <c r="BU28" s="95" t="str">
        <f t="shared" si="42"/>
        <v>Sangat Memuaskan</v>
      </c>
      <c r="BV28" s="95" t="str">
        <f t="shared" si="43"/>
        <v>Highly Satisfactory</v>
      </c>
      <c r="BW28" s="95" t="s">
        <v>177</v>
      </c>
    </row>
    <row r="29" spans="1:75" ht="15.75" x14ac:dyDescent="0.25">
      <c r="A29" s="16">
        <v>26</v>
      </c>
      <c r="B29" s="16" t="s">
        <v>53</v>
      </c>
      <c r="C29" s="16">
        <v>122314044</v>
      </c>
      <c r="D29" s="16" t="s">
        <v>26</v>
      </c>
      <c r="E29" s="16" t="s">
        <v>146</v>
      </c>
      <c r="F29" s="75" t="s">
        <v>193</v>
      </c>
      <c r="G29" s="75" t="s">
        <v>111</v>
      </c>
      <c r="H29" s="16" t="s">
        <v>230</v>
      </c>
      <c r="I29" s="17">
        <v>78</v>
      </c>
      <c r="J29" s="18" t="str">
        <f t="shared" si="0"/>
        <v>B+</v>
      </c>
      <c r="K29" s="19">
        <f t="shared" si="1"/>
        <v>3.5</v>
      </c>
      <c r="L29" s="20">
        <v>2</v>
      </c>
      <c r="M29" s="21">
        <f t="shared" si="2"/>
        <v>7</v>
      </c>
      <c r="N29" s="22">
        <v>75</v>
      </c>
      <c r="O29" s="23" t="str">
        <f t="shared" si="3"/>
        <v>B+</v>
      </c>
      <c r="P29" s="24">
        <f t="shared" si="4"/>
        <v>3.5</v>
      </c>
      <c r="Q29" s="25">
        <v>6</v>
      </c>
      <c r="R29" s="26">
        <f t="shared" si="5"/>
        <v>21</v>
      </c>
      <c r="S29" s="27">
        <v>76.7</v>
      </c>
      <c r="T29" s="28" t="str">
        <f t="shared" si="6"/>
        <v>B+</v>
      </c>
      <c r="U29" s="29">
        <f t="shared" si="7"/>
        <v>3.5</v>
      </c>
      <c r="V29" s="30">
        <f>3</f>
        <v>3</v>
      </c>
      <c r="W29" s="31">
        <f t="shared" si="8"/>
        <v>10.5</v>
      </c>
      <c r="X29" s="32">
        <v>76.7</v>
      </c>
      <c r="Y29" s="33" t="str">
        <f t="shared" si="9"/>
        <v>B+</v>
      </c>
      <c r="Z29" s="34">
        <f t="shared" si="10"/>
        <v>3.5</v>
      </c>
      <c r="AA29" s="35">
        <v>4</v>
      </c>
      <c r="AB29" s="36">
        <f t="shared" si="11"/>
        <v>14</v>
      </c>
      <c r="AC29" s="61">
        <v>75</v>
      </c>
      <c r="AD29" s="38" t="str">
        <f t="shared" si="12"/>
        <v>B+</v>
      </c>
      <c r="AE29" s="39">
        <f t="shared" si="13"/>
        <v>3.5</v>
      </c>
      <c r="AF29" s="40">
        <v>3</v>
      </c>
      <c r="AG29" s="41">
        <f t="shared" si="14"/>
        <v>10.5</v>
      </c>
      <c r="AH29" s="42">
        <v>77</v>
      </c>
      <c r="AI29" s="43" t="str">
        <f t="shared" si="15"/>
        <v>B+</v>
      </c>
      <c r="AJ29" s="44">
        <f t="shared" si="16"/>
        <v>3.5</v>
      </c>
      <c r="AK29" s="45">
        <v>2</v>
      </c>
      <c r="AL29" s="46">
        <f t="shared" si="17"/>
        <v>7</v>
      </c>
      <c r="AM29" s="80">
        <v>84.25</v>
      </c>
      <c r="AN29" s="49" t="str">
        <f t="shared" si="18"/>
        <v>A</v>
      </c>
      <c r="AO29" s="50">
        <f t="shared" si="19"/>
        <v>4</v>
      </c>
      <c r="AP29" s="81">
        <v>4</v>
      </c>
      <c r="AQ29" s="82">
        <f t="shared" si="20"/>
        <v>16</v>
      </c>
      <c r="AR29" s="51">
        <v>76</v>
      </c>
      <c r="AS29" s="52" t="str">
        <f t="shared" si="21"/>
        <v>B+</v>
      </c>
      <c r="AT29" s="53">
        <f t="shared" si="22"/>
        <v>3.5</v>
      </c>
      <c r="AU29" s="83">
        <v>4</v>
      </c>
      <c r="AV29" s="52">
        <f t="shared" si="23"/>
        <v>14</v>
      </c>
      <c r="AW29" s="54">
        <v>75</v>
      </c>
      <c r="AX29" s="55" t="str">
        <f t="shared" si="24"/>
        <v>B+</v>
      </c>
      <c r="AY29" s="56">
        <f t="shared" si="25"/>
        <v>3.5</v>
      </c>
      <c r="AZ29" s="55">
        <v>3</v>
      </c>
      <c r="BA29" s="55">
        <f t="shared" si="26"/>
        <v>10.5</v>
      </c>
      <c r="BB29" s="84">
        <v>76</v>
      </c>
      <c r="BC29" s="57" t="str">
        <f t="shared" si="27"/>
        <v>B+</v>
      </c>
      <c r="BD29" s="58">
        <f t="shared" si="28"/>
        <v>3.5</v>
      </c>
      <c r="BE29" s="57">
        <v>5</v>
      </c>
      <c r="BF29" s="57">
        <f t="shared" si="29"/>
        <v>17.5</v>
      </c>
      <c r="BG29" s="59">
        <v>74</v>
      </c>
      <c r="BH29" s="59" t="str">
        <f t="shared" si="30"/>
        <v>B</v>
      </c>
      <c r="BI29" s="60">
        <f t="shared" si="31"/>
        <v>3</v>
      </c>
      <c r="BJ29" s="85">
        <v>2</v>
      </c>
      <c r="BK29" s="59">
        <f t="shared" si="32"/>
        <v>6</v>
      </c>
      <c r="BL29" s="47">
        <f t="shared" si="33"/>
        <v>70</v>
      </c>
      <c r="BM29" s="48">
        <f t="shared" si="45"/>
        <v>20</v>
      </c>
      <c r="BN29" s="47">
        <f t="shared" si="35"/>
        <v>3.5</v>
      </c>
      <c r="BO29" s="14">
        <f t="shared" si="36"/>
        <v>64</v>
      </c>
      <c r="BP29" s="15">
        <f t="shared" si="37"/>
        <v>18</v>
      </c>
      <c r="BQ29" s="14">
        <f t="shared" si="38"/>
        <v>3.5555555555555554</v>
      </c>
      <c r="BR29" s="86">
        <f t="shared" si="39"/>
        <v>134</v>
      </c>
      <c r="BS29" s="87">
        <f t="shared" si="40"/>
        <v>38</v>
      </c>
      <c r="BT29" s="88">
        <f t="shared" si="41"/>
        <v>3.5263157894736841</v>
      </c>
      <c r="BU29" s="95" t="str">
        <f t="shared" si="42"/>
        <v>Cum Laude</v>
      </c>
      <c r="BV29" s="95" t="str">
        <f t="shared" si="43"/>
        <v>Excellent</v>
      </c>
      <c r="BW29" s="95" t="s">
        <v>178</v>
      </c>
    </row>
    <row r="30" spans="1:75" ht="15.75" x14ac:dyDescent="0.25">
      <c r="A30" s="16">
        <v>27</v>
      </c>
      <c r="B30" s="113" t="s">
        <v>54</v>
      </c>
      <c r="C30" s="16">
        <v>122314045</v>
      </c>
      <c r="D30" s="16" t="s">
        <v>26</v>
      </c>
      <c r="E30" s="94" t="s">
        <v>130</v>
      </c>
      <c r="F30" s="75" t="s">
        <v>131</v>
      </c>
      <c r="G30" s="75" t="s">
        <v>112</v>
      </c>
      <c r="H30" s="16" t="s">
        <v>219</v>
      </c>
      <c r="I30" s="17">
        <v>74</v>
      </c>
      <c r="J30" s="18" t="str">
        <f t="shared" si="0"/>
        <v>B</v>
      </c>
      <c r="K30" s="19">
        <f t="shared" si="1"/>
        <v>3</v>
      </c>
      <c r="L30" s="20">
        <v>2</v>
      </c>
      <c r="M30" s="21">
        <f t="shared" si="2"/>
        <v>6</v>
      </c>
      <c r="N30" s="22">
        <v>74</v>
      </c>
      <c r="O30" s="23" t="str">
        <f t="shared" si="3"/>
        <v>B</v>
      </c>
      <c r="P30" s="24">
        <f t="shared" si="4"/>
        <v>3</v>
      </c>
      <c r="Q30" s="25">
        <v>6</v>
      </c>
      <c r="R30" s="26">
        <f t="shared" si="5"/>
        <v>18</v>
      </c>
      <c r="S30" s="27">
        <v>75</v>
      </c>
      <c r="T30" s="28" t="str">
        <f t="shared" si="6"/>
        <v>B+</v>
      </c>
      <c r="U30" s="29">
        <f t="shared" si="7"/>
        <v>3.5</v>
      </c>
      <c r="V30" s="30">
        <f>3</f>
        <v>3</v>
      </c>
      <c r="W30" s="31">
        <f t="shared" si="8"/>
        <v>10.5</v>
      </c>
      <c r="X30" s="32">
        <v>75</v>
      </c>
      <c r="Y30" s="33" t="str">
        <f t="shared" si="9"/>
        <v>B+</v>
      </c>
      <c r="Z30" s="34">
        <f t="shared" si="10"/>
        <v>3.5</v>
      </c>
      <c r="AA30" s="35">
        <v>4</v>
      </c>
      <c r="AB30" s="36">
        <f t="shared" si="11"/>
        <v>14</v>
      </c>
      <c r="AC30" s="61">
        <v>73</v>
      </c>
      <c r="AD30" s="38" t="str">
        <f t="shared" si="12"/>
        <v>B</v>
      </c>
      <c r="AE30" s="39">
        <f t="shared" si="13"/>
        <v>3</v>
      </c>
      <c r="AF30" s="40">
        <v>3</v>
      </c>
      <c r="AG30" s="41">
        <f t="shared" si="14"/>
        <v>9</v>
      </c>
      <c r="AH30" s="42">
        <v>75</v>
      </c>
      <c r="AI30" s="43" t="str">
        <f t="shared" si="15"/>
        <v>B+</v>
      </c>
      <c r="AJ30" s="44">
        <f t="shared" si="16"/>
        <v>3.5</v>
      </c>
      <c r="AK30" s="45">
        <v>2</v>
      </c>
      <c r="AL30" s="46">
        <f t="shared" si="17"/>
        <v>7</v>
      </c>
      <c r="AM30" s="80">
        <v>81.650000000000006</v>
      </c>
      <c r="AN30" s="49" t="str">
        <f t="shared" si="18"/>
        <v>A</v>
      </c>
      <c r="AO30" s="50">
        <f t="shared" si="19"/>
        <v>4</v>
      </c>
      <c r="AP30" s="81">
        <v>4</v>
      </c>
      <c r="AQ30" s="82">
        <f t="shared" si="20"/>
        <v>16</v>
      </c>
      <c r="AR30" s="51">
        <v>73</v>
      </c>
      <c r="AS30" s="52" t="str">
        <f t="shared" si="21"/>
        <v>B</v>
      </c>
      <c r="AT30" s="53">
        <f t="shared" si="22"/>
        <v>3</v>
      </c>
      <c r="AU30" s="83">
        <v>4</v>
      </c>
      <c r="AV30" s="52">
        <f t="shared" si="23"/>
        <v>12</v>
      </c>
      <c r="AW30" s="54">
        <v>76</v>
      </c>
      <c r="AX30" s="55" t="str">
        <f t="shared" si="24"/>
        <v>B+</v>
      </c>
      <c r="AY30" s="56">
        <f t="shared" si="25"/>
        <v>3.5</v>
      </c>
      <c r="AZ30" s="55">
        <v>3</v>
      </c>
      <c r="BA30" s="55">
        <f t="shared" si="26"/>
        <v>10.5</v>
      </c>
      <c r="BB30" s="84">
        <v>75</v>
      </c>
      <c r="BC30" s="57" t="str">
        <f t="shared" si="27"/>
        <v>B+</v>
      </c>
      <c r="BD30" s="58">
        <f t="shared" si="28"/>
        <v>3.5</v>
      </c>
      <c r="BE30" s="57">
        <v>5</v>
      </c>
      <c r="BF30" s="57">
        <f t="shared" si="29"/>
        <v>17.5</v>
      </c>
      <c r="BG30" s="59">
        <v>74</v>
      </c>
      <c r="BH30" s="59" t="str">
        <f t="shared" si="30"/>
        <v>B</v>
      </c>
      <c r="BI30" s="60">
        <f t="shared" si="31"/>
        <v>3</v>
      </c>
      <c r="BJ30" s="85">
        <v>2</v>
      </c>
      <c r="BK30" s="59">
        <f t="shared" si="32"/>
        <v>6</v>
      </c>
      <c r="BL30" s="47">
        <f t="shared" si="33"/>
        <v>64.5</v>
      </c>
      <c r="BM30" s="48">
        <f t="shared" si="45"/>
        <v>20</v>
      </c>
      <c r="BN30" s="47">
        <f t="shared" si="35"/>
        <v>3.2250000000000001</v>
      </c>
      <c r="BO30" s="14">
        <f t="shared" si="36"/>
        <v>62</v>
      </c>
      <c r="BP30" s="15">
        <f t="shared" si="37"/>
        <v>18</v>
      </c>
      <c r="BQ30" s="14">
        <f t="shared" si="38"/>
        <v>3.4444444444444446</v>
      </c>
      <c r="BR30" s="86">
        <f t="shared" si="39"/>
        <v>126.5</v>
      </c>
      <c r="BS30" s="87">
        <f t="shared" si="40"/>
        <v>38</v>
      </c>
      <c r="BT30" s="88">
        <f t="shared" si="41"/>
        <v>3.3289473684210527</v>
      </c>
      <c r="BU30" s="95" t="str">
        <f t="shared" si="42"/>
        <v>Sangat Memuaskan</v>
      </c>
      <c r="BV30" s="95" t="str">
        <f t="shared" si="43"/>
        <v>Highly Satisfactory</v>
      </c>
      <c r="BW30" s="95" t="s">
        <v>196</v>
      </c>
    </row>
    <row r="31" spans="1:75" ht="15.75" x14ac:dyDescent="0.25">
      <c r="A31" s="16">
        <v>28</v>
      </c>
      <c r="B31" s="16" t="s">
        <v>55</v>
      </c>
      <c r="C31" s="16">
        <v>122314046</v>
      </c>
      <c r="D31" s="16" t="s">
        <v>26</v>
      </c>
      <c r="E31" s="94" t="s">
        <v>132</v>
      </c>
      <c r="F31" s="75" t="s">
        <v>133</v>
      </c>
      <c r="G31" s="75" t="s">
        <v>112</v>
      </c>
      <c r="H31" s="16" t="s">
        <v>220</v>
      </c>
      <c r="I31" s="17">
        <v>78</v>
      </c>
      <c r="J31" s="18" t="str">
        <f t="shared" si="0"/>
        <v>B+</v>
      </c>
      <c r="K31" s="19">
        <f t="shared" si="1"/>
        <v>3.5</v>
      </c>
      <c r="L31" s="20">
        <v>2</v>
      </c>
      <c r="M31" s="21">
        <f t="shared" si="2"/>
        <v>7</v>
      </c>
      <c r="N31" s="22">
        <v>75</v>
      </c>
      <c r="O31" s="23" t="str">
        <f t="shared" si="3"/>
        <v>B+</v>
      </c>
      <c r="P31" s="24">
        <f t="shared" si="4"/>
        <v>3.5</v>
      </c>
      <c r="Q31" s="25">
        <v>6</v>
      </c>
      <c r="R31" s="26">
        <f t="shared" si="5"/>
        <v>21</v>
      </c>
      <c r="S31" s="27">
        <v>75.400000000000006</v>
      </c>
      <c r="T31" s="28" t="str">
        <f t="shared" si="6"/>
        <v>B+</v>
      </c>
      <c r="U31" s="29">
        <f t="shared" si="7"/>
        <v>3.5</v>
      </c>
      <c r="V31" s="30">
        <f>3</f>
        <v>3</v>
      </c>
      <c r="W31" s="31">
        <f t="shared" si="8"/>
        <v>10.5</v>
      </c>
      <c r="X31" s="32">
        <v>75.400000000000006</v>
      </c>
      <c r="Y31" s="33" t="str">
        <f t="shared" si="9"/>
        <v>B+</v>
      </c>
      <c r="Z31" s="34">
        <f t="shared" si="10"/>
        <v>3.5</v>
      </c>
      <c r="AA31" s="35">
        <v>4</v>
      </c>
      <c r="AB31" s="36">
        <f t="shared" si="11"/>
        <v>14</v>
      </c>
      <c r="AC31" s="61">
        <v>72</v>
      </c>
      <c r="AD31" s="38" t="str">
        <f t="shared" si="12"/>
        <v>B</v>
      </c>
      <c r="AE31" s="39">
        <f t="shared" si="13"/>
        <v>3</v>
      </c>
      <c r="AF31" s="40">
        <v>3</v>
      </c>
      <c r="AG31" s="41">
        <f t="shared" si="14"/>
        <v>9</v>
      </c>
      <c r="AH31" s="42">
        <v>75</v>
      </c>
      <c r="AI31" s="43" t="str">
        <f t="shared" si="15"/>
        <v>B+</v>
      </c>
      <c r="AJ31" s="44">
        <f t="shared" si="16"/>
        <v>3.5</v>
      </c>
      <c r="AK31" s="45">
        <v>2</v>
      </c>
      <c r="AL31" s="46">
        <f t="shared" si="17"/>
        <v>7</v>
      </c>
      <c r="AM31" s="80">
        <v>80.849999999999994</v>
      </c>
      <c r="AN31" s="49" t="str">
        <f t="shared" si="18"/>
        <v>A</v>
      </c>
      <c r="AO31" s="50">
        <f t="shared" si="19"/>
        <v>4</v>
      </c>
      <c r="AP31" s="81">
        <v>4</v>
      </c>
      <c r="AQ31" s="82">
        <f t="shared" si="20"/>
        <v>16</v>
      </c>
      <c r="AR31" s="51">
        <v>79</v>
      </c>
      <c r="AS31" s="52" t="str">
        <f t="shared" si="21"/>
        <v>B+</v>
      </c>
      <c r="AT31" s="53">
        <f t="shared" si="22"/>
        <v>3.5</v>
      </c>
      <c r="AU31" s="83">
        <v>4</v>
      </c>
      <c r="AV31" s="52">
        <f t="shared" si="23"/>
        <v>14</v>
      </c>
      <c r="AW31" s="54">
        <v>75</v>
      </c>
      <c r="AX31" s="55" t="str">
        <f t="shared" si="24"/>
        <v>B+</v>
      </c>
      <c r="AY31" s="56">
        <f t="shared" si="25"/>
        <v>3.5</v>
      </c>
      <c r="AZ31" s="55">
        <v>3</v>
      </c>
      <c r="BA31" s="55">
        <f t="shared" si="26"/>
        <v>10.5</v>
      </c>
      <c r="BB31" s="84">
        <v>74</v>
      </c>
      <c r="BC31" s="57" t="str">
        <f t="shared" si="27"/>
        <v>B</v>
      </c>
      <c r="BD31" s="58">
        <f t="shared" si="28"/>
        <v>3</v>
      </c>
      <c r="BE31" s="57">
        <v>5</v>
      </c>
      <c r="BF31" s="57">
        <f t="shared" si="29"/>
        <v>15</v>
      </c>
      <c r="BG31" s="59">
        <v>74</v>
      </c>
      <c r="BH31" s="59" t="str">
        <f t="shared" si="30"/>
        <v>B</v>
      </c>
      <c r="BI31" s="60">
        <f t="shared" si="31"/>
        <v>3</v>
      </c>
      <c r="BJ31" s="85">
        <v>2</v>
      </c>
      <c r="BK31" s="59">
        <f t="shared" si="32"/>
        <v>6</v>
      </c>
      <c r="BL31" s="47">
        <f t="shared" si="33"/>
        <v>68.5</v>
      </c>
      <c r="BM31" s="48">
        <f t="shared" si="45"/>
        <v>20</v>
      </c>
      <c r="BN31" s="47">
        <f t="shared" si="35"/>
        <v>3.4249999999999998</v>
      </c>
      <c r="BO31" s="14">
        <f t="shared" si="36"/>
        <v>61.5</v>
      </c>
      <c r="BP31" s="15">
        <f t="shared" si="37"/>
        <v>18</v>
      </c>
      <c r="BQ31" s="14">
        <f t="shared" si="38"/>
        <v>3.4166666666666665</v>
      </c>
      <c r="BR31" s="86">
        <f t="shared" si="39"/>
        <v>130</v>
      </c>
      <c r="BS31" s="87">
        <f t="shared" si="40"/>
        <v>38</v>
      </c>
      <c r="BT31" s="88">
        <f t="shared" si="41"/>
        <v>3.4210526315789473</v>
      </c>
      <c r="BU31" s="95" t="str">
        <f t="shared" si="42"/>
        <v>Sangat Memuaskan</v>
      </c>
      <c r="BV31" s="95" t="str">
        <f t="shared" si="43"/>
        <v>Highly Satisfactory</v>
      </c>
      <c r="BW31" s="95" t="s">
        <v>179</v>
      </c>
    </row>
    <row r="32" spans="1:75" ht="15.75" x14ac:dyDescent="0.25">
      <c r="A32" s="16">
        <v>29</v>
      </c>
      <c r="B32" s="113" t="s">
        <v>56</v>
      </c>
      <c r="C32" s="16">
        <v>122314047</v>
      </c>
      <c r="D32" s="16" t="s">
        <v>26</v>
      </c>
      <c r="E32" s="16" t="s">
        <v>117</v>
      </c>
      <c r="F32" s="75" t="s">
        <v>147</v>
      </c>
      <c r="G32" s="75" t="s">
        <v>111</v>
      </c>
      <c r="H32" s="16" t="s">
        <v>231</v>
      </c>
      <c r="I32" s="17">
        <v>74</v>
      </c>
      <c r="J32" s="18" t="str">
        <f t="shared" si="0"/>
        <v>B</v>
      </c>
      <c r="K32" s="19">
        <f t="shared" si="1"/>
        <v>3</v>
      </c>
      <c r="L32" s="20">
        <v>2</v>
      </c>
      <c r="M32" s="21">
        <f t="shared" si="2"/>
        <v>6</v>
      </c>
      <c r="N32" s="22">
        <v>73</v>
      </c>
      <c r="O32" s="23" t="str">
        <f t="shared" si="3"/>
        <v>B</v>
      </c>
      <c r="P32" s="24">
        <f t="shared" si="4"/>
        <v>3</v>
      </c>
      <c r="Q32" s="25">
        <v>6</v>
      </c>
      <c r="R32" s="26">
        <f t="shared" si="5"/>
        <v>18</v>
      </c>
      <c r="S32" s="27">
        <v>75</v>
      </c>
      <c r="T32" s="28" t="str">
        <f t="shared" si="6"/>
        <v>B+</v>
      </c>
      <c r="U32" s="29">
        <f t="shared" si="7"/>
        <v>3.5</v>
      </c>
      <c r="V32" s="30">
        <f>3</f>
        <v>3</v>
      </c>
      <c r="W32" s="31">
        <f t="shared" si="8"/>
        <v>10.5</v>
      </c>
      <c r="X32" s="32">
        <v>73.28</v>
      </c>
      <c r="Y32" s="33" t="str">
        <f t="shared" si="9"/>
        <v>B</v>
      </c>
      <c r="Z32" s="34">
        <f t="shared" si="10"/>
        <v>3</v>
      </c>
      <c r="AA32" s="35">
        <v>4</v>
      </c>
      <c r="AB32" s="36">
        <f t="shared" si="11"/>
        <v>12</v>
      </c>
      <c r="AC32" s="61">
        <v>75</v>
      </c>
      <c r="AD32" s="38" t="str">
        <f t="shared" si="12"/>
        <v>B+</v>
      </c>
      <c r="AE32" s="39">
        <f t="shared" si="13"/>
        <v>3.5</v>
      </c>
      <c r="AF32" s="40">
        <v>3</v>
      </c>
      <c r="AG32" s="41">
        <f t="shared" si="14"/>
        <v>10.5</v>
      </c>
      <c r="AH32" s="42">
        <v>75</v>
      </c>
      <c r="AI32" s="43" t="str">
        <f t="shared" si="15"/>
        <v>B+</v>
      </c>
      <c r="AJ32" s="44">
        <f t="shared" si="16"/>
        <v>3.5</v>
      </c>
      <c r="AK32" s="45">
        <v>2</v>
      </c>
      <c r="AL32" s="46">
        <f t="shared" si="17"/>
        <v>7</v>
      </c>
      <c r="AM32" s="80">
        <v>81.400000000000006</v>
      </c>
      <c r="AN32" s="49" t="str">
        <f t="shared" si="18"/>
        <v>A</v>
      </c>
      <c r="AO32" s="50">
        <f t="shared" si="19"/>
        <v>4</v>
      </c>
      <c r="AP32" s="81">
        <v>4</v>
      </c>
      <c r="AQ32" s="82">
        <f t="shared" si="20"/>
        <v>16</v>
      </c>
      <c r="AR32" s="51">
        <v>79</v>
      </c>
      <c r="AS32" s="52" t="str">
        <f t="shared" si="21"/>
        <v>B+</v>
      </c>
      <c r="AT32" s="53">
        <f t="shared" si="22"/>
        <v>3.5</v>
      </c>
      <c r="AU32" s="83">
        <v>4</v>
      </c>
      <c r="AV32" s="52">
        <f t="shared" si="23"/>
        <v>14</v>
      </c>
      <c r="AW32" s="54">
        <v>77</v>
      </c>
      <c r="AX32" s="55" t="str">
        <f t="shared" si="24"/>
        <v>B+</v>
      </c>
      <c r="AY32" s="56">
        <f t="shared" si="25"/>
        <v>3.5</v>
      </c>
      <c r="AZ32" s="55">
        <v>3</v>
      </c>
      <c r="BA32" s="55">
        <f t="shared" si="26"/>
        <v>10.5</v>
      </c>
      <c r="BB32" s="84">
        <v>76</v>
      </c>
      <c r="BC32" s="57" t="str">
        <f t="shared" si="27"/>
        <v>B+</v>
      </c>
      <c r="BD32" s="58">
        <f t="shared" si="28"/>
        <v>3.5</v>
      </c>
      <c r="BE32" s="57">
        <v>5</v>
      </c>
      <c r="BF32" s="57">
        <f t="shared" si="29"/>
        <v>17.5</v>
      </c>
      <c r="BG32" s="59">
        <v>74</v>
      </c>
      <c r="BH32" s="59" t="str">
        <f t="shared" si="30"/>
        <v>B</v>
      </c>
      <c r="BI32" s="60">
        <f t="shared" si="31"/>
        <v>3</v>
      </c>
      <c r="BJ32" s="85">
        <v>2</v>
      </c>
      <c r="BK32" s="59">
        <f t="shared" si="32"/>
        <v>6</v>
      </c>
      <c r="BL32" s="47">
        <f t="shared" si="33"/>
        <v>64</v>
      </c>
      <c r="BM32" s="48">
        <f t="shared" si="45"/>
        <v>20</v>
      </c>
      <c r="BN32" s="47">
        <f t="shared" si="35"/>
        <v>3.2</v>
      </c>
      <c r="BO32" s="14">
        <f t="shared" si="36"/>
        <v>64</v>
      </c>
      <c r="BP32" s="15">
        <f t="shared" si="37"/>
        <v>18</v>
      </c>
      <c r="BQ32" s="14">
        <f t="shared" si="38"/>
        <v>3.5555555555555554</v>
      </c>
      <c r="BR32" s="86">
        <f t="shared" si="39"/>
        <v>128</v>
      </c>
      <c r="BS32" s="87">
        <f t="shared" si="40"/>
        <v>38</v>
      </c>
      <c r="BT32" s="88">
        <f t="shared" si="41"/>
        <v>3.3684210526315788</v>
      </c>
      <c r="BU32" s="95" t="str">
        <f t="shared" si="42"/>
        <v>Sangat Memuaskan</v>
      </c>
      <c r="BV32" s="95" t="str">
        <f t="shared" si="43"/>
        <v>Highly Satisfactory</v>
      </c>
      <c r="BW32" s="95" t="s">
        <v>245</v>
      </c>
    </row>
    <row r="33" spans="1:75" x14ac:dyDescent="0.25">
      <c r="A33" s="16">
        <v>30</v>
      </c>
      <c r="B33" s="16" t="s">
        <v>57</v>
      </c>
      <c r="C33" s="16">
        <v>122314048</v>
      </c>
      <c r="D33" s="16" t="s">
        <v>26</v>
      </c>
      <c r="E33" s="16" t="s">
        <v>148</v>
      </c>
      <c r="F33" s="75" t="s">
        <v>149</v>
      </c>
      <c r="G33" s="75" t="s">
        <v>111</v>
      </c>
      <c r="H33" s="16" t="s">
        <v>232</v>
      </c>
      <c r="I33" s="17">
        <v>80</v>
      </c>
      <c r="J33" s="18" t="str">
        <f t="shared" si="0"/>
        <v>A</v>
      </c>
      <c r="K33" s="19">
        <f t="shared" si="1"/>
        <v>4</v>
      </c>
      <c r="L33" s="20">
        <v>2</v>
      </c>
      <c r="M33" s="21">
        <f t="shared" si="2"/>
        <v>8</v>
      </c>
      <c r="N33" s="22">
        <v>74</v>
      </c>
      <c r="O33" s="23" t="str">
        <f t="shared" si="3"/>
        <v>B</v>
      </c>
      <c r="P33" s="24">
        <f t="shared" si="4"/>
        <v>3</v>
      </c>
      <c r="Q33" s="25">
        <v>6</v>
      </c>
      <c r="R33" s="26">
        <f t="shared" si="5"/>
        <v>18</v>
      </c>
      <c r="S33" s="27">
        <v>75</v>
      </c>
      <c r="T33" s="28" t="str">
        <f t="shared" si="6"/>
        <v>B+</v>
      </c>
      <c r="U33" s="29">
        <f t="shared" si="7"/>
        <v>3.5</v>
      </c>
      <c r="V33" s="30">
        <f>3</f>
        <v>3</v>
      </c>
      <c r="W33" s="31">
        <f t="shared" si="8"/>
        <v>10.5</v>
      </c>
      <c r="X33" s="32">
        <v>75</v>
      </c>
      <c r="Y33" s="33" t="str">
        <f t="shared" si="9"/>
        <v>B+</v>
      </c>
      <c r="Z33" s="34">
        <f t="shared" si="10"/>
        <v>3.5</v>
      </c>
      <c r="AA33" s="35">
        <v>4</v>
      </c>
      <c r="AB33" s="36">
        <f t="shared" si="11"/>
        <v>14</v>
      </c>
      <c r="AC33" s="61">
        <v>75</v>
      </c>
      <c r="AD33" s="38" t="str">
        <f t="shared" si="12"/>
        <v>B+</v>
      </c>
      <c r="AE33" s="39">
        <f t="shared" si="13"/>
        <v>3.5</v>
      </c>
      <c r="AF33" s="40">
        <v>3</v>
      </c>
      <c r="AG33" s="41">
        <f t="shared" si="14"/>
        <v>10.5</v>
      </c>
      <c r="AH33" s="42">
        <v>75</v>
      </c>
      <c r="AI33" s="43" t="str">
        <f t="shared" si="15"/>
        <v>B+</v>
      </c>
      <c r="AJ33" s="44">
        <f t="shared" si="16"/>
        <v>3.5</v>
      </c>
      <c r="AK33" s="45">
        <v>2</v>
      </c>
      <c r="AL33" s="46">
        <f t="shared" si="17"/>
        <v>7</v>
      </c>
      <c r="AM33" s="80">
        <v>84.45</v>
      </c>
      <c r="AN33" s="49" t="str">
        <f t="shared" si="18"/>
        <v>A</v>
      </c>
      <c r="AO33" s="50">
        <f t="shared" si="19"/>
        <v>4</v>
      </c>
      <c r="AP33" s="81">
        <v>4</v>
      </c>
      <c r="AQ33" s="82">
        <f t="shared" si="20"/>
        <v>16</v>
      </c>
      <c r="AR33" s="51">
        <v>78</v>
      </c>
      <c r="AS33" s="52" t="str">
        <f t="shared" si="21"/>
        <v>B+</v>
      </c>
      <c r="AT33" s="53">
        <f t="shared" si="22"/>
        <v>3.5</v>
      </c>
      <c r="AU33" s="83">
        <v>4</v>
      </c>
      <c r="AV33" s="52">
        <f t="shared" si="23"/>
        <v>14</v>
      </c>
      <c r="AW33" s="54">
        <v>78</v>
      </c>
      <c r="AX33" s="55" t="str">
        <f t="shared" si="24"/>
        <v>B+</v>
      </c>
      <c r="AY33" s="56">
        <f t="shared" si="25"/>
        <v>3.5</v>
      </c>
      <c r="AZ33" s="55">
        <v>3</v>
      </c>
      <c r="BA33" s="55">
        <f t="shared" si="26"/>
        <v>10.5</v>
      </c>
      <c r="BB33" s="84">
        <v>80</v>
      </c>
      <c r="BC33" s="57" t="str">
        <f t="shared" si="27"/>
        <v>A</v>
      </c>
      <c r="BD33" s="58">
        <f t="shared" si="28"/>
        <v>4</v>
      </c>
      <c r="BE33" s="57">
        <v>5</v>
      </c>
      <c r="BF33" s="57">
        <f t="shared" si="29"/>
        <v>20</v>
      </c>
      <c r="BG33" s="59">
        <v>74</v>
      </c>
      <c r="BH33" s="59" t="str">
        <f t="shared" si="30"/>
        <v>B</v>
      </c>
      <c r="BI33" s="60">
        <f t="shared" si="31"/>
        <v>3</v>
      </c>
      <c r="BJ33" s="85">
        <v>2</v>
      </c>
      <c r="BK33" s="59">
        <f t="shared" si="32"/>
        <v>6</v>
      </c>
      <c r="BL33" s="47">
        <f t="shared" si="33"/>
        <v>68</v>
      </c>
      <c r="BM33" s="48">
        <f t="shared" si="45"/>
        <v>20</v>
      </c>
      <c r="BN33" s="47">
        <f t="shared" si="35"/>
        <v>3.4</v>
      </c>
      <c r="BO33" s="47">
        <f t="shared" si="36"/>
        <v>66.5</v>
      </c>
      <c r="BP33" s="73">
        <f t="shared" si="37"/>
        <v>18</v>
      </c>
      <c r="BQ33" s="47">
        <f t="shared" si="38"/>
        <v>3.6944444444444446</v>
      </c>
      <c r="BR33" s="89">
        <f t="shared" si="39"/>
        <v>134.5</v>
      </c>
      <c r="BS33" s="84">
        <f t="shared" si="40"/>
        <v>38</v>
      </c>
      <c r="BT33" s="90">
        <f t="shared" si="41"/>
        <v>3.5394736842105261</v>
      </c>
      <c r="BU33" s="95" t="str">
        <f t="shared" si="42"/>
        <v>Cum Laude</v>
      </c>
      <c r="BV33" s="95" t="str">
        <f t="shared" si="43"/>
        <v>Excellent</v>
      </c>
      <c r="BW33" s="95" t="s">
        <v>180</v>
      </c>
    </row>
    <row r="34" spans="1:75" ht="15.75" x14ac:dyDescent="0.25">
      <c r="A34" s="16">
        <v>31</v>
      </c>
      <c r="B34" s="16" t="s">
        <v>58</v>
      </c>
      <c r="C34" s="16">
        <v>122314049</v>
      </c>
      <c r="D34" s="16" t="s">
        <v>26</v>
      </c>
      <c r="E34" s="16" t="s">
        <v>150</v>
      </c>
      <c r="F34" s="75" t="s">
        <v>151</v>
      </c>
      <c r="G34" s="75" t="s">
        <v>112</v>
      </c>
      <c r="H34" s="16" t="s">
        <v>221</v>
      </c>
      <c r="I34" s="17">
        <v>75</v>
      </c>
      <c r="J34" s="18" t="str">
        <f t="shared" si="0"/>
        <v>B+</v>
      </c>
      <c r="K34" s="19">
        <f t="shared" si="1"/>
        <v>3.5</v>
      </c>
      <c r="L34" s="20">
        <v>2</v>
      </c>
      <c r="M34" s="21">
        <f t="shared" si="2"/>
        <v>7</v>
      </c>
      <c r="N34" s="22">
        <v>74</v>
      </c>
      <c r="O34" s="23" t="str">
        <f t="shared" si="3"/>
        <v>B</v>
      </c>
      <c r="P34" s="24">
        <f t="shared" si="4"/>
        <v>3</v>
      </c>
      <c r="Q34" s="25">
        <v>6</v>
      </c>
      <c r="R34" s="26">
        <f t="shared" si="5"/>
        <v>18</v>
      </c>
      <c r="S34" s="27">
        <v>76.099999999999994</v>
      </c>
      <c r="T34" s="28" t="str">
        <f t="shared" si="6"/>
        <v>B+</v>
      </c>
      <c r="U34" s="29">
        <f t="shared" si="7"/>
        <v>3.5</v>
      </c>
      <c r="V34" s="30">
        <f>3</f>
        <v>3</v>
      </c>
      <c r="W34" s="31">
        <f t="shared" si="8"/>
        <v>10.5</v>
      </c>
      <c r="X34" s="32">
        <v>76.099999999999994</v>
      </c>
      <c r="Y34" s="33" t="str">
        <f t="shared" si="9"/>
        <v>B+</v>
      </c>
      <c r="Z34" s="34">
        <f t="shared" si="10"/>
        <v>3.5</v>
      </c>
      <c r="AA34" s="35">
        <v>4</v>
      </c>
      <c r="AB34" s="36">
        <f t="shared" si="11"/>
        <v>14</v>
      </c>
      <c r="AC34" s="61">
        <v>74</v>
      </c>
      <c r="AD34" s="38" t="str">
        <f t="shared" si="12"/>
        <v>B</v>
      </c>
      <c r="AE34" s="39">
        <f t="shared" si="13"/>
        <v>3</v>
      </c>
      <c r="AF34" s="40">
        <v>3</v>
      </c>
      <c r="AG34" s="41">
        <f t="shared" si="14"/>
        <v>9</v>
      </c>
      <c r="AH34" s="42">
        <v>76</v>
      </c>
      <c r="AI34" s="43" t="str">
        <f t="shared" si="15"/>
        <v>B+</v>
      </c>
      <c r="AJ34" s="44">
        <f t="shared" si="16"/>
        <v>3.5</v>
      </c>
      <c r="AK34" s="45">
        <v>2</v>
      </c>
      <c r="AL34" s="46">
        <f t="shared" si="17"/>
        <v>7</v>
      </c>
      <c r="AM34" s="80">
        <v>83.8</v>
      </c>
      <c r="AN34" s="49" t="str">
        <f t="shared" si="18"/>
        <v>A</v>
      </c>
      <c r="AO34" s="50">
        <f t="shared" si="19"/>
        <v>4</v>
      </c>
      <c r="AP34" s="81">
        <v>4</v>
      </c>
      <c r="AQ34" s="82">
        <f t="shared" si="20"/>
        <v>16</v>
      </c>
      <c r="AR34" s="51">
        <v>78</v>
      </c>
      <c r="AS34" s="52" t="str">
        <f t="shared" si="21"/>
        <v>B+</v>
      </c>
      <c r="AT34" s="53">
        <f t="shared" si="22"/>
        <v>3.5</v>
      </c>
      <c r="AU34" s="83">
        <v>4</v>
      </c>
      <c r="AV34" s="52">
        <f t="shared" si="23"/>
        <v>14</v>
      </c>
      <c r="AW34" s="54">
        <v>76</v>
      </c>
      <c r="AX34" s="55" t="str">
        <f t="shared" si="24"/>
        <v>B+</v>
      </c>
      <c r="AY34" s="56">
        <f t="shared" si="25"/>
        <v>3.5</v>
      </c>
      <c r="AZ34" s="55">
        <v>3</v>
      </c>
      <c r="BA34" s="55">
        <f t="shared" si="26"/>
        <v>10.5</v>
      </c>
      <c r="BB34" s="84">
        <v>75</v>
      </c>
      <c r="BC34" s="57" t="str">
        <f t="shared" si="27"/>
        <v>B+</v>
      </c>
      <c r="BD34" s="58">
        <f t="shared" si="28"/>
        <v>3.5</v>
      </c>
      <c r="BE34" s="57">
        <v>5</v>
      </c>
      <c r="BF34" s="57">
        <f t="shared" si="29"/>
        <v>17.5</v>
      </c>
      <c r="BG34" s="59">
        <v>74</v>
      </c>
      <c r="BH34" s="59" t="str">
        <f t="shared" si="30"/>
        <v>B</v>
      </c>
      <c r="BI34" s="60">
        <f t="shared" si="31"/>
        <v>3</v>
      </c>
      <c r="BJ34" s="85">
        <v>2</v>
      </c>
      <c r="BK34" s="59">
        <f t="shared" si="32"/>
        <v>6</v>
      </c>
      <c r="BL34" s="47">
        <f t="shared" si="33"/>
        <v>65.5</v>
      </c>
      <c r="BM34" s="48">
        <f t="shared" si="45"/>
        <v>20</v>
      </c>
      <c r="BN34" s="47">
        <f t="shared" si="35"/>
        <v>3.2749999999999999</v>
      </c>
      <c r="BO34" s="14">
        <f t="shared" si="36"/>
        <v>64</v>
      </c>
      <c r="BP34" s="15">
        <f t="shared" si="37"/>
        <v>18</v>
      </c>
      <c r="BQ34" s="14">
        <f t="shared" si="38"/>
        <v>3.5555555555555554</v>
      </c>
      <c r="BR34" s="86">
        <f t="shared" si="39"/>
        <v>129.5</v>
      </c>
      <c r="BS34" s="87">
        <f t="shared" si="40"/>
        <v>38</v>
      </c>
      <c r="BT34" s="88">
        <f t="shared" si="41"/>
        <v>3.4078947368421053</v>
      </c>
      <c r="BU34" s="95" t="str">
        <f t="shared" si="42"/>
        <v>Sangat Memuaskan</v>
      </c>
      <c r="BV34" s="95" t="str">
        <f t="shared" si="43"/>
        <v>Highly Satisfactory</v>
      </c>
      <c r="BW34" s="95" t="s">
        <v>181</v>
      </c>
    </row>
    <row r="35" spans="1:75" ht="15.75" x14ac:dyDescent="0.25">
      <c r="A35" s="16">
        <v>32</v>
      </c>
      <c r="B35" s="16" t="s">
        <v>59</v>
      </c>
      <c r="C35" s="16">
        <v>122314061</v>
      </c>
      <c r="D35" s="16" t="s">
        <v>26</v>
      </c>
      <c r="E35" s="95" t="s">
        <v>95</v>
      </c>
      <c r="F35" s="75" t="s">
        <v>96</v>
      </c>
      <c r="G35" s="75" t="s">
        <v>111</v>
      </c>
      <c r="H35" s="16" t="s">
        <v>233</v>
      </c>
      <c r="I35" s="17">
        <v>79</v>
      </c>
      <c r="J35" s="18" t="str">
        <f t="shared" si="0"/>
        <v>B+</v>
      </c>
      <c r="K35" s="19">
        <f t="shared" si="1"/>
        <v>3.5</v>
      </c>
      <c r="L35" s="20">
        <v>2</v>
      </c>
      <c r="M35" s="21">
        <f t="shared" si="2"/>
        <v>7</v>
      </c>
      <c r="N35" s="22">
        <v>74</v>
      </c>
      <c r="O35" s="23" t="str">
        <f t="shared" si="3"/>
        <v>B</v>
      </c>
      <c r="P35" s="24">
        <f t="shared" si="4"/>
        <v>3</v>
      </c>
      <c r="Q35" s="25">
        <v>6</v>
      </c>
      <c r="R35" s="26">
        <f t="shared" si="5"/>
        <v>18</v>
      </c>
      <c r="S35" s="27">
        <v>76.349999999999994</v>
      </c>
      <c r="T35" s="28" t="str">
        <f t="shared" si="6"/>
        <v>B+</v>
      </c>
      <c r="U35" s="29">
        <f t="shared" si="7"/>
        <v>3.5</v>
      </c>
      <c r="V35" s="30">
        <f>3</f>
        <v>3</v>
      </c>
      <c r="W35" s="31">
        <f t="shared" si="8"/>
        <v>10.5</v>
      </c>
      <c r="X35" s="32">
        <v>76.349999999999994</v>
      </c>
      <c r="Y35" s="33" t="str">
        <f t="shared" si="9"/>
        <v>B+</v>
      </c>
      <c r="Z35" s="34">
        <f t="shared" si="10"/>
        <v>3.5</v>
      </c>
      <c r="AA35" s="35">
        <v>4</v>
      </c>
      <c r="AB35" s="36">
        <f t="shared" si="11"/>
        <v>14</v>
      </c>
      <c r="AC35" s="37">
        <v>76</v>
      </c>
      <c r="AD35" s="38" t="str">
        <f t="shared" si="12"/>
        <v>B+</v>
      </c>
      <c r="AE35" s="39">
        <f t="shared" si="13"/>
        <v>3.5</v>
      </c>
      <c r="AF35" s="40">
        <v>3</v>
      </c>
      <c r="AG35" s="41">
        <f t="shared" si="14"/>
        <v>10.5</v>
      </c>
      <c r="AH35" s="42">
        <v>80</v>
      </c>
      <c r="AI35" s="43" t="str">
        <f t="shared" si="15"/>
        <v>A</v>
      </c>
      <c r="AJ35" s="44">
        <f t="shared" si="16"/>
        <v>4</v>
      </c>
      <c r="AK35" s="45">
        <v>2</v>
      </c>
      <c r="AL35" s="46">
        <f t="shared" si="17"/>
        <v>8</v>
      </c>
      <c r="AM35" s="80">
        <v>84.45</v>
      </c>
      <c r="AN35" s="49" t="str">
        <f t="shared" si="18"/>
        <v>A</v>
      </c>
      <c r="AO35" s="50">
        <f t="shared" si="19"/>
        <v>4</v>
      </c>
      <c r="AP35" s="81">
        <v>4</v>
      </c>
      <c r="AQ35" s="82">
        <f t="shared" si="20"/>
        <v>16</v>
      </c>
      <c r="AR35" s="51">
        <v>77</v>
      </c>
      <c r="AS35" s="52" t="str">
        <f t="shared" si="21"/>
        <v>B+</v>
      </c>
      <c r="AT35" s="53">
        <f t="shared" si="22"/>
        <v>3.5</v>
      </c>
      <c r="AU35" s="83">
        <v>4</v>
      </c>
      <c r="AV35" s="52">
        <f t="shared" si="23"/>
        <v>14</v>
      </c>
      <c r="AW35" s="54">
        <v>75</v>
      </c>
      <c r="AX35" s="55" t="str">
        <f t="shared" si="24"/>
        <v>B+</v>
      </c>
      <c r="AY35" s="56">
        <f t="shared" si="25"/>
        <v>3.5</v>
      </c>
      <c r="AZ35" s="55">
        <v>3</v>
      </c>
      <c r="BA35" s="55">
        <f t="shared" si="26"/>
        <v>10.5</v>
      </c>
      <c r="BB35" s="84">
        <v>80</v>
      </c>
      <c r="BC35" s="57" t="str">
        <f t="shared" si="27"/>
        <v>A</v>
      </c>
      <c r="BD35" s="58">
        <f t="shared" si="28"/>
        <v>4</v>
      </c>
      <c r="BE35" s="57">
        <v>5</v>
      </c>
      <c r="BF35" s="57">
        <f t="shared" si="29"/>
        <v>20</v>
      </c>
      <c r="BG35" s="59">
        <v>80</v>
      </c>
      <c r="BH35" s="59" t="str">
        <f t="shared" si="30"/>
        <v>A</v>
      </c>
      <c r="BI35" s="60">
        <f t="shared" si="31"/>
        <v>4</v>
      </c>
      <c r="BJ35" s="85">
        <v>2</v>
      </c>
      <c r="BK35" s="59">
        <f t="shared" si="32"/>
        <v>8</v>
      </c>
      <c r="BL35" s="47">
        <f t="shared" si="33"/>
        <v>68</v>
      </c>
      <c r="BM35" s="48">
        <f t="shared" si="45"/>
        <v>20</v>
      </c>
      <c r="BN35" s="47">
        <f t="shared" si="35"/>
        <v>3.4</v>
      </c>
      <c r="BO35" s="14">
        <f t="shared" si="36"/>
        <v>68.5</v>
      </c>
      <c r="BP35" s="15">
        <f t="shared" si="37"/>
        <v>18</v>
      </c>
      <c r="BQ35" s="14">
        <f t="shared" si="38"/>
        <v>3.8055555555555554</v>
      </c>
      <c r="BR35" s="86">
        <f t="shared" si="39"/>
        <v>136.5</v>
      </c>
      <c r="BS35" s="87">
        <f t="shared" si="40"/>
        <v>38</v>
      </c>
      <c r="BT35" s="88">
        <f t="shared" si="41"/>
        <v>3.5921052631578947</v>
      </c>
      <c r="BU35" s="95" t="str">
        <f t="shared" si="42"/>
        <v>Cum Laude</v>
      </c>
      <c r="BV35" s="95" t="str">
        <f t="shared" si="43"/>
        <v>Excellent</v>
      </c>
      <c r="BW35" s="97" t="s">
        <v>182</v>
      </c>
    </row>
    <row r="36" spans="1:75" ht="15.75" x14ac:dyDescent="0.25">
      <c r="A36" s="16">
        <v>33</v>
      </c>
      <c r="B36" s="16" t="s">
        <v>60</v>
      </c>
      <c r="C36" s="16">
        <v>122314062</v>
      </c>
      <c r="D36" s="16" t="s">
        <v>26</v>
      </c>
      <c r="E36" s="95" t="s">
        <v>97</v>
      </c>
      <c r="F36" s="75" t="s">
        <v>98</v>
      </c>
      <c r="G36" s="75" t="s">
        <v>111</v>
      </c>
      <c r="H36" s="16" t="s">
        <v>234</v>
      </c>
      <c r="I36" s="17">
        <v>76</v>
      </c>
      <c r="J36" s="18" t="str">
        <f t="shared" si="0"/>
        <v>B+</v>
      </c>
      <c r="K36" s="19">
        <f t="shared" si="1"/>
        <v>3.5</v>
      </c>
      <c r="L36" s="20">
        <v>2</v>
      </c>
      <c r="M36" s="21">
        <f t="shared" si="2"/>
        <v>7</v>
      </c>
      <c r="N36" s="22">
        <v>75</v>
      </c>
      <c r="O36" s="23" t="str">
        <f t="shared" si="3"/>
        <v>B+</v>
      </c>
      <c r="P36" s="24">
        <f t="shared" si="4"/>
        <v>3.5</v>
      </c>
      <c r="Q36" s="25">
        <v>6</v>
      </c>
      <c r="R36" s="26">
        <f t="shared" si="5"/>
        <v>21</v>
      </c>
      <c r="S36" s="27">
        <v>76.05</v>
      </c>
      <c r="T36" s="28" t="str">
        <f t="shared" si="6"/>
        <v>B+</v>
      </c>
      <c r="U36" s="29">
        <f t="shared" si="7"/>
        <v>3.5</v>
      </c>
      <c r="V36" s="30">
        <f>3</f>
        <v>3</v>
      </c>
      <c r="W36" s="31">
        <f t="shared" si="8"/>
        <v>10.5</v>
      </c>
      <c r="X36" s="32">
        <v>76.05</v>
      </c>
      <c r="Y36" s="33" t="str">
        <f t="shared" si="9"/>
        <v>B+</v>
      </c>
      <c r="Z36" s="34">
        <f t="shared" si="10"/>
        <v>3.5</v>
      </c>
      <c r="AA36" s="35">
        <v>4</v>
      </c>
      <c r="AB36" s="36">
        <f t="shared" si="11"/>
        <v>14</v>
      </c>
      <c r="AC36" s="61">
        <v>80</v>
      </c>
      <c r="AD36" s="38" t="str">
        <f t="shared" si="12"/>
        <v>A</v>
      </c>
      <c r="AE36" s="39">
        <f t="shared" si="13"/>
        <v>4</v>
      </c>
      <c r="AF36" s="40">
        <v>3</v>
      </c>
      <c r="AG36" s="41">
        <f t="shared" si="14"/>
        <v>12</v>
      </c>
      <c r="AH36" s="42">
        <v>78</v>
      </c>
      <c r="AI36" s="43" t="str">
        <f t="shared" si="15"/>
        <v>B+</v>
      </c>
      <c r="AJ36" s="44">
        <f t="shared" si="16"/>
        <v>3.5</v>
      </c>
      <c r="AK36" s="45">
        <v>2</v>
      </c>
      <c r="AL36" s="46">
        <f t="shared" si="17"/>
        <v>7</v>
      </c>
      <c r="AM36" s="80">
        <v>83.8</v>
      </c>
      <c r="AN36" s="49" t="str">
        <f t="shared" si="18"/>
        <v>A</v>
      </c>
      <c r="AO36" s="50">
        <f t="shared" si="19"/>
        <v>4</v>
      </c>
      <c r="AP36" s="81">
        <v>4</v>
      </c>
      <c r="AQ36" s="82">
        <f t="shared" si="20"/>
        <v>16</v>
      </c>
      <c r="AR36" s="51">
        <v>79</v>
      </c>
      <c r="AS36" s="52" t="str">
        <f t="shared" si="21"/>
        <v>B+</v>
      </c>
      <c r="AT36" s="53">
        <f t="shared" si="22"/>
        <v>3.5</v>
      </c>
      <c r="AU36" s="83">
        <v>4</v>
      </c>
      <c r="AV36" s="52">
        <f t="shared" si="23"/>
        <v>14</v>
      </c>
      <c r="AW36" s="54">
        <v>75</v>
      </c>
      <c r="AX36" s="55" t="str">
        <f t="shared" si="24"/>
        <v>B+</v>
      </c>
      <c r="AY36" s="56">
        <f t="shared" si="25"/>
        <v>3.5</v>
      </c>
      <c r="AZ36" s="55">
        <v>3</v>
      </c>
      <c r="BA36" s="55">
        <f t="shared" si="26"/>
        <v>10.5</v>
      </c>
      <c r="BB36" s="84">
        <v>80</v>
      </c>
      <c r="BC36" s="57" t="str">
        <f t="shared" si="27"/>
        <v>A</v>
      </c>
      <c r="BD36" s="58">
        <f t="shared" si="28"/>
        <v>4</v>
      </c>
      <c r="BE36" s="57">
        <v>5</v>
      </c>
      <c r="BF36" s="57">
        <f t="shared" si="29"/>
        <v>20</v>
      </c>
      <c r="BG36" s="59">
        <v>83.3</v>
      </c>
      <c r="BH36" s="59" t="str">
        <f t="shared" si="30"/>
        <v>A</v>
      </c>
      <c r="BI36" s="60">
        <f t="shared" si="31"/>
        <v>4</v>
      </c>
      <c r="BJ36" s="85">
        <v>2</v>
      </c>
      <c r="BK36" s="59">
        <f t="shared" si="32"/>
        <v>8</v>
      </c>
      <c r="BL36" s="47">
        <f t="shared" si="33"/>
        <v>71.5</v>
      </c>
      <c r="BM36" s="48">
        <f t="shared" si="45"/>
        <v>20</v>
      </c>
      <c r="BN36" s="47">
        <f t="shared" si="35"/>
        <v>3.5750000000000002</v>
      </c>
      <c r="BO36" s="14">
        <f t="shared" si="36"/>
        <v>68.5</v>
      </c>
      <c r="BP36" s="15">
        <f t="shared" si="37"/>
        <v>18</v>
      </c>
      <c r="BQ36" s="14">
        <f t="shared" si="38"/>
        <v>3.8055555555555554</v>
      </c>
      <c r="BR36" s="86">
        <f t="shared" si="39"/>
        <v>140</v>
      </c>
      <c r="BS36" s="87">
        <f t="shared" si="40"/>
        <v>38</v>
      </c>
      <c r="BT36" s="88">
        <f t="shared" si="41"/>
        <v>3.6842105263157894</v>
      </c>
      <c r="BU36" s="95" t="str">
        <f t="shared" si="42"/>
        <v>Cum Laude</v>
      </c>
      <c r="BV36" s="95" t="str">
        <f t="shared" si="43"/>
        <v>Excellent</v>
      </c>
      <c r="BW36" s="95" t="s">
        <v>246</v>
      </c>
    </row>
    <row r="37" spans="1:75" ht="15.75" x14ac:dyDescent="0.25">
      <c r="A37" s="16">
        <v>34</v>
      </c>
      <c r="B37" s="16" t="s">
        <v>61</v>
      </c>
      <c r="C37" s="16">
        <v>122314064</v>
      </c>
      <c r="D37" s="16" t="s">
        <v>26</v>
      </c>
      <c r="E37" s="95" t="s">
        <v>99</v>
      </c>
      <c r="F37" s="75" t="s">
        <v>100</v>
      </c>
      <c r="G37" s="75" t="s">
        <v>111</v>
      </c>
      <c r="H37" s="16" t="s">
        <v>235</v>
      </c>
      <c r="I37" s="17">
        <v>80</v>
      </c>
      <c r="J37" s="18" t="str">
        <f t="shared" si="0"/>
        <v>A</v>
      </c>
      <c r="K37" s="19">
        <f t="shared" si="1"/>
        <v>4</v>
      </c>
      <c r="L37" s="20">
        <v>2</v>
      </c>
      <c r="M37" s="21">
        <f t="shared" si="2"/>
        <v>8</v>
      </c>
      <c r="N37" s="22">
        <v>75</v>
      </c>
      <c r="O37" s="23" t="str">
        <f t="shared" si="3"/>
        <v>B+</v>
      </c>
      <c r="P37" s="24">
        <f t="shared" si="4"/>
        <v>3.5</v>
      </c>
      <c r="Q37" s="25">
        <v>6</v>
      </c>
      <c r="R37" s="26">
        <f t="shared" si="5"/>
        <v>21</v>
      </c>
      <c r="S37" s="27">
        <v>75.75</v>
      </c>
      <c r="T37" s="28" t="str">
        <f t="shared" si="6"/>
        <v>B+</v>
      </c>
      <c r="U37" s="29">
        <f t="shared" si="7"/>
        <v>3.5</v>
      </c>
      <c r="V37" s="30">
        <f>3</f>
        <v>3</v>
      </c>
      <c r="W37" s="31">
        <f t="shared" si="8"/>
        <v>10.5</v>
      </c>
      <c r="X37" s="32">
        <v>75.75</v>
      </c>
      <c r="Y37" s="33" t="str">
        <f t="shared" si="9"/>
        <v>B+</v>
      </c>
      <c r="Z37" s="34">
        <f t="shared" si="10"/>
        <v>3.5</v>
      </c>
      <c r="AA37" s="35">
        <v>4</v>
      </c>
      <c r="AB37" s="36">
        <f t="shared" si="11"/>
        <v>14</v>
      </c>
      <c r="AC37" s="61">
        <v>80</v>
      </c>
      <c r="AD37" s="38" t="str">
        <f t="shared" si="12"/>
        <v>A</v>
      </c>
      <c r="AE37" s="39">
        <f t="shared" si="13"/>
        <v>4</v>
      </c>
      <c r="AF37" s="40">
        <v>3</v>
      </c>
      <c r="AG37" s="41">
        <f t="shared" si="14"/>
        <v>12</v>
      </c>
      <c r="AH37" s="42">
        <v>75</v>
      </c>
      <c r="AI37" s="43" t="str">
        <f t="shared" si="15"/>
        <v>B+</v>
      </c>
      <c r="AJ37" s="44">
        <f t="shared" si="16"/>
        <v>3.5</v>
      </c>
      <c r="AK37" s="45">
        <v>2</v>
      </c>
      <c r="AL37" s="46">
        <f t="shared" si="17"/>
        <v>7</v>
      </c>
      <c r="AM37" s="80">
        <v>82.25</v>
      </c>
      <c r="AN37" s="49" t="str">
        <f t="shared" si="18"/>
        <v>A</v>
      </c>
      <c r="AO37" s="50">
        <f t="shared" si="19"/>
        <v>4</v>
      </c>
      <c r="AP37" s="81">
        <v>4</v>
      </c>
      <c r="AQ37" s="82">
        <f t="shared" si="20"/>
        <v>16</v>
      </c>
      <c r="AR37" s="51">
        <v>74</v>
      </c>
      <c r="AS37" s="52" t="str">
        <f t="shared" si="21"/>
        <v>B</v>
      </c>
      <c r="AT37" s="53">
        <f t="shared" si="22"/>
        <v>3</v>
      </c>
      <c r="AU37" s="83">
        <v>4</v>
      </c>
      <c r="AV37" s="52">
        <f t="shared" si="23"/>
        <v>12</v>
      </c>
      <c r="AW37" s="54">
        <v>77</v>
      </c>
      <c r="AX37" s="55" t="str">
        <f t="shared" si="24"/>
        <v>B+</v>
      </c>
      <c r="AY37" s="56">
        <f t="shared" si="25"/>
        <v>3.5</v>
      </c>
      <c r="AZ37" s="55">
        <v>3</v>
      </c>
      <c r="BA37" s="55">
        <f t="shared" si="26"/>
        <v>10.5</v>
      </c>
      <c r="BB37" s="84">
        <v>80</v>
      </c>
      <c r="BC37" s="57" t="str">
        <f t="shared" si="27"/>
        <v>A</v>
      </c>
      <c r="BD37" s="58">
        <f t="shared" si="28"/>
        <v>4</v>
      </c>
      <c r="BE37" s="57">
        <v>5</v>
      </c>
      <c r="BF37" s="57">
        <f t="shared" si="29"/>
        <v>20</v>
      </c>
      <c r="BG37" s="59">
        <v>74</v>
      </c>
      <c r="BH37" s="59" t="str">
        <f t="shared" si="30"/>
        <v>B</v>
      </c>
      <c r="BI37" s="60">
        <f t="shared" si="31"/>
        <v>3</v>
      </c>
      <c r="BJ37" s="85">
        <v>2</v>
      </c>
      <c r="BK37" s="59">
        <f t="shared" si="32"/>
        <v>6</v>
      </c>
      <c r="BL37" s="47">
        <f t="shared" si="33"/>
        <v>72.5</v>
      </c>
      <c r="BM37" s="48">
        <f t="shared" si="45"/>
        <v>20</v>
      </c>
      <c r="BN37" s="47">
        <f t="shared" si="35"/>
        <v>3.625</v>
      </c>
      <c r="BO37" s="14">
        <f t="shared" si="36"/>
        <v>64.5</v>
      </c>
      <c r="BP37" s="15">
        <f t="shared" si="37"/>
        <v>18</v>
      </c>
      <c r="BQ37" s="14">
        <f t="shared" si="38"/>
        <v>3.5833333333333335</v>
      </c>
      <c r="BR37" s="86">
        <f t="shared" si="39"/>
        <v>137</v>
      </c>
      <c r="BS37" s="87">
        <f t="shared" si="40"/>
        <v>38</v>
      </c>
      <c r="BT37" s="88">
        <f t="shared" si="41"/>
        <v>3.6052631578947367</v>
      </c>
      <c r="BU37" s="95" t="str">
        <f t="shared" si="42"/>
        <v>Cum Laude</v>
      </c>
      <c r="BV37" s="95" t="str">
        <f t="shared" si="43"/>
        <v>Excellent</v>
      </c>
      <c r="BW37" s="97" t="s">
        <v>183</v>
      </c>
    </row>
    <row r="38" spans="1:75" ht="15.75" x14ac:dyDescent="0.25">
      <c r="A38" s="16">
        <v>35</v>
      </c>
      <c r="B38" s="16" t="s">
        <v>62</v>
      </c>
      <c r="C38" s="16">
        <v>122314065</v>
      </c>
      <c r="D38" s="16" t="s">
        <v>26</v>
      </c>
      <c r="E38" s="95" t="s">
        <v>101</v>
      </c>
      <c r="F38" s="75" t="s">
        <v>102</v>
      </c>
      <c r="G38" s="75" t="s">
        <v>111</v>
      </c>
      <c r="H38" s="16" t="s">
        <v>236</v>
      </c>
      <c r="I38" s="17">
        <v>80</v>
      </c>
      <c r="J38" s="18" t="str">
        <f t="shared" ref="J38:J47" si="46">IF(I38&gt;=80,"A",IF(I38&gt;=75,"B+",IF(I38&gt;=70,"B",IF(I38&gt;=65,"C+",IF(I38&gt;=60,"C",IF(I38&gt;=55,"D",IF(I38&lt;55,"E")))))))</f>
        <v>A</v>
      </c>
      <c r="K38" s="19">
        <f t="shared" ref="K38:K47" si="47">IF(J38="A",4,IF(J38="B+",3.5,IF(J38="B",3,IF(J38="C+",2.5,IF(J38="C",2,IF(J38="D",1,0))))))</f>
        <v>4</v>
      </c>
      <c r="L38" s="20">
        <v>2</v>
      </c>
      <c r="M38" s="21">
        <f t="shared" ref="M38:M47" si="48">K38*L38</f>
        <v>8</v>
      </c>
      <c r="N38" s="22">
        <v>74</v>
      </c>
      <c r="O38" s="23" t="str">
        <f t="shared" ref="O38:O47" si="49">IF(N38&gt;=80,"A",IF(N38&gt;=75,"B+",IF(N38&gt;=70,"B",IF(N38&gt;=65,"C+",IF(N38&gt;=60,"C",IF(N38&gt;=55,"D",IF(N38&lt;55,"E")))))))</f>
        <v>B</v>
      </c>
      <c r="P38" s="24">
        <f t="shared" ref="P38:P47" si="50">IF(O38="A",4,IF(O38="B+",3.5,IF(O38="B",3,IF(O38="C+",2.5,IF(O38="C",2,IF(O38="D",1,0))))))</f>
        <v>3</v>
      </c>
      <c r="Q38" s="25">
        <v>6</v>
      </c>
      <c r="R38" s="26">
        <f t="shared" si="5"/>
        <v>18</v>
      </c>
      <c r="S38" s="27">
        <v>79.3</v>
      </c>
      <c r="T38" s="28" t="str">
        <f t="shared" ref="T38:T47" si="51">IF(S38&gt;=80,"A",IF(S38&gt;=75,"B+",IF(S38&gt;=70,"B",IF(S38&gt;=65,"C+",IF(S38&gt;=60,"C",IF(S38&gt;=55,"D",IF(S38&lt;55,"E")))))))</f>
        <v>B+</v>
      </c>
      <c r="U38" s="29">
        <f t="shared" si="7"/>
        <v>3.5</v>
      </c>
      <c r="V38" s="30">
        <f>3</f>
        <v>3</v>
      </c>
      <c r="W38" s="31">
        <f t="shared" si="8"/>
        <v>10.5</v>
      </c>
      <c r="X38" s="32">
        <v>79.3</v>
      </c>
      <c r="Y38" s="33" t="str">
        <f t="shared" ref="Y38:Y47" si="52">IF(X38&gt;=80,"A",IF(X38&gt;=75,"B+",IF(X38&gt;=70,"B",IF(X38&gt;=65,"C+",IF(X38&gt;=60,"C",IF(X38&gt;=55,"D",IF(X38&lt;55,"E")))))))</f>
        <v>B+</v>
      </c>
      <c r="Z38" s="34">
        <f t="shared" ref="Z38:Z47" si="53">IF(Y38="A",4,IF(Y38="B+",3.5,IF(Y38="B",3,IF(Y38="C+",2.5,IF(Y38="C",2,IF(Y38="D",1,0))))))</f>
        <v>3.5</v>
      </c>
      <c r="AA38" s="35">
        <v>4</v>
      </c>
      <c r="AB38" s="36">
        <f t="shared" ref="AB38:AB47" si="54">Z38*AA38</f>
        <v>14</v>
      </c>
      <c r="AC38" s="37">
        <v>75</v>
      </c>
      <c r="AD38" s="38" t="str">
        <f t="shared" ref="AD38:AD47" si="55">IF(AC38&gt;=80,"A",IF(AC38&gt;=75,"B+",IF(AC38&gt;=70,"B",IF(AC38&gt;=65,"C+",IF(AC38&gt;=60,"C",IF(AC38&gt;=55,"D",IF(AC38&lt;55,"E")))))))</f>
        <v>B+</v>
      </c>
      <c r="AE38" s="39">
        <f t="shared" ref="AE38:AE47" si="56">IF(AD38="A",4,IF(AD38="B+",3.5,IF(AD38="B",3,IF(AD38="C+",2.5,IF(AD38="C",2,IF(AD38="D",1,0))))))</f>
        <v>3.5</v>
      </c>
      <c r="AF38" s="40">
        <v>3</v>
      </c>
      <c r="AG38" s="41">
        <f t="shared" ref="AG38:AG47" si="57">AE38*AF38</f>
        <v>10.5</v>
      </c>
      <c r="AH38" s="42">
        <v>76</v>
      </c>
      <c r="AI38" s="43" t="str">
        <f t="shared" ref="AI38:AI47" si="58">IF(AH38&gt;=80,"A",IF(AH38&gt;=75,"B+",IF(AH38&gt;=70,"B",IF(AH38&gt;=65,"C+",IF(AH38&gt;=60,"C",IF(AH38&gt;=55,"D",IF(AH38&lt;55,"E")))))))</f>
        <v>B+</v>
      </c>
      <c r="AJ38" s="44">
        <f t="shared" ref="AJ38:AJ47" si="59">IF(AI38="A",4,IF(AI38="B+",3.5,IF(AI38="B",3,IF(AI38="C+",2.5,IF(AI38="C",2,IF(AI38="D",1,0))))))</f>
        <v>3.5</v>
      </c>
      <c r="AK38" s="45">
        <v>2</v>
      </c>
      <c r="AL38" s="46">
        <f t="shared" si="17"/>
        <v>7</v>
      </c>
      <c r="AM38" s="80">
        <v>82.6</v>
      </c>
      <c r="AN38" s="49" t="str">
        <f t="shared" si="18"/>
        <v>A</v>
      </c>
      <c r="AO38" s="50">
        <f t="shared" si="19"/>
        <v>4</v>
      </c>
      <c r="AP38" s="81">
        <v>4</v>
      </c>
      <c r="AQ38" s="82">
        <f t="shared" si="20"/>
        <v>16</v>
      </c>
      <c r="AR38" s="51">
        <v>74</v>
      </c>
      <c r="AS38" s="52" t="str">
        <f t="shared" si="21"/>
        <v>B</v>
      </c>
      <c r="AT38" s="53">
        <f t="shared" si="22"/>
        <v>3</v>
      </c>
      <c r="AU38" s="83">
        <v>4</v>
      </c>
      <c r="AV38" s="52">
        <f t="shared" si="23"/>
        <v>12</v>
      </c>
      <c r="AW38" s="54">
        <v>75</v>
      </c>
      <c r="AX38" s="55" t="str">
        <f t="shared" si="24"/>
        <v>B+</v>
      </c>
      <c r="AY38" s="56">
        <f t="shared" si="25"/>
        <v>3.5</v>
      </c>
      <c r="AZ38" s="55">
        <v>3</v>
      </c>
      <c r="BA38" s="55">
        <f t="shared" si="26"/>
        <v>10.5</v>
      </c>
      <c r="BB38" s="84">
        <v>80</v>
      </c>
      <c r="BC38" s="57" t="str">
        <f t="shared" si="27"/>
        <v>A</v>
      </c>
      <c r="BD38" s="58">
        <f t="shared" si="28"/>
        <v>4</v>
      </c>
      <c r="BE38" s="57">
        <v>5</v>
      </c>
      <c r="BF38" s="57">
        <f t="shared" si="29"/>
        <v>20</v>
      </c>
      <c r="BG38" s="59">
        <v>80</v>
      </c>
      <c r="BH38" s="59" t="str">
        <f t="shared" si="30"/>
        <v>A</v>
      </c>
      <c r="BI38" s="60">
        <f t="shared" si="31"/>
        <v>4</v>
      </c>
      <c r="BJ38" s="85">
        <v>2</v>
      </c>
      <c r="BK38" s="59">
        <f t="shared" si="32"/>
        <v>8</v>
      </c>
      <c r="BL38" s="47">
        <f t="shared" si="33"/>
        <v>68</v>
      </c>
      <c r="BM38" s="48">
        <f t="shared" si="45"/>
        <v>20</v>
      </c>
      <c r="BN38" s="47">
        <f t="shared" si="35"/>
        <v>3.4</v>
      </c>
      <c r="BO38" s="14">
        <f t="shared" si="36"/>
        <v>66.5</v>
      </c>
      <c r="BP38" s="15">
        <f t="shared" si="37"/>
        <v>18</v>
      </c>
      <c r="BQ38" s="14">
        <f t="shared" si="38"/>
        <v>3.6944444444444446</v>
      </c>
      <c r="BR38" s="86">
        <f t="shared" si="39"/>
        <v>134.5</v>
      </c>
      <c r="BS38" s="87">
        <f t="shared" si="40"/>
        <v>38</v>
      </c>
      <c r="BT38" s="88">
        <f t="shared" si="41"/>
        <v>3.5394736842105261</v>
      </c>
      <c r="BU38" s="95" t="str">
        <f t="shared" si="42"/>
        <v>Cum Laude</v>
      </c>
      <c r="BV38" s="95" t="str">
        <f t="shared" si="43"/>
        <v>Excellent</v>
      </c>
      <c r="BW38" s="95" t="s">
        <v>184</v>
      </c>
    </row>
    <row r="39" spans="1:75" ht="15.75" x14ac:dyDescent="0.25">
      <c r="A39" s="16">
        <v>36</v>
      </c>
      <c r="B39" s="16" t="s">
        <v>63</v>
      </c>
      <c r="C39" s="16">
        <v>122314066</v>
      </c>
      <c r="D39" s="16" t="s">
        <v>26</v>
      </c>
      <c r="E39" s="16" t="s">
        <v>152</v>
      </c>
      <c r="F39" s="75" t="s">
        <v>153</v>
      </c>
      <c r="G39" s="75" t="s">
        <v>111</v>
      </c>
      <c r="H39" s="16" t="s">
        <v>237</v>
      </c>
      <c r="I39" s="17">
        <v>80</v>
      </c>
      <c r="J39" s="18" t="str">
        <f t="shared" si="46"/>
        <v>A</v>
      </c>
      <c r="K39" s="19">
        <f t="shared" si="47"/>
        <v>4</v>
      </c>
      <c r="L39" s="20">
        <v>2</v>
      </c>
      <c r="M39" s="21">
        <f t="shared" si="48"/>
        <v>8</v>
      </c>
      <c r="N39" s="22">
        <v>74</v>
      </c>
      <c r="O39" s="23" t="str">
        <f t="shared" si="49"/>
        <v>B</v>
      </c>
      <c r="P39" s="24">
        <f t="shared" si="50"/>
        <v>3</v>
      </c>
      <c r="Q39" s="25">
        <v>6</v>
      </c>
      <c r="R39" s="26">
        <f t="shared" ref="R39:R47" si="60">P39*Q39</f>
        <v>18</v>
      </c>
      <c r="S39" s="27">
        <v>75</v>
      </c>
      <c r="T39" s="28" t="str">
        <f t="shared" si="51"/>
        <v>B+</v>
      </c>
      <c r="U39" s="29">
        <f t="shared" ref="U39:U47" si="61">IF(T39="A",4,IF(T39="B+",3.5,IF(T39="B",3,IF(T39="C+",2.5,IF(T39="C",2,IF(T39="D",1,0))))))</f>
        <v>3.5</v>
      </c>
      <c r="V39" s="30">
        <f>3</f>
        <v>3</v>
      </c>
      <c r="W39" s="31">
        <f t="shared" ref="W39:W47" si="62">U39*V39</f>
        <v>10.5</v>
      </c>
      <c r="X39" s="32">
        <v>74.349999999999994</v>
      </c>
      <c r="Y39" s="33" t="str">
        <f t="shared" si="52"/>
        <v>B</v>
      </c>
      <c r="Z39" s="34">
        <f t="shared" si="53"/>
        <v>3</v>
      </c>
      <c r="AA39" s="35">
        <v>4</v>
      </c>
      <c r="AB39" s="36">
        <f t="shared" si="54"/>
        <v>12</v>
      </c>
      <c r="AC39" s="37">
        <v>75</v>
      </c>
      <c r="AD39" s="38" t="str">
        <f t="shared" si="55"/>
        <v>B+</v>
      </c>
      <c r="AE39" s="39">
        <f t="shared" si="56"/>
        <v>3.5</v>
      </c>
      <c r="AF39" s="40">
        <v>3</v>
      </c>
      <c r="AG39" s="41">
        <f t="shared" si="57"/>
        <v>10.5</v>
      </c>
      <c r="AH39" s="42">
        <v>75</v>
      </c>
      <c r="AI39" s="43" t="str">
        <f t="shared" si="58"/>
        <v>B+</v>
      </c>
      <c r="AJ39" s="44">
        <f t="shared" si="59"/>
        <v>3.5</v>
      </c>
      <c r="AK39" s="45">
        <v>2</v>
      </c>
      <c r="AL39" s="46">
        <f t="shared" ref="AL39:AL47" si="63">AJ39*AK39</f>
        <v>7</v>
      </c>
      <c r="AM39" s="80">
        <v>81.349999999999994</v>
      </c>
      <c r="AN39" s="49" t="str">
        <f t="shared" ref="AN39:AN47" si="64">IF(AM39&gt;=80,"A",IF(AM39&gt;=75,"B+",IF(AM39&gt;=70,"B",IF(AM39&gt;=65,"C+",IF(AM39&gt;=60,"C",IF(AM39&gt;=55,"D",IF(AM39&lt;55,"E")))))))</f>
        <v>A</v>
      </c>
      <c r="AO39" s="50">
        <f t="shared" ref="AO39:AO47" si="65">IF(AN39="A",4,IF(AN39="B+",3.5,IF(AN39="B",3,IF(AN39="C+",2.5,IF(AN39="C",2,IF(AN39="D",1,0))))))</f>
        <v>4</v>
      </c>
      <c r="AP39" s="81">
        <v>4</v>
      </c>
      <c r="AQ39" s="82">
        <f t="shared" ref="AQ39:AQ47" si="66">AO39*AP39</f>
        <v>16</v>
      </c>
      <c r="AR39" s="51">
        <v>73</v>
      </c>
      <c r="AS39" s="52" t="str">
        <f t="shared" ref="AS39:AS47" si="67">IF(AR39&gt;=80,"A",IF(AR39&gt;=75,"B+",IF(AR39&gt;=70,"B",IF(AR39&gt;=65,"C+",IF(AR39&gt;=60,"C",IF(AR39&gt;=55,"D",IF(AR39&lt;55,"E")))))))</f>
        <v>B</v>
      </c>
      <c r="AT39" s="53">
        <f t="shared" ref="AT39:AT47" si="68">IF(AS39="A",4,IF(AS39="B+",3.5,IF(AS39="B",3,IF(AS39="C+",2.5,IF(AS39="C",2,IF(AS39="D",1,0))))))</f>
        <v>3</v>
      </c>
      <c r="AU39" s="83">
        <v>4</v>
      </c>
      <c r="AV39" s="52">
        <f t="shared" ref="AV39:AV47" si="69">AT39*AU39</f>
        <v>12</v>
      </c>
      <c r="AW39" s="54">
        <v>75</v>
      </c>
      <c r="AX39" s="55" t="str">
        <f t="shared" ref="AX39:AX47" si="70">IF(AW39&gt;=80,"A",IF(AW39&gt;=75,"B+",IF(AW39&gt;=70,"B",IF(AW39&gt;=65,"C+",IF(AW39&gt;=60,"C",IF(AW39&gt;=55,"D",IF(AW39&lt;55,"E")))))))</f>
        <v>B+</v>
      </c>
      <c r="AY39" s="56">
        <f t="shared" ref="AY39:AY47" si="71">IF(AX39="A",4,IF(AX39="B+",3.5,IF(AX39="B",3,IF(AX39="C+",2.5,IF(AX39="C",2,IF(AX39="D",1,0))))))</f>
        <v>3.5</v>
      </c>
      <c r="AZ39" s="55">
        <v>3</v>
      </c>
      <c r="BA39" s="55">
        <f t="shared" ref="BA39:BA47" si="72">AY39*AZ39</f>
        <v>10.5</v>
      </c>
      <c r="BB39" s="84">
        <v>80</v>
      </c>
      <c r="BC39" s="57" t="str">
        <f t="shared" ref="BC39:BC47" si="73">IF(BB39&gt;=80,"A",IF(BB39&gt;=75,"B+",IF(BB39&gt;=70,"B",IF(BB39&gt;=65,"C+",IF(BB39&gt;=60,"C",IF(BB39&gt;=55,"D",IF(BB39&lt;55,"E")))))))</f>
        <v>A</v>
      </c>
      <c r="BD39" s="58">
        <f t="shared" ref="BD39:BD47" si="74">IF(BC39="A",4,IF(BC39="B+",3.5,IF(BC39="B",3,IF(BC39="C+",2.5,IF(BC39="C",2,IF(BC39="D",1,0))))))</f>
        <v>4</v>
      </c>
      <c r="BE39" s="57">
        <v>5</v>
      </c>
      <c r="BF39" s="57">
        <f t="shared" ref="BF39:BF47" si="75">BD39*BE39</f>
        <v>20</v>
      </c>
      <c r="BG39" s="59">
        <v>74</v>
      </c>
      <c r="BH39" s="59" t="str">
        <f t="shared" si="30"/>
        <v>B</v>
      </c>
      <c r="BI39" s="60">
        <f t="shared" ref="BI39:BI47" si="76">IF(BH39="A",4,IF(BH39="B+",3.5,IF(BH39="B",3,IF(BH39="C+",2.5,IF(BH39="C",2,IF(BH39="D",1,0))))))</f>
        <v>3</v>
      </c>
      <c r="BJ39" s="85">
        <v>2</v>
      </c>
      <c r="BK39" s="59">
        <f t="shared" ref="BK39:BK47" si="77">BI39*BJ39</f>
        <v>6</v>
      </c>
      <c r="BL39" s="47">
        <f t="shared" si="33"/>
        <v>66</v>
      </c>
      <c r="BM39" s="48">
        <f t="shared" si="45"/>
        <v>20</v>
      </c>
      <c r="BN39" s="47">
        <f t="shared" ref="BN39:BN47" si="78">(BL39/BM39)</f>
        <v>3.3</v>
      </c>
      <c r="BO39" s="14">
        <f t="shared" si="36"/>
        <v>64.5</v>
      </c>
      <c r="BP39" s="15">
        <f t="shared" si="37"/>
        <v>18</v>
      </c>
      <c r="BQ39" s="14">
        <f t="shared" ref="BQ39:BQ47" si="79">(BO39/BP39)</f>
        <v>3.5833333333333335</v>
      </c>
      <c r="BR39" s="86">
        <f t="shared" si="39"/>
        <v>130.5</v>
      </c>
      <c r="BS39" s="87">
        <f t="shared" si="40"/>
        <v>38</v>
      </c>
      <c r="BT39" s="88">
        <f t="shared" ref="BT39:BT47" si="80">BR39/BS39</f>
        <v>3.4342105263157894</v>
      </c>
      <c r="BU39" s="95" t="str">
        <f t="shared" si="42"/>
        <v>Sangat Memuaskan</v>
      </c>
      <c r="BV39" s="95" t="str">
        <f t="shared" si="43"/>
        <v>Highly Satisfactory</v>
      </c>
      <c r="BW39" s="95" t="s">
        <v>185</v>
      </c>
    </row>
    <row r="40" spans="1:75" ht="15.75" x14ac:dyDescent="0.25">
      <c r="A40" s="16">
        <v>37</v>
      </c>
      <c r="B40" s="16" t="s">
        <v>64</v>
      </c>
      <c r="C40" s="16">
        <v>122314068</v>
      </c>
      <c r="D40" s="16" t="s">
        <v>26</v>
      </c>
      <c r="E40" s="94" t="s">
        <v>134</v>
      </c>
      <c r="F40" s="75" t="s">
        <v>135</v>
      </c>
      <c r="G40" s="75" t="s">
        <v>112</v>
      </c>
      <c r="H40" s="16" t="s">
        <v>222</v>
      </c>
      <c r="I40" s="63">
        <v>75</v>
      </c>
      <c r="J40" s="64" t="str">
        <f t="shared" si="46"/>
        <v>B+</v>
      </c>
      <c r="K40" s="65">
        <f t="shared" si="47"/>
        <v>3.5</v>
      </c>
      <c r="L40" s="66">
        <v>2</v>
      </c>
      <c r="M40" s="67">
        <f t="shared" si="48"/>
        <v>7</v>
      </c>
      <c r="N40" s="63">
        <v>72</v>
      </c>
      <c r="O40" s="64" t="str">
        <f t="shared" si="49"/>
        <v>B</v>
      </c>
      <c r="P40" s="65">
        <f t="shared" si="50"/>
        <v>3</v>
      </c>
      <c r="Q40" s="66">
        <v>6</v>
      </c>
      <c r="R40" s="67">
        <f t="shared" si="60"/>
        <v>18</v>
      </c>
      <c r="S40" s="68">
        <v>72.05</v>
      </c>
      <c r="T40" s="64" t="str">
        <f t="shared" si="51"/>
        <v>B</v>
      </c>
      <c r="U40" s="65">
        <f t="shared" si="61"/>
        <v>3</v>
      </c>
      <c r="V40" s="66">
        <f>3</f>
        <v>3</v>
      </c>
      <c r="W40" s="67">
        <f t="shared" si="62"/>
        <v>9</v>
      </c>
      <c r="X40" s="68">
        <v>72.05</v>
      </c>
      <c r="Y40" s="64" t="str">
        <f t="shared" si="52"/>
        <v>B</v>
      </c>
      <c r="Z40" s="65">
        <f t="shared" si="53"/>
        <v>3</v>
      </c>
      <c r="AA40" s="66">
        <v>4</v>
      </c>
      <c r="AB40" s="67">
        <f t="shared" si="54"/>
        <v>12</v>
      </c>
      <c r="AC40" s="69">
        <v>75</v>
      </c>
      <c r="AD40" s="64" t="str">
        <f t="shared" si="55"/>
        <v>B+</v>
      </c>
      <c r="AE40" s="65">
        <f t="shared" si="56"/>
        <v>3.5</v>
      </c>
      <c r="AF40" s="66">
        <v>3</v>
      </c>
      <c r="AG40" s="67">
        <f t="shared" si="57"/>
        <v>10.5</v>
      </c>
      <c r="AH40" s="69">
        <v>75</v>
      </c>
      <c r="AI40" s="64" t="str">
        <f t="shared" si="58"/>
        <v>B+</v>
      </c>
      <c r="AJ40" s="65">
        <f t="shared" si="59"/>
        <v>3.5</v>
      </c>
      <c r="AK40" s="66">
        <v>2</v>
      </c>
      <c r="AL40" s="67">
        <f t="shared" si="63"/>
        <v>7</v>
      </c>
      <c r="AM40" s="91">
        <v>74</v>
      </c>
      <c r="AN40" s="70" t="str">
        <f t="shared" si="64"/>
        <v>B</v>
      </c>
      <c r="AO40" s="65">
        <f t="shared" si="65"/>
        <v>3</v>
      </c>
      <c r="AP40" s="66">
        <v>4</v>
      </c>
      <c r="AQ40" s="67">
        <f t="shared" si="66"/>
        <v>12</v>
      </c>
      <c r="AR40" s="63">
        <v>70</v>
      </c>
      <c r="AS40" s="64" t="str">
        <f t="shared" si="67"/>
        <v>B</v>
      </c>
      <c r="AT40" s="65">
        <f t="shared" si="68"/>
        <v>3</v>
      </c>
      <c r="AU40" s="67">
        <v>4</v>
      </c>
      <c r="AV40" s="64">
        <f t="shared" si="69"/>
        <v>12</v>
      </c>
      <c r="AW40" s="69">
        <v>74</v>
      </c>
      <c r="AX40" s="64" t="s">
        <v>65</v>
      </c>
      <c r="AY40" s="65">
        <f t="shared" si="71"/>
        <v>3</v>
      </c>
      <c r="AZ40" s="64">
        <v>3</v>
      </c>
      <c r="BA40" s="64">
        <f t="shared" si="72"/>
        <v>9</v>
      </c>
      <c r="BB40" s="91">
        <v>74</v>
      </c>
      <c r="BC40" s="70" t="str">
        <f t="shared" si="73"/>
        <v>B</v>
      </c>
      <c r="BD40" s="65">
        <f t="shared" si="74"/>
        <v>3</v>
      </c>
      <c r="BE40" s="64">
        <v>5</v>
      </c>
      <c r="BF40" s="64">
        <f t="shared" si="75"/>
        <v>15</v>
      </c>
      <c r="BG40" s="91">
        <v>74</v>
      </c>
      <c r="BH40" s="70" t="str">
        <f t="shared" ref="BH40:BH47" si="81">IF(BG40&gt;=80,"A",IF(BG40&gt;=75,"B+",IF(BG40&gt;=70,"B",IF(BG40&gt;=65,"C+",IF(BG40&gt;=60,"C",IF(BG40&gt;=55,"D",IF(BG40&lt;55,"E")))))))</f>
        <v>B</v>
      </c>
      <c r="BI40" s="65">
        <f t="shared" si="76"/>
        <v>3</v>
      </c>
      <c r="BJ40" s="67">
        <v>2</v>
      </c>
      <c r="BK40" s="64">
        <f t="shared" si="77"/>
        <v>6</v>
      </c>
      <c r="BL40" s="68">
        <f t="shared" si="33"/>
        <v>63.5</v>
      </c>
      <c r="BM40" s="64">
        <f t="shared" si="45"/>
        <v>20</v>
      </c>
      <c r="BN40" s="68">
        <f t="shared" si="78"/>
        <v>3.1749999999999998</v>
      </c>
      <c r="BO40" s="71">
        <f t="shared" si="36"/>
        <v>54</v>
      </c>
      <c r="BP40" s="72">
        <f t="shared" si="37"/>
        <v>18</v>
      </c>
      <c r="BQ40" s="71">
        <f t="shared" si="79"/>
        <v>3</v>
      </c>
      <c r="BR40" s="92">
        <f t="shared" si="39"/>
        <v>117.5</v>
      </c>
      <c r="BS40" s="71">
        <f t="shared" si="40"/>
        <v>38</v>
      </c>
      <c r="BT40" s="71">
        <f t="shared" si="80"/>
        <v>3.0921052631578947</v>
      </c>
      <c r="BU40" s="95" t="str">
        <f t="shared" si="42"/>
        <v>Sangat Memuaskan</v>
      </c>
      <c r="BV40" s="95" t="str">
        <f t="shared" si="43"/>
        <v>Highly Satisfactory</v>
      </c>
      <c r="BW40" s="95" t="s">
        <v>194</v>
      </c>
    </row>
    <row r="41" spans="1:75" ht="15.75" x14ac:dyDescent="0.25">
      <c r="A41" s="16">
        <v>38</v>
      </c>
      <c r="B41" s="16" t="s">
        <v>66</v>
      </c>
      <c r="C41" s="16">
        <v>122314069</v>
      </c>
      <c r="D41" s="16" t="s">
        <v>26</v>
      </c>
      <c r="E41" s="16" t="s">
        <v>95</v>
      </c>
      <c r="F41" s="75" t="s">
        <v>154</v>
      </c>
      <c r="G41" s="75" t="s">
        <v>111</v>
      </c>
      <c r="H41" s="16" t="s">
        <v>238</v>
      </c>
      <c r="I41" s="17">
        <v>80</v>
      </c>
      <c r="J41" s="18" t="str">
        <f t="shared" si="46"/>
        <v>A</v>
      </c>
      <c r="K41" s="19">
        <f t="shared" si="47"/>
        <v>4</v>
      </c>
      <c r="L41" s="20">
        <v>2</v>
      </c>
      <c r="M41" s="21">
        <f t="shared" si="48"/>
        <v>8</v>
      </c>
      <c r="N41" s="22">
        <v>75</v>
      </c>
      <c r="O41" s="23" t="str">
        <f t="shared" si="49"/>
        <v>B+</v>
      </c>
      <c r="P41" s="24">
        <f t="shared" si="50"/>
        <v>3.5</v>
      </c>
      <c r="Q41" s="25">
        <v>6</v>
      </c>
      <c r="R41" s="26">
        <f t="shared" si="60"/>
        <v>21</v>
      </c>
      <c r="S41" s="27">
        <v>75.849999999999994</v>
      </c>
      <c r="T41" s="28" t="str">
        <f t="shared" si="51"/>
        <v>B+</v>
      </c>
      <c r="U41" s="29">
        <f t="shared" si="61"/>
        <v>3.5</v>
      </c>
      <c r="V41" s="30">
        <f>3</f>
        <v>3</v>
      </c>
      <c r="W41" s="31">
        <f t="shared" si="62"/>
        <v>10.5</v>
      </c>
      <c r="X41" s="32">
        <v>75.849999999999994</v>
      </c>
      <c r="Y41" s="33" t="str">
        <f t="shared" si="52"/>
        <v>B+</v>
      </c>
      <c r="Z41" s="34">
        <f t="shared" si="53"/>
        <v>3.5</v>
      </c>
      <c r="AA41" s="35">
        <v>4</v>
      </c>
      <c r="AB41" s="36">
        <f t="shared" si="54"/>
        <v>14</v>
      </c>
      <c r="AC41" s="37">
        <v>75</v>
      </c>
      <c r="AD41" s="38" t="str">
        <f t="shared" si="55"/>
        <v>B+</v>
      </c>
      <c r="AE41" s="39">
        <f t="shared" si="56"/>
        <v>3.5</v>
      </c>
      <c r="AF41" s="40">
        <v>3</v>
      </c>
      <c r="AG41" s="41">
        <f t="shared" si="57"/>
        <v>10.5</v>
      </c>
      <c r="AH41" s="42">
        <v>76</v>
      </c>
      <c r="AI41" s="43" t="str">
        <f t="shared" si="58"/>
        <v>B+</v>
      </c>
      <c r="AJ41" s="44">
        <f t="shared" si="59"/>
        <v>3.5</v>
      </c>
      <c r="AK41" s="45">
        <v>2</v>
      </c>
      <c r="AL41" s="46">
        <f t="shared" si="63"/>
        <v>7</v>
      </c>
      <c r="AM41" s="80">
        <v>84.45</v>
      </c>
      <c r="AN41" s="49" t="str">
        <f t="shared" si="64"/>
        <v>A</v>
      </c>
      <c r="AO41" s="50">
        <f t="shared" si="65"/>
        <v>4</v>
      </c>
      <c r="AP41" s="81">
        <v>4</v>
      </c>
      <c r="AQ41" s="82">
        <f t="shared" si="66"/>
        <v>16</v>
      </c>
      <c r="AR41" s="51">
        <v>78</v>
      </c>
      <c r="AS41" s="52" t="str">
        <f t="shared" si="67"/>
        <v>B+</v>
      </c>
      <c r="AT41" s="53">
        <f t="shared" si="68"/>
        <v>3.5</v>
      </c>
      <c r="AU41" s="83">
        <v>4</v>
      </c>
      <c r="AV41" s="52">
        <f t="shared" si="69"/>
        <v>14</v>
      </c>
      <c r="AW41" s="54">
        <v>75</v>
      </c>
      <c r="AX41" s="55" t="str">
        <f t="shared" si="70"/>
        <v>B+</v>
      </c>
      <c r="AY41" s="56">
        <f t="shared" si="71"/>
        <v>3.5</v>
      </c>
      <c r="AZ41" s="55">
        <v>3</v>
      </c>
      <c r="BA41" s="55">
        <f t="shared" si="72"/>
        <v>10.5</v>
      </c>
      <c r="BB41" s="84">
        <v>80</v>
      </c>
      <c r="BC41" s="57" t="str">
        <f t="shared" si="73"/>
        <v>A</v>
      </c>
      <c r="BD41" s="58">
        <f t="shared" si="74"/>
        <v>4</v>
      </c>
      <c r="BE41" s="57">
        <v>5</v>
      </c>
      <c r="BF41" s="57">
        <f t="shared" si="75"/>
        <v>20</v>
      </c>
      <c r="BG41" s="59">
        <v>74</v>
      </c>
      <c r="BH41" s="59" t="str">
        <f t="shared" si="81"/>
        <v>B</v>
      </c>
      <c r="BI41" s="60">
        <f t="shared" si="76"/>
        <v>3</v>
      </c>
      <c r="BJ41" s="85">
        <v>2</v>
      </c>
      <c r="BK41" s="59">
        <f t="shared" si="77"/>
        <v>6</v>
      </c>
      <c r="BL41" s="47">
        <f t="shared" si="33"/>
        <v>71</v>
      </c>
      <c r="BM41" s="48">
        <f t="shared" si="45"/>
        <v>20</v>
      </c>
      <c r="BN41" s="47">
        <f t="shared" si="78"/>
        <v>3.55</v>
      </c>
      <c r="BO41" s="14">
        <f t="shared" si="36"/>
        <v>66.5</v>
      </c>
      <c r="BP41" s="15">
        <f t="shared" si="37"/>
        <v>18</v>
      </c>
      <c r="BQ41" s="14">
        <f t="shared" si="79"/>
        <v>3.6944444444444446</v>
      </c>
      <c r="BR41" s="86">
        <f t="shared" si="39"/>
        <v>137.5</v>
      </c>
      <c r="BS41" s="87">
        <f t="shared" si="40"/>
        <v>38</v>
      </c>
      <c r="BT41" s="88">
        <f t="shared" si="80"/>
        <v>3.6184210526315788</v>
      </c>
      <c r="BU41" s="95" t="str">
        <f t="shared" si="42"/>
        <v>Cum Laude</v>
      </c>
      <c r="BV41" s="95" t="str">
        <f t="shared" si="43"/>
        <v>Excellent</v>
      </c>
      <c r="BW41" s="95" t="s">
        <v>186</v>
      </c>
    </row>
    <row r="42" spans="1:75" ht="15.75" x14ac:dyDescent="0.25">
      <c r="A42" s="16">
        <v>39</v>
      </c>
      <c r="B42" s="16" t="s">
        <v>67</v>
      </c>
      <c r="C42" s="16">
        <v>122314070</v>
      </c>
      <c r="D42" s="16" t="s">
        <v>26</v>
      </c>
      <c r="E42" s="95" t="s">
        <v>95</v>
      </c>
      <c r="F42" s="75" t="s">
        <v>103</v>
      </c>
      <c r="G42" s="75" t="s">
        <v>111</v>
      </c>
      <c r="H42" s="16" t="s">
        <v>239</v>
      </c>
      <c r="I42" s="17">
        <v>80</v>
      </c>
      <c r="J42" s="18" t="str">
        <f t="shared" si="46"/>
        <v>A</v>
      </c>
      <c r="K42" s="19">
        <f t="shared" si="47"/>
        <v>4</v>
      </c>
      <c r="L42" s="20">
        <v>2</v>
      </c>
      <c r="M42" s="21">
        <f t="shared" si="48"/>
        <v>8</v>
      </c>
      <c r="N42" s="22">
        <v>75</v>
      </c>
      <c r="O42" s="23" t="str">
        <f t="shared" si="49"/>
        <v>B+</v>
      </c>
      <c r="P42" s="24">
        <f t="shared" si="50"/>
        <v>3.5</v>
      </c>
      <c r="Q42" s="25">
        <v>6</v>
      </c>
      <c r="R42" s="26">
        <f t="shared" si="60"/>
        <v>21</v>
      </c>
      <c r="S42" s="27">
        <v>75.05</v>
      </c>
      <c r="T42" s="28" t="str">
        <f t="shared" si="51"/>
        <v>B+</v>
      </c>
      <c r="U42" s="29">
        <f t="shared" si="61"/>
        <v>3.5</v>
      </c>
      <c r="V42" s="30">
        <f>3</f>
        <v>3</v>
      </c>
      <c r="W42" s="31">
        <f t="shared" si="62"/>
        <v>10.5</v>
      </c>
      <c r="X42" s="32">
        <v>75.05</v>
      </c>
      <c r="Y42" s="33" t="str">
        <f t="shared" si="52"/>
        <v>B+</v>
      </c>
      <c r="Z42" s="34">
        <f t="shared" si="53"/>
        <v>3.5</v>
      </c>
      <c r="AA42" s="35">
        <v>4</v>
      </c>
      <c r="AB42" s="36">
        <f t="shared" si="54"/>
        <v>14</v>
      </c>
      <c r="AC42" s="37">
        <v>75</v>
      </c>
      <c r="AD42" s="38" t="str">
        <f t="shared" si="55"/>
        <v>B+</v>
      </c>
      <c r="AE42" s="39">
        <f t="shared" si="56"/>
        <v>3.5</v>
      </c>
      <c r="AF42" s="40">
        <v>3</v>
      </c>
      <c r="AG42" s="41">
        <f t="shared" si="57"/>
        <v>10.5</v>
      </c>
      <c r="AH42" s="42">
        <v>77</v>
      </c>
      <c r="AI42" s="43" t="str">
        <f t="shared" si="58"/>
        <v>B+</v>
      </c>
      <c r="AJ42" s="44">
        <f t="shared" si="59"/>
        <v>3.5</v>
      </c>
      <c r="AK42" s="45">
        <v>2</v>
      </c>
      <c r="AL42" s="46">
        <f t="shared" si="63"/>
        <v>7</v>
      </c>
      <c r="AM42" s="80">
        <v>83.8</v>
      </c>
      <c r="AN42" s="49" t="str">
        <f t="shared" si="64"/>
        <v>A</v>
      </c>
      <c r="AO42" s="50">
        <f t="shared" si="65"/>
        <v>4</v>
      </c>
      <c r="AP42" s="81">
        <v>4</v>
      </c>
      <c r="AQ42" s="82">
        <f t="shared" si="66"/>
        <v>16</v>
      </c>
      <c r="AR42" s="51">
        <v>78</v>
      </c>
      <c r="AS42" s="52" t="str">
        <f t="shared" si="67"/>
        <v>B+</v>
      </c>
      <c r="AT42" s="53">
        <f t="shared" si="68"/>
        <v>3.5</v>
      </c>
      <c r="AU42" s="83">
        <v>4</v>
      </c>
      <c r="AV42" s="52">
        <f t="shared" si="69"/>
        <v>14</v>
      </c>
      <c r="AW42" s="54">
        <v>75</v>
      </c>
      <c r="AX42" s="55" t="str">
        <f t="shared" si="70"/>
        <v>B+</v>
      </c>
      <c r="AY42" s="56">
        <f t="shared" si="71"/>
        <v>3.5</v>
      </c>
      <c r="AZ42" s="55">
        <v>3</v>
      </c>
      <c r="BA42" s="55">
        <f t="shared" si="72"/>
        <v>10.5</v>
      </c>
      <c r="BB42" s="84">
        <v>80</v>
      </c>
      <c r="BC42" s="57" t="str">
        <f t="shared" si="73"/>
        <v>A</v>
      </c>
      <c r="BD42" s="58">
        <f t="shared" si="74"/>
        <v>4</v>
      </c>
      <c r="BE42" s="57">
        <v>5</v>
      </c>
      <c r="BF42" s="57">
        <f t="shared" si="75"/>
        <v>20</v>
      </c>
      <c r="BG42" s="59">
        <v>82.3</v>
      </c>
      <c r="BH42" s="59" t="str">
        <f t="shared" si="81"/>
        <v>A</v>
      </c>
      <c r="BI42" s="60">
        <f t="shared" si="76"/>
        <v>4</v>
      </c>
      <c r="BJ42" s="85">
        <v>2</v>
      </c>
      <c r="BK42" s="59">
        <f t="shared" si="77"/>
        <v>8</v>
      </c>
      <c r="BL42" s="47">
        <f t="shared" si="33"/>
        <v>71</v>
      </c>
      <c r="BM42" s="48">
        <f t="shared" si="45"/>
        <v>20</v>
      </c>
      <c r="BN42" s="47">
        <f t="shared" si="78"/>
        <v>3.55</v>
      </c>
      <c r="BO42" s="14">
        <f t="shared" si="36"/>
        <v>68.5</v>
      </c>
      <c r="BP42" s="15">
        <f t="shared" si="37"/>
        <v>18</v>
      </c>
      <c r="BQ42" s="14">
        <f t="shared" si="79"/>
        <v>3.8055555555555554</v>
      </c>
      <c r="BR42" s="86">
        <f t="shared" si="39"/>
        <v>139.5</v>
      </c>
      <c r="BS42" s="87">
        <f t="shared" si="40"/>
        <v>38</v>
      </c>
      <c r="BT42" s="88">
        <f t="shared" si="80"/>
        <v>3.6710526315789473</v>
      </c>
      <c r="BU42" s="95" t="str">
        <f t="shared" si="42"/>
        <v>Cum Laude</v>
      </c>
      <c r="BV42" s="95" t="str">
        <f t="shared" si="43"/>
        <v>Excellent</v>
      </c>
      <c r="BW42" s="95" t="s">
        <v>187</v>
      </c>
    </row>
    <row r="43" spans="1:75" ht="15.75" x14ac:dyDescent="0.25">
      <c r="A43" s="16">
        <v>40</v>
      </c>
      <c r="B43" s="16" t="s">
        <v>68</v>
      </c>
      <c r="C43" s="16">
        <v>122314089</v>
      </c>
      <c r="D43" s="16" t="s">
        <v>26</v>
      </c>
      <c r="E43" s="95" t="s">
        <v>95</v>
      </c>
      <c r="F43" s="75" t="s">
        <v>104</v>
      </c>
      <c r="G43" s="75" t="s">
        <v>111</v>
      </c>
      <c r="H43" s="16" t="s">
        <v>240</v>
      </c>
      <c r="I43" s="17">
        <v>80</v>
      </c>
      <c r="J43" s="18" t="str">
        <f t="shared" si="46"/>
        <v>A</v>
      </c>
      <c r="K43" s="19">
        <f t="shared" si="47"/>
        <v>4</v>
      </c>
      <c r="L43" s="20">
        <v>2</v>
      </c>
      <c r="M43" s="21">
        <f t="shared" si="48"/>
        <v>8</v>
      </c>
      <c r="N43" s="22">
        <v>74</v>
      </c>
      <c r="O43" s="23" t="str">
        <f t="shared" si="49"/>
        <v>B</v>
      </c>
      <c r="P43" s="24">
        <f t="shared" si="50"/>
        <v>3</v>
      </c>
      <c r="Q43" s="25">
        <v>6</v>
      </c>
      <c r="R43" s="26">
        <f t="shared" si="60"/>
        <v>18</v>
      </c>
      <c r="S43" s="27">
        <v>75</v>
      </c>
      <c r="T43" s="28" t="str">
        <f t="shared" si="51"/>
        <v>B+</v>
      </c>
      <c r="U43" s="29">
        <f t="shared" si="61"/>
        <v>3.5</v>
      </c>
      <c r="V43" s="30">
        <f>3</f>
        <v>3</v>
      </c>
      <c r="W43" s="31">
        <f t="shared" si="62"/>
        <v>10.5</v>
      </c>
      <c r="X43" s="32">
        <v>74.38</v>
      </c>
      <c r="Y43" s="33" t="str">
        <f t="shared" si="52"/>
        <v>B</v>
      </c>
      <c r="Z43" s="34">
        <f t="shared" si="53"/>
        <v>3</v>
      </c>
      <c r="AA43" s="35">
        <v>4</v>
      </c>
      <c r="AB43" s="36">
        <f t="shared" si="54"/>
        <v>12</v>
      </c>
      <c r="AC43" s="37">
        <v>75</v>
      </c>
      <c r="AD43" s="38" t="str">
        <f t="shared" si="55"/>
        <v>B+</v>
      </c>
      <c r="AE43" s="39">
        <f t="shared" si="56"/>
        <v>3.5</v>
      </c>
      <c r="AF43" s="40">
        <v>3</v>
      </c>
      <c r="AG43" s="41">
        <f t="shared" si="57"/>
        <v>10.5</v>
      </c>
      <c r="AH43" s="42">
        <v>78</v>
      </c>
      <c r="AI43" s="43" t="str">
        <f t="shared" si="58"/>
        <v>B+</v>
      </c>
      <c r="AJ43" s="44">
        <f t="shared" si="59"/>
        <v>3.5</v>
      </c>
      <c r="AK43" s="45">
        <v>2</v>
      </c>
      <c r="AL43" s="46">
        <f t="shared" si="63"/>
        <v>7</v>
      </c>
      <c r="AM43" s="80">
        <v>83.8</v>
      </c>
      <c r="AN43" s="49" t="str">
        <f t="shared" si="64"/>
        <v>A</v>
      </c>
      <c r="AO43" s="50">
        <f t="shared" si="65"/>
        <v>4</v>
      </c>
      <c r="AP43" s="81">
        <v>4</v>
      </c>
      <c r="AQ43" s="82">
        <f t="shared" si="66"/>
        <v>16</v>
      </c>
      <c r="AR43" s="51">
        <v>78</v>
      </c>
      <c r="AS43" s="52" t="str">
        <f t="shared" si="67"/>
        <v>B+</v>
      </c>
      <c r="AT43" s="53">
        <f t="shared" si="68"/>
        <v>3.5</v>
      </c>
      <c r="AU43" s="83">
        <v>4</v>
      </c>
      <c r="AV43" s="52">
        <f t="shared" si="69"/>
        <v>14</v>
      </c>
      <c r="AW43" s="54">
        <v>75</v>
      </c>
      <c r="AX43" s="55" t="str">
        <f t="shared" si="70"/>
        <v>B+</v>
      </c>
      <c r="AY43" s="56">
        <f t="shared" si="71"/>
        <v>3.5</v>
      </c>
      <c r="AZ43" s="55">
        <v>3</v>
      </c>
      <c r="BA43" s="55">
        <f t="shared" si="72"/>
        <v>10.5</v>
      </c>
      <c r="BB43" s="84">
        <v>80</v>
      </c>
      <c r="BC43" s="57" t="str">
        <f t="shared" si="73"/>
        <v>A</v>
      </c>
      <c r="BD43" s="58">
        <f t="shared" si="74"/>
        <v>4</v>
      </c>
      <c r="BE43" s="57">
        <v>5</v>
      </c>
      <c r="BF43" s="57">
        <f t="shared" si="75"/>
        <v>20</v>
      </c>
      <c r="BG43" s="59">
        <v>78</v>
      </c>
      <c r="BH43" s="59" t="str">
        <f t="shared" si="81"/>
        <v>B+</v>
      </c>
      <c r="BI43" s="60">
        <f t="shared" si="76"/>
        <v>3.5</v>
      </c>
      <c r="BJ43" s="85">
        <v>2</v>
      </c>
      <c r="BK43" s="59">
        <f t="shared" si="77"/>
        <v>7</v>
      </c>
      <c r="BL43" s="47">
        <f t="shared" si="33"/>
        <v>66</v>
      </c>
      <c r="BM43" s="48">
        <f t="shared" si="45"/>
        <v>20</v>
      </c>
      <c r="BN43" s="47">
        <f t="shared" si="78"/>
        <v>3.3</v>
      </c>
      <c r="BO43" s="14">
        <f t="shared" si="36"/>
        <v>67.5</v>
      </c>
      <c r="BP43" s="15">
        <f t="shared" si="37"/>
        <v>18</v>
      </c>
      <c r="BQ43" s="14">
        <f t="shared" si="79"/>
        <v>3.75</v>
      </c>
      <c r="BR43" s="86">
        <f t="shared" si="39"/>
        <v>133.5</v>
      </c>
      <c r="BS43" s="87">
        <f t="shared" si="40"/>
        <v>38</v>
      </c>
      <c r="BT43" s="88">
        <f t="shared" si="80"/>
        <v>3.513157894736842</v>
      </c>
      <c r="BU43" s="95" t="str">
        <f t="shared" si="42"/>
        <v>Cum Laude</v>
      </c>
      <c r="BV43" s="95" t="str">
        <f t="shared" si="43"/>
        <v>Excellent</v>
      </c>
      <c r="BW43" s="95" t="s">
        <v>188</v>
      </c>
    </row>
    <row r="44" spans="1:75" ht="15.75" x14ac:dyDescent="0.25">
      <c r="A44" s="16">
        <v>41</v>
      </c>
      <c r="B44" s="16" t="s">
        <v>69</v>
      </c>
      <c r="C44" s="16">
        <v>122314090</v>
      </c>
      <c r="D44" s="16" t="s">
        <v>26</v>
      </c>
      <c r="E44" s="95" t="s">
        <v>105</v>
      </c>
      <c r="F44" s="75" t="s">
        <v>106</v>
      </c>
      <c r="G44" s="75" t="s">
        <v>111</v>
      </c>
      <c r="H44" s="16" t="s">
        <v>241</v>
      </c>
      <c r="I44" s="17">
        <v>74</v>
      </c>
      <c r="J44" s="18" t="str">
        <f t="shared" si="46"/>
        <v>B</v>
      </c>
      <c r="K44" s="19">
        <f t="shared" si="47"/>
        <v>3</v>
      </c>
      <c r="L44" s="20">
        <v>2</v>
      </c>
      <c r="M44" s="21">
        <f t="shared" si="48"/>
        <v>6</v>
      </c>
      <c r="N44" s="22">
        <v>74</v>
      </c>
      <c r="O44" s="23" t="str">
        <f t="shared" si="49"/>
        <v>B</v>
      </c>
      <c r="P44" s="24">
        <f t="shared" si="50"/>
        <v>3</v>
      </c>
      <c r="Q44" s="25">
        <v>6</v>
      </c>
      <c r="R44" s="26">
        <f t="shared" si="60"/>
        <v>18</v>
      </c>
      <c r="S44" s="27">
        <v>75</v>
      </c>
      <c r="T44" s="28" t="str">
        <f t="shared" si="51"/>
        <v>B+</v>
      </c>
      <c r="U44" s="29">
        <f t="shared" si="61"/>
        <v>3.5</v>
      </c>
      <c r="V44" s="30">
        <f>3</f>
        <v>3</v>
      </c>
      <c r="W44" s="31">
        <f t="shared" si="62"/>
        <v>10.5</v>
      </c>
      <c r="X44" s="32">
        <v>73.03</v>
      </c>
      <c r="Y44" s="33" t="str">
        <f t="shared" si="52"/>
        <v>B</v>
      </c>
      <c r="Z44" s="34">
        <f t="shared" si="53"/>
        <v>3</v>
      </c>
      <c r="AA44" s="35">
        <v>4</v>
      </c>
      <c r="AB44" s="36">
        <f t="shared" si="54"/>
        <v>12</v>
      </c>
      <c r="AC44" s="37">
        <v>75</v>
      </c>
      <c r="AD44" s="38" t="str">
        <f t="shared" si="55"/>
        <v>B+</v>
      </c>
      <c r="AE44" s="39">
        <f t="shared" si="56"/>
        <v>3.5</v>
      </c>
      <c r="AF44" s="40">
        <v>3</v>
      </c>
      <c r="AG44" s="41">
        <f t="shared" si="57"/>
        <v>10.5</v>
      </c>
      <c r="AH44" s="42">
        <v>75</v>
      </c>
      <c r="AI44" s="43" t="str">
        <f t="shared" si="58"/>
        <v>B+</v>
      </c>
      <c r="AJ44" s="44">
        <f t="shared" si="59"/>
        <v>3.5</v>
      </c>
      <c r="AK44" s="45">
        <v>2</v>
      </c>
      <c r="AL44" s="46">
        <f t="shared" si="63"/>
        <v>7</v>
      </c>
      <c r="AM44" s="80">
        <v>81.599999999999994</v>
      </c>
      <c r="AN44" s="49" t="str">
        <f t="shared" si="64"/>
        <v>A</v>
      </c>
      <c r="AO44" s="50">
        <f t="shared" si="65"/>
        <v>4</v>
      </c>
      <c r="AP44" s="81">
        <v>4</v>
      </c>
      <c r="AQ44" s="82">
        <f t="shared" si="66"/>
        <v>16</v>
      </c>
      <c r="AR44" s="51">
        <v>70</v>
      </c>
      <c r="AS44" s="52" t="str">
        <f t="shared" si="67"/>
        <v>B</v>
      </c>
      <c r="AT44" s="53">
        <f t="shared" si="68"/>
        <v>3</v>
      </c>
      <c r="AU44" s="83">
        <v>4</v>
      </c>
      <c r="AV44" s="52">
        <f t="shared" si="69"/>
        <v>12</v>
      </c>
      <c r="AW44" s="54">
        <v>76</v>
      </c>
      <c r="AX44" s="55" t="str">
        <f t="shared" si="70"/>
        <v>B+</v>
      </c>
      <c r="AY44" s="56">
        <f t="shared" si="71"/>
        <v>3.5</v>
      </c>
      <c r="AZ44" s="55">
        <v>3</v>
      </c>
      <c r="BA44" s="55">
        <f t="shared" si="72"/>
        <v>10.5</v>
      </c>
      <c r="BB44" s="84">
        <v>81</v>
      </c>
      <c r="BC44" s="57" t="str">
        <f t="shared" si="73"/>
        <v>A</v>
      </c>
      <c r="BD44" s="58">
        <f t="shared" si="74"/>
        <v>4</v>
      </c>
      <c r="BE44" s="57">
        <v>5</v>
      </c>
      <c r="BF44" s="57">
        <f t="shared" si="75"/>
        <v>20</v>
      </c>
      <c r="BG44" s="59">
        <v>74</v>
      </c>
      <c r="BH44" s="59" t="str">
        <f t="shared" si="81"/>
        <v>B</v>
      </c>
      <c r="BI44" s="60">
        <f t="shared" si="76"/>
        <v>3</v>
      </c>
      <c r="BJ44" s="85">
        <v>2</v>
      </c>
      <c r="BK44" s="59">
        <f t="shared" si="77"/>
        <v>6</v>
      </c>
      <c r="BL44" s="47">
        <f t="shared" si="33"/>
        <v>64</v>
      </c>
      <c r="BM44" s="48">
        <f t="shared" si="45"/>
        <v>20</v>
      </c>
      <c r="BN44" s="47">
        <f t="shared" si="78"/>
        <v>3.2</v>
      </c>
      <c r="BO44" s="14">
        <f t="shared" si="36"/>
        <v>64.5</v>
      </c>
      <c r="BP44" s="15">
        <f t="shared" si="37"/>
        <v>18</v>
      </c>
      <c r="BQ44" s="14">
        <f t="shared" si="79"/>
        <v>3.5833333333333335</v>
      </c>
      <c r="BR44" s="86">
        <f t="shared" si="39"/>
        <v>128.5</v>
      </c>
      <c r="BS44" s="87">
        <f t="shared" si="40"/>
        <v>38</v>
      </c>
      <c r="BT44" s="88">
        <f t="shared" si="80"/>
        <v>3.3815789473684212</v>
      </c>
      <c r="BU44" s="95" t="str">
        <f t="shared" si="42"/>
        <v>Sangat Memuaskan</v>
      </c>
      <c r="BV44" s="95" t="str">
        <f t="shared" si="43"/>
        <v>Highly Satisfactory</v>
      </c>
      <c r="BW44" s="95" t="s">
        <v>247</v>
      </c>
    </row>
    <row r="45" spans="1:75" x14ac:dyDescent="0.25">
      <c r="A45" s="16">
        <v>42</v>
      </c>
      <c r="B45" s="16" t="s">
        <v>70</v>
      </c>
      <c r="C45" s="16">
        <v>122314091</v>
      </c>
      <c r="D45" s="16" t="s">
        <v>26</v>
      </c>
      <c r="E45" s="95" t="s">
        <v>107</v>
      </c>
      <c r="F45" s="75" t="s">
        <v>108</v>
      </c>
      <c r="G45" s="75" t="s">
        <v>111</v>
      </c>
      <c r="H45" s="16" t="s">
        <v>242</v>
      </c>
      <c r="I45" s="17">
        <v>75</v>
      </c>
      <c r="J45" s="18" t="str">
        <f t="shared" si="46"/>
        <v>B+</v>
      </c>
      <c r="K45" s="19">
        <f t="shared" si="47"/>
        <v>3.5</v>
      </c>
      <c r="L45" s="20">
        <v>2</v>
      </c>
      <c r="M45" s="21">
        <f t="shared" si="48"/>
        <v>7</v>
      </c>
      <c r="N45" s="22">
        <v>74</v>
      </c>
      <c r="O45" s="23" t="str">
        <f t="shared" si="49"/>
        <v>B</v>
      </c>
      <c r="P45" s="24">
        <f t="shared" si="50"/>
        <v>3</v>
      </c>
      <c r="Q45" s="25">
        <v>6</v>
      </c>
      <c r="R45" s="26">
        <f t="shared" si="60"/>
        <v>18</v>
      </c>
      <c r="S45" s="27">
        <v>76.430000000000007</v>
      </c>
      <c r="T45" s="28" t="str">
        <f t="shared" si="51"/>
        <v>B+</v>
      </c>
      <c r="U45" s="29">
        <f t="shared" si="61"/>
        <v>3.5</v>
      </c>
      <c r="V45" s="30">
        <f>3</f>
        <v>3</v>
      </c>
      <c r="W45" s="31">
        <f t="shared" si="62"/>
        <v>10.5</v>
      </c>
      <c r="X45" s="32">
        <v>76.430000000000007</v>
      </c>
      <c r="Y45" s="33" t="str">
        <f t="shared" si="52"/>
        <v>B+</v>
      </c>
      <c r="Z45" s="34">
        <f t="shared" si="53"/>
        <v>3.5</v>
      </c>
      <c r="AA45" s="35">
        <v>4</v>
      </c>
      <c r="AB45" s="36">
        <f t="shared" si="54"/>
        <v>14</v>
      </c>
      <c r="AC45" s="37">
        <v>80</v>
      </c>
      <c r="AD45" s="38" t="str">
        <f t="shared" si="55"/>
        <v>A</v>
      </c>
      <c r="AE45" s="39">
        <f t="shared" si="56"/>
        <v>4</v>
      </c>
      <c r="AF45" s="40">
        <v>3</v>
      </c>
      <c r="AG45" s="41">
        <f t="shared" si="57"/>
        <v>12</v>
      </c>
      <c r="AH45" s="42">
        <v>75</v>
      </c>
      <c r="AI45" s="43" t="str">
        <f t="shared" si="58"/>
        <v>B+</v>
      </c>
      <c r="AJ45" s="44">
        <f t="shared" si="59"/>
        <v>3.5</v>
      </c>
      <c r="AK45" s="45">
        <v>2</v>
      </c>
      <c r="AL45" s="46">
        <f t="shared" si="63"/>
        <v>7</v>
      </c>
      <c r="AM45" s="80">
        <v>84.25</v>
      </c>
      <c r="AN45" s="49" t="str">
        <f t="shared" si="64"/>
        <v>A</v>
      </c>
      <c r="AO45" s="50">
        <f t="shared" si="65"/>
        <v>4</v>
      </c>
      <c r="AP45" s="81">
        <v>4</v>
      </c>
      <c r="AQ45" s="82">
        <f t="shared" si="66"/>
        <v>16</v>
      </c>
      <c r="AR45" s="51">
        <v>77</v>
      </c>
      <c r="AS45" s="52" t="str">
        <f t="shared" si="67"/>
        <v>B+</v>
      </c>
      <c r="AT45" s="53">
        <f t="shared" si="68"/>
        <v>3.5</v>
      </c>
      <c r="AU45" s="83">
        <v>4</v>
      </c>
      <c r="AV45" s="52">
        <f t="shared" si="69"/>
        <v>14</v>
      </c>
      <c r="AW45" s="54">
        <v>75</v>
      </c>
      <c r="AX45" s="55" t="str">
        <f t="shared" si="70"/>
        <v>B+</v>
      </c>
      <c r="AY45" s="56">
        <f t="shared" si="71"/>
        <v>3.5</v>
      </c>
      <c r="AZ45" s="55">
        <v>3</v>
      </c>
      <c r="BA45" s="55">
        <f t="shared" si="72"/>
        <v>10.5</v>
      </c>
      <c r="BB45" s="84">
        <v>81.5</v>
      </c>
      <c r="BC45" s="57" t="str">
        <f t="shared" si="73"/>
        <v>A</v>
      </c>
      <c r="BD45" s="58">
        <f t="shared" si="74"/>
        <v>4</v>
      </c>
      <c r="BE45" s="57">
        <v>5</v>
      </c>
      <c r="BF45" s="57">
        <f t="shared" si="75"/>
        <v>20</v>
      </c>
      <c r="BG45" s="59">
        <v>74</v>
      </c>
      <c r="BH45" s="59" t="str">
        <f t="shared" si="81"/>
        <v>B</v>
      </c>
      <c r="BI45" s="60">
        <f t="shared" si="76"/>
        <v>3</v>
      </c>
      <c r="BJ45" s="85">
        <v>2</v>
      </c>
      <c r="BK45" s="59">
        <f t="shared" si="77"/>
        <v>6</v>
      </c>
      <c r="BL45" s="47">
        <f t="shared" si="33"/>
        <v>68.5</v>
      </c>
      <c r="BM45" s="48">
        <f t="shared" si="45"/>
        <v>20</v>
      </c>
      <c r="BN45" s="47">
        <f t="shared" si="78"/>
        <v>3.4249999999999998</v>
      </c>
      <c r="BO45" s="47">
        <f t="shared" si="36"/>
        <v>66.5</v>
      </c>
      <c r="BP45" s="73">
        <f t="shared" si="37"/>
        <v>18</v>
      </c>
      <c r="BQ45" s="47">
        <f t="shared" si="79"/>
        <v>3.6944444444444446</v>
      </c>
      <c r="BR45" s="89">
        <f t="shared" si="39"/>
        <v>135</v>
      </c>
      <c r="BS45" s="84">
        <f t="shared" si="40"/>
        <v>38</v>
      </c>
      <c r="BT45" s="90">
        <f t="shared" si="80"/>
        <v>3.5526315789473686</v>
      </c>
      <c r="BU45" s="95" t="str">
        <f t="shared" si="42"/>
        <v>Cum Laude</v>
      </c>
      <c r="BV45" s="95" t="str">
        <f t="shared" si="43"/>
        <v>Excellent</v>
      </c>
      <c r="BW45" s="95" t="s">
        <v>189</v>
      </c>
    </row>
    <row r="46" spans="1:75" ht="15.75" x14ac:dyDescent="0.25">
      <c r="A46" s="16">
        <v>43</v>
      </c>
      <c r="B46" s="16" t="s">
        <v>71</v>
      </c>
      <c r="C46" s="16">
        <v>122314095</v>
      </c>
      <c r="D46" s="16" t="s">
        <v>26</v>
      </c>
      <c r="E46" s="95" t="s">
        <v>95</v>
      </c>
      <c r="F46" s="75" t="s">
        <v>109</v>
      </c>
      <c r="G46" s="75" t="s">
        <v>111</v>
      </c>
      <c r="H46" s="16" t="s">
        <v>243</v>
      </c>
      <c r="I46" s="17">
        <v>80</v>
      </c>
      <c r="J46" s="18" t="str">
        <f t="shared" si="46"/>
        <v>A</v>
      </c>
      <c r="K46" s="19">
        <f t="shared" si="47"/>
        <v>4</v>
      </c>
      <c r="L46" s="20">
        <v>2</v>
      </c>
      <c r="M46" s="21">
        <f t="shared" si="48"/>
        <v>8</v>
      </c>
      <c r="N46" s="22">
        <v>76</v>
      </c>
      <c r="O46" s="23" t="str">
        <f t="shared" si="49"/>
        <v>B+</v>
      </c>
      <c r="P46" s="24">
        <f t="shared" si="50"/>
        <v>3.5</v>
      </c>
      <c r="Q46" s="25">
        <v>6</v>
      </c>
      <c r="R46" s="26">
        <f t="shared" si="60"/>
        <v>21</v>
      </c>
      <c r="S46" s="27">
        <v>75.900000000000006</v>
      </c>
      <c r="T46" s="28" t="str">
        <f t="shared" si="51"/>
        <v>B+</v>
      </c>
      <c r="U46" s="29">
        <f t="shared" si="61"/>
        <v>3.5</v>
      </c>
      <c r="V46" s="30">
        <f>3</f>
        <v>3</v>
      </c>
      <c r="W46" s="31">
        <f t="shared" si="62"/>
        <v>10.5</v>
      </c>
      <c r="X46" s="32">
        <v>75.900000000000006</v>
      </c>
      <c r="Y46" s="33" t="str">
        <f t="shared" si="52"/>
        <v>B+</v>
      </c>
      <c r="Z46" s="34">
        <f t="shared" si="53"/>
        <v>3.5</v>
      </c>
      <c r="AA46" s="35">
        <v>4</v>
      </c>
      <c r="AB46" s="36">
        <f t="shared" si="54"/>
        <v>14</v>
      </c>
      <c r="AC46" s="37">
        <v>76</v>
      </c>
      <c r="AD46" s="38" t="str">
        <f t="shared" si="55"/>
        <v>B+</v>
      </c>
      <c r="AE46" s="39">
        <f t="shared" si="56"/>
        <v>3.5</v>
      </c>
      <c r="AF46" s="40">
        <v>3</v>
      </c>
      <c r="AG46" s="41">
        <f t="shared" si="57"/>
        <v>10.5</v>
      </c>
      <c r="AH46" s="42">
        <v>80</v>
      </c>
      <c r="AI46" s="43" t="str">
        <f t="shared" si="58"/>
        <v>A</v>
      </c>
      <c r="AJ46" s="44">
        <f t="shared" si="59"/>
        <v>4</v>
      </c>
      <c r="AK46" s="45">
        <v>2</v>
      </c>
      <c r="AL46" s="46">
        <f t="shared" si="63"/>
        <v>8</v>
      </c>
      <c r="AM46" s="80">
        <v>81.650000000000006</v>
      </c>
      <c r="AN46" s="49" t="str">
        <f t="shared" si="64"/>
        <v>A</v>
      </c>
      <c r="AO46" s="50">
        <f t="shared" si="65"/>
        <v>4</v>
      </c>
      <c r="AP46" s="81">
        <v>4</v>
      </c>
      <c r="AQ46" s="82">
        <f t="shared" si="66"/>
        <v>16</v>
      </c>
      <c r="AR46" s="51">
        <v>78</v>
      </c>
      <c r="AS46" s="52" t="str">
        <f t="shared" si="67"/>
        <v>B+</v>
      </c>
      <c r="AT46" s="53">
        <f t="shared" si="68"/>
        <v>3.5</v>
      </c>
      <c r="AU46" s="83">
        <v>4</v>
      </c>
      <c r="AV46" s="52">
        <f t="shared" si="69"/>
        <v>14</v>
      </c>
      <c r="AW46" s="54">
        <v>77</v>
      </c>
      <c r="AX46" s="55" t="str">
        <f t="shared" si="70"/>
        <v>B+</v>
      </c>
      <c r="AY46" s="56">
        <f t="shared" si="71"/>
        <v>3.5</v>
      </c>
      <c r="AZ46" s="55">
        <v>3</v>
      </c>
      <c r="BA46" s="55">
        <f t="shared" si="72"/>
        <v>10.5</v>
      </c>
      <c r="BB46" s="84">
        <v>80</v>
      </c>
      <c r="BC46" s="57" t="str">
        <f t="shared" si="73"/>
        <v>A</v>
      </c>
      <c r="BD46" s="58">
        <f t="shared" si="74"/>
        <v>4</v>
      </c>
      <c r="BE46" s="57">
        <v>5</v>
      </c>
      <c r="BF46" s="57">
        <f t="shared" si="75"/>
        <v>20</v>
      </c>
      <c r="BG46" s="59">
        <v>81</v>
      </c>
      <c r="BH46" s="59" t="str">
        <f t="shared" si="81"/>
        <v>A</v>
      </c>
      <c r="BI46" s="60">
        <f t="shared" si="76"/>
        <v>4</v>
      </c>
      <c r="BJ46" s="85">
        <v>2</v>
      </c>
      <c r="BK46" s="59">
        <f t="shared" si="77"/>
        <v>8</v>
      </c>
      <c r="BL46" s="47">
        <f t="shared" si="33"/>
        <v>72</v>
      </c>
      <c r="BM46" s="48">
        <f t="shared" si="45"/>
        <v>20</v>
      </c>
      <c r="BN46" s="47">
        <f t="shared" si="78"/>
        <v>3.6</v>
      </c>
      <c r="BO46" s="14">
        <f t="shared" si="36"/>
        <v>68.5</v>
      </c>
      <c r="BP46" s="15">
        <f t="shared" si="37"/>
        <v>18</v>
      </c>
      <c r="BQ46" s="14">
        <f t="shared" si="79"/>
        <v>3.8055555555555554</v>
      </c>
      <c r="BR46" s="86">
        <f t="shared" si="39"/>
        <v>140.5</v>
      </c>
      <c r="BS46" s="87">
        <f t="shared" si="40"/>
        <v>38</v>
      </c>
      <c r="BT46" s="88">
        <f t="shared" si="80"/>
        <v>3.6973684210526314</v>
      </c>
      <c r="BU46" s="95" t="str">
        <f t="shared" si="42"/>
        <v>Cum Laude</v>
      </c>
      <c r="BV46" s="95" t="str">
        <f t="shared" si="43"/>
        <v>Excellent</v>
      </c>
      <c r="BW46" s="95" t="s">
        <v>190</v>
      </c>
    </row>
    <row r="47" spans="1:75" ht="15.75" x14ac:dyDescent="0.25">
      <c r="A47" s="16">
        <v>44</v>
      </c>
      <c r="B47" s="16" t="s">
        <v>72</v>
      </c>
      <c r="C47" s="16">
        <v>122314096</v>
      </c>
      <c r="D47" s="16" t="s">
        <v>26</v>
      </c>
      <c r="E47" s="95" t="s">
        <v>95</v>
      </c>
      <c r="F47" s="75" t="s">
        <v>110</v>
      </c>
      <c r="G47" s="75" t="s">
        <v>111</v>
      </c>
      <c r="H47" s="16" t="s">
        <v>244</v>
      </c>
      <c r="I47" s="17">
        <v>80</v>
      </c>
      <c r="J47" s="18" t="str">
        <f t="shared" si="46"/>
        <v>A</v>
      </c>
      <c r="K47" s="19">
        <f t="shared" si="47"/>
        <v>4</v>
      </c>
      <c r="L47" s="20">
        <v>2</v>
      </c>
      <c r="M47" s="21">
        <f t="shared" si="48"/>
        <v>8</v>
      </c>
      <c r="N47" s="22">
        <v>74</v>
      </c>
      <c r="O47" s="23" t="str">
        <f t="shared" si="49"/>
        <v>B</v>
      </c>
      <c r="P47" s="24">
        <f t="shared" si="50"/>
        <v>3</v>
      </c>
      <c r="Q47" s="25">
        <v>6</v>
      </c>
      <c r="R47" s="26">
        <f t="shared" si="60"/>
        <v>18</v>
      </c>
      <c r="S47" s="27">
        <v>75</v>
      </c>
      <c r="T47" s="28" t="str">
        <f t="shared" si="51"/>
        <v>B+</v>
      </c>
      <c r="U47" s="29">
        <f t="shared" si="61"/>
        <v>3.5</v>
      </c>
      <c r="V47" s="30">
        <f>3</f>
        <v>3</v>
      </c>
      <c r="W47" s="31">
        <f t="shared" si="62"/>
        <v>10.5</v>
      </c>
      <c r="X47" s="32">
        <v>74.430000000000007</v>
      </c>
      <c r="Y47" s="33" t="str">
        <f t="shared" si="52"/>
        <v>B</v>
      </c>
      <c r="Z47" s="34">
        <f t="shared" si="53"/>
        <v>3</v>
      </c>
      <c r="AA47" s="35">
        <v>4</v>
      </c>
      <c r="AB47" s="36">
        <f t="shared" si="54"/>
        <v>12</v>
      </c>
      <c r="AC47" s="37">
        <v>78</v>
      </c>
      <c r="AD47" s="38" t="str">
        <f t="shared" si="55"/>
        <v>B+</v>
      </c>
      <c r="AE47" s="39">
        <f t="shared" si="56"/>
        <v>3.5</v>
      </c>
      <c r="AF47" s="40">
        <v>3</v>
      </c>
      <c r="AG47" s="41">
        <f t="shared" si="57"/>
        <v>10.5</v>
      </c>
      <c r="AH47" s="42">
        <v>78</v>
      </c>
      <c r="AI47" s="43" t="str">
        <f t="shared" si="58"/>
        <v>B+</v>
      </c>
      <c r="AJ47" s="44">
        <f t="shared" si="59"/>
        <v>3.5</v>
      </c>
      <c r="AK47" s="45">
        <v>2</v>
      </c>
      <c r="AL47" s="46">
        <f t="shared" si="63"/>
        <v>7</v>
      </c>
      <c r="AM47" s="80">
        <v>80.849999999999994</v>
      </c>
      <c r="AN47" s="49" t="str">
        <f t="shared" si="64"/>
        <v>A</v>
      </c>
      <c r="AO47" s="50">
        <f t="shared" si="65"/>
        <v>4</v>
      </c>
      <c r="AP47" s="81">
        <v>4</v>
      </c>
      <c r="AQ47" s="82">
        <f t="shared" si="66"/>
        <v>16</v>
      </c>
      <c r="AR47" s="51">
        <v>78</v>
      </c>
      <c r="AS47" s="52" t="str">
        <f t="shared" si="67"/>
        <v>B+</v>
      </c>
      <c r="AT47" s="53">
        <f t="shared" si="68"/>
        <v>3.5</v>
      </c>
      <c r="AU47" s="83">
        <v>4</v>
      </c>
      <c r="AV47" s="52">
        <f t="shared" si="69"/>
        <v>14</v>
      </c>
      <c r="AW47" s="54">
        <v>75</v>
      </c>
      <c r="AX47" s="55" t="str">
        <f t="shared" si="70"/>
        <v>B+</v>
      </c>
      <c r="AY47" s="56">
        <f t="shared" si="71"/>
        <v>3.5</v>
      </c>
      <c r="AZ47" s="55">
        <v>3</v>
      </c>
      <c r="BA47" s="55">
        <f t="shared" si="72"/>
        <v>10.5</v>
      </c>
      <c r="BB47" s="84">
        <v>80</v>
      </c>
      <c r="BC47" s="57" t="str">
        <f t="shared" si="73"/>
        <v>A</v>
      </c>
      <c r="BD47" s="58">
        <f t="shared" si="74"/>
        <v>4</v>
      </c>
      <c r="BE47" s="57">
        <v>5</v>
      </c>
      <c r="BF47" s="57">
        <f t="shared" si="75"/>
        <v>20</v>
      </c>
      <c r="BG47" s="59">
        <v>74</v>
      </c>
      <c r="BH47" s="59" t="str">
        <f t="shared" si="81"/>
        <v>B</v>
      </c>
      <c r="BI47" s="60">
        <f t="shared" si="76"/>
        <v>3</v>
      </c>
      <c r="BJ47" s="85">
        <v>2</v>
      </c>
      <c r="BK47" s="59">
        <f t="shared" si="77"/>
        <v>6</v>
      </c>
      <c r="BL47" s="47">
        <f t="shared" si="33"/>
        <v>66</v>
      </c>
      <c r="BM47" s="48">
        <f t="shared" si="45"/>
        <v>20</v>
      </c>
      <c r="BN47" s="47">
        <f t="shared" si="78"/>
        <v>3.3</v>
      </c>
      <c r="BO47" s="14">
        <f t="shared" si="36"/>
        <v>66.5</v>
      </c>
      <c r="BP47" s="15">
        <f t="shared" si="37"/>
        <v>18</v>
      </c>
      <c r="BQ47" s="14">
        <f t="shared" si="79"/>
        <v>3.6944444444444446</v>
      </c>
      <c r="BR47" s="86">
        <f t="shared" si="39"/>
        <v>132.5</v>
      </c>
      <c r="BS47" s="87">
        <f t="shared" si="40"/>
        <v>38</v>
      </c>
      <c r="BT47" s="88">
        <f t="shared" si="80"/>
        <v>3.486842105263158</v>
      </c>
      <c r="BU47" s="95" t="str">
        <f t="shared" si="42"/>
        <v>Sangat Memuaskan</v>
      </c>
      <c r="BV47" s="95" t="str">
        <f t="shared" si="43"/>
        <v>Highly Satisfactory</v>
      </c>
      <c r="BW47" s="97" t="s">
        <v>191</v>
      </c>
    </row>
  </sheetData>
  <mergeCells count="29">
    <mergeCell ref="N1:R1"/>
    <mergeCell ref="A1:A2"/>
    <mergeCell ref="B1:B2"/>
    <mergeCell ref="C1:C2"/>
    <mergeCell ref="D1:D2"/>
    <mergeCell ref="I1:M1"/>
    <mergeCell ref="E1:E2"/>
    <mergeCell ref="F1:F2"/>
    <mergeCell ref="G1:G2"/>
    <mergeCell ref="H1:H2"/>
    <mergeCell ref="BN1:BN2"/>
    <mergeCell ref="AM1:AQ1"/>
    <mergeCell ref="AR1:AV1"/>
    <mergeCell ref="AW1:BA1"/>
    <mergeCell ref="BB1:BF1"/>
    <mergeCell ref="BG1:BK1"/>
    <mergeCell ref="BM1:BM2"/>
    <mergeCell ref="S1:W1"/>
    <mergeCell ref="X1:AB1"/>
    <mergeCell ref="AC1:AG1"/>
    <mergeCell ref="AH1:AL1"/>
    <mergeCell ref="BL1:BL2"/>
    <mergeCell ref="BU1:BU2"/>
    <mergeCell ref="BV1:BV2"/>
    <mergeCell ref="BW1:BW2"/>
    <mergeCell ref="BO1:BO2"/>
    <mergeCell ref="BP1:BP2"/>
    <mergeCell ref="BQ1:BQ2"/>
    <mergeCell ref="BT1:BT2"/>
  </mergeCells>
  <phoneticPr fontId="1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Transkip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2025-11-30T15:33:41Z</dcterms:created>
  <dcterms:modified xsi:type="dcterms:W3CDTF">2025-12-01T13:19:24Z</dcterms:modified>
</cp:coreProperties>
</file>