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655A8221-F51A-4E3C-BA56-4293B80A89E9}" xr6:coauthVersionLast="47" xr6:coauthVersionMax="47" xr10:uidLastSave="{00000000-0000-0000-0000-000000000000}"/>
  <bookViews>
    <workbookView xWindow="-120" yWindow="-120" windowWidth="29040" windowHeight="15720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<sst xmlns="http://schemas.openxmlformats.org/spreadsheetml/2006/main" count="400" uniqueCount="243">
  <si>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</si>
  <si>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</si>
  <si>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</si>
  <si>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</si>
  <si>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</si>
  <si>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</si>
  <si>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</si>
  <si>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</si>
  <si>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</si>
  <si>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</si>
  <si>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</si>
  <si>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</si>
  <si>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</si>
  <si>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</si>
  <si>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</si>
  <si>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</si>
  <si>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</si>
  <si>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</si>
  <si>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</si>
  <si>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</si>
  <si>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</si>
  <si>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</si>
  <si>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</si>
  <si>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</si>
  <si>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</si>
  <si>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</si>
  <si>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</si>
  <si>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</si>
  <si>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</si>
  <si>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</si>
  <si>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</si>
  <si>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</si>
  <si>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</si>
  <si>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</si>
  <si>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</si>
  <si>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</si>
  <si>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</si>
  <si>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</si>
  <si>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</si>
  <si>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</si>
  <si>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</si>
  <si>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</si>
  <si>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</si>
  <si>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</si>
  <si>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</si>
  <si>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</si>
  <si>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</si>
  <si>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</si>
  <si>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</si>
  <si>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</si>
  <si>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</si>
  <si>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</si>
  <si>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</si>
  <si>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</si>
  <si>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</si>
  <si>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</si>
  <si>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</si>
  <si>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</si>
  <si>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</si>
  <si>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</si>
  <si>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</si>
  <si>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</si>
  <si>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</si>
  <si>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</si>
  <si>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</si>
  <si>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</si>
  <si>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</si>
  <si>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</si>
  <si>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</si>
  <si>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</si>
  <si>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</si>
  <si>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</si>
  <si>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</si>
  <si>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</si>
  <si>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</si>
  <si>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</si>
  <si>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</si>
  <si>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</si>
  <si>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</si>
  <si>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</si>
  <si>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</si>
  <si>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</si>
  <si>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</si>
  <si>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</si>
  <si>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</si>
  <si>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</si>
  <si>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</si>
  <si>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</si>
  <si>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Kp. Juhar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</si>
  <si>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</si>
  <si>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</si>
  <si>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</si>
  <si>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</si>
  <si>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</si>
  <si>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</si>
  <si>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</si>
  <si>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</si>
  <si>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</si>
  <si>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</si>
  <si>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</si>
  <si>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</si>
  <si>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</si>
  <si>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</si>
  <si>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</si>
  <si>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</si>
  <si>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</si>
  <si>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</si>
  <si>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</si>
  <si>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</si>
  <si>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</si>
  <si>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</si>
  <si>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</si>
  <si>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</si>
  <si>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</si>
  <si>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</si>
  <si>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</si>
  <si>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</si>
  <si>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</si>
  <si>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</si>
  <si>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</si>
  <si>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</si>
  <si>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</si>
  <si>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</si>
  <si>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</si>
  <si>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</si>
  <si>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</si>
  <si>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</si>
  <si>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</si>
  <si>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</si>
  <si>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</si>
  <si>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</si>
  <si>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</si>
  <si>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</si>
  <si>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</si>
  <si>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</si>
  <si>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</si>
  <si>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</si>
  <si>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</si>
  <si>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</si>
  <si>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</si>
  <si>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</si>
  <si>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</si>
  <si>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</si>
  <si>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</si>
  <si>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</si>
  <si>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</si>
  <si>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</si>
  <si>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</si>
  <si>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22 Februari 1986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</si>
  <si>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</si>
  <si>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</si>
  <si>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</si>
  <si>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</si>
  <si>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</si>
  <si>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</si>
  <si>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</si>
  <si>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</si>
  <si>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</si>
  <si>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</si>
  <si>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</si>
  <si>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</si>
  <si>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</si>
  <si>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</si>
  <si>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</si>
  <si>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</si>
  <si>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</si>
  <si>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</si>
  <si>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</si>
  <si>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</si>
  <si>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</si>
  <si>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</si>
  <si>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</si>
  <si>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</si>
  <si>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</si>
  <si>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</si>
  <si>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</si>
  <si>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</si>
  <si>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</si>
  <si>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</si>
  <si>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</si>
  <si>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</si>
  <si>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</si>
  <si>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</si>
  <si>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</si>
  <si>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</si>
  <si>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Gangguan Tumbuh Kembang Pada Keluarga Tn.C Dengan Stunting Dan Penerapan Pijat Tui Na Di Rt 01 Rw 02 Kelurahan Raya Kecamatan Singkep Barat Tahun 2024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</si>
  <si>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</si>
  <si>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</si>
  <si>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</si>
  <si>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</si>
  <si>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</si>
  <si>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</si>
  <si>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</si>
  <si>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</si>
  <si>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</si>
  <si>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641 / 14 / XII / 2025</t>
  </si>
  <si>
    <t>642 / 14 / XII / 2025</t>
  </si>
  <si>
    <t>643 / 14 / XII / 2025</t>
  </si>
  <si>
    <t>644 / 14 / XII / 2025</t>
  </si>
  <si>
    <t>645 / 14 / XII / 2025</t>
  </si>
  <si>
    <t>646 / 14 / XII / 2025</t>
  </si>
  <si>
    <t>647 / 14 / XII / 2025</t>
  </si>
  <si>
    <t>648 / 14 / XII / 2025</t>
  </si>
  <si>
    <t>649 / 14 / XII / 2025</t>
  </si>
  <si>
    <t>650 / 14 / XII / 2025</t>
  </si>
  <si>
    <t>651 / 14 / XII / 2025</t>
  </si>
  <si>
    <t>652 / 14 / XII / 2025</t>
  </si>
  <si>
    <t>653 / 14 / XII / 2025</t>
  </si>
  <si>
    <t>654 / 14 / XII / 2025</t>
  </si>
  <si>
    <t>655 / 14 / XII / 2025</t>
  </si>
  <si>
    <t>656 / 14 / XII / 2025</t>
  </si>
  <si>
    <t>657 / 14 / XII / 2025</t>
  </si>
  <si>
    <t>658 / 14 / XII / 2025</t>
  </si>
  <si>
    <t>659 / 14 / XII / 2025</t>
  </si>
  <si>
    <t>660 / 14 / XII / 2025</t>
  </si>
  <si>
    <t>661 / 14 / XII / 2025</t>
  </si>
  <si>
    <t>662 / 14 / XII / 2025</t>
  </si>
  <si>
    <t>663 / 14 / XII / 2025</t>
  </si>
  <si>
    <t>664 / 14 / XII / 2025</t>
  </si>
  <si>
    <t>665 / 14 / XII / 2025</t>
  </si>
  <si>
    <t>666 / 14 / XII / 2025</t>
  </si>
  <si>
    <t>667 / 14 / XII / 2025</t>
  </si>
  <si>
    <t>668 / 14 / XII / 2025</t>
  </si>
  <si>
    <t>669 / 14 / XII / 2025</t>
  </si>
  <si>
    <t>670 / 14 / XII / 2025</t>
  </si>
  <si>
    <t>671 / 14 / XII / 2025</t>
  </si>
  <si>
    <t>672 / 14 / XII / 2025</t>
  </si>
  <si>
    <t>673 / 14 / XII / 2025</t>
  </si>
  <si>
    <t>674 / 14 / XII / 2025</t>
  </si>
  <si>
    <t>675 / 14 / XII / 2025</t>
  </si>
  <si>
    <t>676 / 14 / XII / 2025</t>
  </si>
  <si>
    <t>677 / 14 / XII / 2025</t>
  </si>
  <si>
    <t>678 / 14 / XII / 2025</t>
  </si>
  <si>
    <t>679 / 14 / XII / 2025</t>
  </si>
  <si>
    <t>680 / 14 / XII / 2025</t>
  </si>
  <si>
    <t>681 / 14 / XII / 2025</t>
  </si>
  <si>
    <t>682 / 14 / XII / 2025</t>
  </si>
  <si>
    <t>683 / 14 / XII / 2025</t>
  </si>
  <si>
    <t>684 / 14 / XII / 2025</t>
  </si>
  <si>
    <t>685 / 14 / XII / 2025</t>
  </si>
  <si>
    <t>Penerapan Pre dan Post Conference Keperawatan untuk Meningkatkan Mutu Asuhan Keperawatan di Ruang Rawat Inap RSUD Tarempa.</t>
  </si>
  <si>
    <t>ASUHAN KEPERAWATAN HALUSINASI PADA NN.L DENGAN SKIZOFRENIA PARANOID DAN PENERAPAN STRATEGI PELAKSANAAN HALUSINASI DI WILAYAH DAIK LINGGA TAHUN 2024</t>
  </si>
  <si>
    <t>Asuhan Keperawatan Gangguan Integeritas Kulit Pada An.A Dengan Luka Bakar Dan Penerapan Aloevera Di Paviliun Cindai Rsud Encik Maryam Kabupatern Lingga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</si>
</sst>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4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vertical="center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W47"/>
  <sheetViews>
    <sheetView tabSelected="1" zoomScaleNormal="100" workbookViewId="0">
      <pane xSplit="2" ySplit="2" topLeftCell="AZ33" activePane="bottomRight" state="frozen"/>
      <selection pane="topRight" activeCell="C1" sqref="C1"/>
      <selection pane="bottomLeft" activeCell="A3" sqref="A3"/>
      <selection pane="bottomRight" activeCell="BW41" sqref="BW41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0.28515625" style="74" customWidth="1"/>
    <col min="6" max="6" width="24.42578125" style="77" customWidth="1"/>
    <col min="7" max="7" width="20.28515625" style="76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7.28515625" customWidth="1"/>
  </cols>
  <sheetData>
    <row r="1" spans="1:75" ht="15.75" x14ac:dyDescent="0.25">
      <c r="A1" s="98" t="s">
        <v>0</v>
      </c>
      <c r="B1" s="98" t="s">
        <v>1</v>
      </c>
      <c r="C1" s="98" t="s">
        <v>2</v>
      </c>
      <c r="D1" s="98" t="s">
        <v>3</v>
      </c>
      <c r="E1" s="98" t="s">
        <v>73</v>
      </c>
      <c r="F1" s="109" t="s">
        <v>74</v>
      </c>
      <c r="G1" s="109" t="s">
        <v>75</v>
      </c>
      <c r="H1" s="98" t="s">
        <v>76</v>
      </c>
      <c r="I1" s="99" t="s">
        <v>4</v>
      </c>
      <c r="J1" s="99"/>
      <c r="K1" s="99"/>
      <c r="L1" s="99"/>
      <c r="M1" s="99"/>
      <c r="N1" s="97" t="s">
        <v>5</v>
      </c>
      <c r="O1" s="97"/>
      <c r="P1" s="97"/>
      <c r="Q1" s="97"/>
      <c r="R1" s="97"/>
      <c r="S1" s="105" t="s">
        <v>6</v>
      </c>
      <c r="T1" s="105"/>
      <c r="U1" s="105"/>
      <c r="V1" s="105"/>
      <c r="W1" s="105"/>
      <c r="X1" s="106" t="s">
        <v>7</v>
      </c>
      <c r="Y1" s="106"/>
      <c r="Z1" s="106"/>
      <c r="AA1" s="106"/>
      <c r="AB1" s="106"/>
      <c r="AC1" s="107" t="s">
        <v>8</v>
      </c>
      <c r="AD1" s="107"/>
      <c r="AE1" s="107"/>
      <c r="AF1" s="107"/>
      <c r="AG1" s="107"/>
      <c r="AH1" s="108" t="s">
        <v>9</v>
      </c>
      <c r="AI1" s="108"/>
      <c r="AJ1" s="108"/>
      <c r="AK1" s="108"/>
      <c r="AL1" s="108"/>
      <c r="AM1" s="101" t="s">
        <v>13</v>
      </c>
      <c r="AN1" s="101"/>
      <c r="AO1" s="101"/>
      <c r="AP1" s="101"/>
      <c r="AQ1" s="101"/>
      <c r="AR1" s="102" t="s">
        <v>14</v>
      </c>
      <c r="AS1" s="102"/>
      <c r="AT1" s="102"/>
      <c r="AU1" s="102"/>
      <c r="AV1" s="102"/>
      <c r="AW1" s="103" t="s">
        <v>15</v>
      </c>
      <c r="AX1" s="103"/>
      <c r="AY1" s="103"/>
      <c r="AZ1" s="103"/>
      <c r="BA1" s="103"/>
      <c r="BB1" s="104" t="s">
        <v>16</v>
      </c>
      <c r="BC1" s="104"/>
      <c r="BD1" s="104"/>
      <c r="BE1" s="104"/>
      <c r="BF1" s="104"/>
      <c r="BG1" s="110" t="s">
        <v>17</v>
      </c>
      <c r="BH1" s="110"/>
      <c r="BI1" s="110"/>
      <c r="BJ1" s="110"/>
      <c r="BK1" s="110"/>
      <c r="BL1" s="100" t="s">
        <v>10</v>
      </c>
      <c r="BM1" s="100" t="s">
        <v>11</v>
      </c>
      <c r="BN1" s="100" t="s">
        <v>12</v>
      </c>
      <c r="BO1" s="98" t="s">
        <v>10</v>
      </c>
      <c r="BP1" s="98" t="s">
        <v>11</v>
      </c>
      <c r="BQ1" s="98" t="s">
        <v>12</v>
      </c>
      <c r="BR1" s="2" t="s">
        <v>18</v>
      </c>
      <c r="BS1" s="2" t="s">
        <v>18</v>
      </c>
      <c r="BT1" s="102" t="s">
        <v>19</v>
      </c>
      <c r="BU1" s="111" t="s">
        <v>77</v>
      </c>
      <c r="BV1" s="111" t="s">
        <v>78</v>
      </c>
      <c r="BW1" s="111" t="s">
        <v>79</v>
      </c>
    </row>
    <row r="2" spans="1:75" ht="15.75" x14ac:dyDescent="0.25">
      <c r="A2" s="98"/>
      <c r="B2" s="98"/>
      <c r="C2" s="98"/>
      <c r="D2" s="98"/>
      <c r="E2" s="98"/>
      <c r="F2" s="109"/>
      <c r="G2" s="109"/>
      <c r="H2" s="98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100"/>
      <c r="BM2" s="100"/>
      <c r="BN2" s="100"/>
      <c r="BO2" s="98"/>
      <c r="BP2" s="98"/>
      <c r="BQ2" s="98"/>
      <c r="BR2" s="2" t="s">
        <v>20</v>
      </c>
      <c r="BS2" s="2" t="s">
        <v>25</v>
      </c>
      <c r="BT2" s="102"/>
      <c r="BU2" s="111"/>
      <c r="BV2" s="111"/>
      <c r="BW2" s="111"/>
    </row>
    <row r="3" spans="1:75" ht="30" x14ac:dyDescent="0.25">
      <c r="A3" s="16">
        <v>1</v>
      </c>
      <c r="B3" s="16" t="s">
        <v>27</v>
      </c>
      <c r="C3" s="16">
        <v>122314010</v>
      </c>
      <c r="D3" s="16" t="s">
        <v>26</v>
      </c>
      <c r="E3" s="95" t="s">
        <v>80</v>
      </c>
      <c r="F3" s="75" t="s">
        <v>81</v>
      </c>
      <c r="G3" s="75" t="s">
        <v>112</v>
      </c>
      <c r="H3" s="16" t="s">
        <v>195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86">
        <f t="shared" ref="BR3:BR47" si="39">BL3+BO3</f>
        <v>130.5</v>
      </c>
      <c r="BS3" s="87">
        <f t="shared" ref="BS3:BS47" si="40">BM3+BP3</f>
        <v>38</v>
      </c>
      <c r="BT3" s="88">
        <f t="shared" ref="BT3:BT38" si="41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112" t="s">
        <v>157</v>
      </c>
    </row>
    <row r="4" spans="1:75" ht="30" x14ac:dyDescent="0.25">
      <c r="A4" s="16">
        <v>2</v>
      </c>
      <c r="B4" s="16" t="s">
        <v>28</v>
      </c>
      <c r="C4" s="16">
        <v>122314011</v>
      </c>
      <c r="D4" s="16" t="s">
        <v>26</v>
      </c>
      <c r="E4" s="16" t="s">
        <v>114</v>
      </c>
      <c r="F4" s="75" t="s">
        <v>115</v>
      </c>
      <c r="G4" s="75" t="s">
        <v>113</v>
      </c>
      <c r="H4" s="16" t="s">
        <v>196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86">
        <f t="shared" si="39"/>
        <v>131.5</v>
      </c>
      <c r="BS4" s="87">
        <f t="shared" si="40"/>
        <v>38</v>
      </c>
      <c r="BT4" s="88">
        <f t="shared" si="41"/>
        <v>3.4605263157894739</v>
      </c>
      <c r="BU4" s="95" t="str">
        <f t="shared" ref="BU4:BU47" si="42">IF(BT4&gt;=3.51,"Cum Laude",(IF(BT4&gt;=2.75,"Sangat Memuaskan",(IF(BT4&gt;=2,"Memuaskan","GAGAL")))))</f>
        <v>Sangat Memuaskan</v>
      </c>
      <c r="BV4" s="95" t="str">
        <f t="shared" ref="BV4:BV47" si="43">IF(BT4&gt;=3.51,"Excellent",(IF(BT4&gt;=2.75,"Highly Satisfactory",(IF(BT4&gt;=2,"Satisfactory","FAILED")))))</f>
        <v>Highly Satisfactory</v>
      </c>
      <c r="BW4" s="95" t="s">
        <v>158</v>
      </c>
    </row>
    <row r="5" spans="1:75" ht="30" x14ac:dyDescent="0.25">
      <c r="A5" s="16">
        <v>3</v>
      </c>
      <c r="B5" s="96" t="s">
        <v>29</v>
      </c>
      <c r="C5" s="16">
        <v>122314013</v>
      </c>
      <c r="D5" s="16" t="s">
        <v>26</v>
      </c>
      <c r="E5" s="16" t="s">
        <v>118</v>
      </c>
      <c r="F5" s="75" t="s">
        <v>137</v>
      </c>
      <c r="G5" s="75" t="s">
        <v>112</v>
      </c>
      <c r="H5" s="16" t="s">
        <v>197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86">
        <f t="shared" si="39"/>
        <v>134</v>
      </c>
      <c r="BS5" s="87">
        <f t="shared" si="40"/>
        <v>38</v>
      </c>
      <c r="BT5" s="88">
        <f t="shared" si="41"/>
        <v>3.5263157894736841</v>
      </c>
      <c r="BU5" s="95" t="str">
        <f t="shared" si="42"/>
        <v>Cum Laude</v>
      </c>
      <c r="BV5" s="95" t="str">
        <f t="shared" si="43"/>
        <v>Excellent</v>
      </c>
      <c r="BW5" s="95"/>
    </row>
    <row r="6" spans="1:75" ht="30" x14ac:dyDescent="0.25">
      <c r="A6" s="16">
        <v>4</v>
      </c>
      <c r="B6" s="16" t="s">
        <v>30</v>
      </c>
      <c r="C6" s="16">
        <v>122314016</v>
      </c>
      <c r="D6" s="16" t="s">
        <v>26</v>
      </c>
      <c r="E6" s="16" t="s">
        <v>82</v>
      </c>
      <c r="F6" s="75" t="s">
        <v>83</v>
      </c>
      <c r="G6" s="75" t="s">
        <v>112</v>
      </c>
      <c r="H6" s="16" t="s">
        <v>198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86">
        <f t="shared" si="39"/>
        <v>139.5</v>
      </c>
      <c r="BS6" s="87">
        <f t="shared" si="40"/>
        <v>38</v>
      </c>
      <c r="BT6" s="88">
        <f t="shared" si="41"/>
        <v>3.6710526315789473</v>
      </c>
      <c r="BU6" s="95" t="str">
        <f t="shared" si="42"/>
        <v>Cum Laude</v>
      </c>
      <c r="BV6" s="95" t="str">
        <f t="shared" si="43"/>
        <v>Excellent</v>
      </c>
      <c r="BW6" s="112" t="s">
        <v>159</v>
      </c>
    </row>
    <row r="7" spans="1:75" ht="30" x14ac:dyDescent="0.25">
      <c r="A7" s="16">
        <v>5</v>
      </c>
      <c r="B7" s="16" t="s">
        <v>31</v>
      </c>
      <c r="C7" s="16">
        <v>122314017</v>
      </c>
      <c r="D7" s="16" t="s">
        <v>26</v>
      </c>
      <c r="E7" s="16" t="s">
        <v>131</v>
      </c>
      <c r="F7" s="75" t="s">
        <v>138</v>
      </c>
      <c r="G7" s="75" t="s">
        <v>112</v>
      </c>
      <c r="H7" s="16" t="s">
        <v>199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86">
        <f t="shared" si="39"/>
        <v>134</v>
      </c>
      <c r="BS7" s="87">
        <f t="shared" si="40"/>
        <v>38</v>
      </c>
      <c r="BT7" s="88">
        <f t="shared" si="41"/>
        <v>3.5263157894736841</v>
      </c>
      <c r="BU7" s="95" t="str">
        <f t="shared" si="42"/>
        <v>Cum Laude</v>
      </c>
      <c r="BV7" s="95" t="str">
        <f t="shared" si="43"/>
        <v>Excellent</v>
      </c>
      <c r="BW7" s="95" t="s">
        <v>160</v>
      </c>
    </row>
    <row r="8" spans="1:75" ht="30" x14ac:dyDescent="0.25">
      <c r="A8" s="16">
        <v>6</v>
      </c>
      <c r="B8" s="16" t="s">
        <v>32</v>
      </c>
      <c r="C8" s="16">
        <v>122314018</v>
      </c>
      <c r="D8" s="16" t="s">
        <v>26</v>
      </c>
      <c r="E8" s="16" t="s">
        <v>139</v>
      </c>
      <c r="F8" s="75" t="s">
        <v>140</v>
      </c>
      <c r="G8" s="75" t="s">
        <v>113</v>
      </c>
      <c r="H8" s="16" t="s">
        <v>200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86">
        <f t="shared" si="39"/>
        <v>130.5</v>
      </c>
      <c r="BS8" s="87">
        <f t="shared" si="40"/>
        <v>38</v>
      </c>
      <c r="BT8" s="88">
        <f t="shared" si="41"/>
        <v>3.4342105263157894</v>
      </c>
      <c r="BU8" s="95" t="str">
        <f t="shared" si="42"/>
        <v>Sangat Memuaskan</v>
      </c>
      <c r="BV8" s="95" t="str">
        <f t="shared" si="43"/>
        <v>Highly Satisfactory</v>
      </c>
      <c r="BW8" s="95" t="s">
        <v>161</v>
      </c>
    </row>
    <row r="9" spans="1:75" ht="30" x14ac:dyDescent="0.25">
      <c r="A9" s="16">
        <v>7</v>
      </c>
      <c r="B9" s="16" t="s">
        <v>33</v>
      </c>
      <c r="C9" s="16">
        <v>122314019</v>
      </c>
      <c r="D9" s="16" t="s">
        <v>26</v>
      </c>
      <c r="E9" s="94" t="s">
        <v>116</v>
      </c>
      <c r="F9" s="75" t="s">
        <v>117</v>
      </c>
      <c r="G9" s="75" t="s">
        <v>113</v>
      </c>
      <c r="H9" s="16" t="s">
        <v>201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86">
        <f t="shared" si="39"/>
        <v>140.5</v>
      </c>
      <c r="BS9" s="87">
        <f t="shared" si="40"/>
        <v>38</v>
      </c>
      <c r="BT9" s="88">
        <f t="shared" si="41"/>
        <v>3.6973684210526314</v>
      </c>
      <c r="BU9" s="95" t="str">
        <f t="shared" si="42"/>
        <v>Cum Laude</v>
      </c>
      <c r="BV9" s="95" t="str">
        <f t="shared" si="43"/>
        <v>Excellent</v>
      </c>
      <c r="BW9" s="95" t="s">
        <v>162</v>
      </c>
    </row>
    <row r="10" spans="1:75" ht="30" x14ac:dyDescent="0.25">
      <c r="A10" s="16">
        <v>8</v>
      </c>
      <c r="B10" s="16" t="s">
        <v>34</v>
      </c>
      <c r="C10" s="16">
        <v>122314020</v>
      </c>
      <c r="D10" s="16" t="s">
        <v>26</v>
      </c>
      <c r="E10" s="94" t="s">
        <v>118</v>
      </c>
      <c r="F10" s="75" t="s">
        <v>119</v>
      </c>
      <c r="G10" s="75" t="s">
        <v>113</v>
      </c>
      <c r="H10" s="16" t="s">
        <v>202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86">
        <f t="shared" si="39"/>
        <v>130</v>
      </c>
      <c r="BS10" s="87">
        <f t="shared" si="40"/>
        <v>38</v>
      </c>
      <c r="BT10" s="88">
        <f t="shared" si="41"/>
        <v>3.4210526315789473</v>
      </c>
      <c r="BU10" s="95" t="str">
        <f t="shared" si="42"/>
        <v>Sangat Memuaskan</v>
      </c>
      <c r="BV10" s="95" t="str">
        <f t="shared" si="43"/>
        <v>Highly Satisfactory</v>
      </c>
      <c r="BW10" s="95" t="s">
        <v>240</v>
      </c>
    </row>
    <row r="11" spans="1:75" ht="30" x14ac:dyDescent="0.2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84</v>
      </c>
      <c r="F11" s="75" t="s">
        <v>85</v>
      </c>
      <c r="G11" s="75" t="s">
        <v>112</v>
      </c>
      <c r="H11" s="16" t="s">
        <v>203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86">
        <f t="shared" si="39"/>
        <v>130.5</v>
      </c>
      <c r="BS11" s="87">
        <f t="shared" si="40"/>
        <v>38</v>
      </c>
      <c r="BT11" s="88">
        <f t="shared" si="41"/>
        <v>3.4342105263157894</v>
      </c>
      <c r="BU11" s="95" t="str">
        <f t="shared" si="42"/>
        <v>Sangat Memuaskan</v>
      </c>
      <c r="BV11" s="95" t="str">
        <f t="shared" si="43"/>
        <v>Highly Satisfactory</v>
      </c>
      <c r="BW11" s="95" t="s">
        <v>163</v>
      </c>
    </row>
    <row r="12" spans="1:75" ht="30" x14ac:dyDescent="0.25">
      <c r="A12" s="16">
        <v>10</v>
      </c>
      <c r="B12" s="16" t="s">
        <v>36</v>
      </c>
      <c r="C12" s="16">
        <v>122314022</v>
      </c>
      <c r="D12" s="16" t="s">
        <v>26</v>
      </c>
      <c r="E12" s="95" t="s">
        <v>86</v>
      </c>
      <c r="F12" s="75" t="s">
        <v>87</v>
      </c>
      <c r="G12" s="75" t="s">
        <v>112</v>
      </c>
      <c r="H12" s="16" t="s">
        <v>204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89">
        <f t="shared" si="39"/>
        <v>130</v>
      </c>
      <c r="BS12" s="84">
        <f t="shared" si="40"/>
        <v>38</v>
      </c>
      <c r="BT12" s="90">
        <f t="shared" si="41"/>
        <v>3.4210526315789473</v>
      </c>
      <c r="BU12" s="95" t="str">
        <f t="shared" si="42"/>
        <v>Sangat Memuaskan</v>
      </c>
      <c r="BV12" s="95" t="str">
        <f t="shared" si="43"/>
        <v>Highly Satisfactory</v>
      </c>
      <c r="BW12" s="95" t="s">
        <v>164</v>
      </c>
    </row>
    <row r="13" spans="1:75" ht="30" x14ac:dyDescent="0.25">
      <c r="A13" s="16">
        <v>11</v>
      </c>
      <c r="B13" s="16" t="s">
        <v>37</v>
      </c>
      <c r="C13" s="16">
        <v>122314024</v>
      </c>
      <c r="D13" s="16" t="s">
        <v>26</v>
      </c>
      <c r="E13" s="94" t="s">
        <v>114</v>
      </c>
      <c r="F13" s="75" t="s">
        <v>120</v>
      </c>
      <c r="G13" s="75" t="s">
        <v>113</v>
      </c>
      <c r="H13" s="16" t="s">
        <v>205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86">
        <f t="shared" si="39"/>
        <v>130.5</v>
      </c>
      <c r="BS13" s="87">
        <f t="shared" si="40"/>
        <v>38</v>
      </c>
      <c r="BT13" s="88">
        <f t="shared" si="41"/>
        <v>3.4342105263157894</v>
      </c>
      <c r="BU13" s="95" t="str">
        <f t="shared" si="42"/>
        <v>Sangat Memuaskan</v>
      </c>
      <c r="BV13" s="95" t="str">
        <f t="shared" si="43"/>
        <v>Highly Satisfactory</v>
      </c>
      <c r="BW13" s="95" t="s">
        <v>165</v>
      </c>
    </row>
    <row r="14" spans="1:75" ht="30" x14ac:dyDescent="0.25">
      <c r="A14" s="16">
        <v>12</v>
      </c>
      <c r="B14" s="16" t="s">
        <v>38</v>
      </c>
      <c r="C14" s="16">
        <v>122314025</v>
      </c>
      <c r="D14" s="16" t="s">
        <v>26</v>
      </c>
      <c r="E14" s="94" t="s">
        <v>121</v>
      </c>
      <c r="F14" s="75" t="s">
        <v>122</v>
      </c>
      <c r="G14" s="75" t="s">
        <v>113</v>
      </c>
      <c r="H14" s="16" t="s">
        <v>206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93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86">
        <f t="shared" si="39"/>
        <v>133</v>
      </c>
      <c r="BS14" s="87">
        <f t="shared" si="40"/>
        <v>38</v>
      </c>
      <c r="BT14" s="88">
        <f t="shared" si="41"/>
        <v>3.5</v>
      </c>
      <c r="BU14" s="95" t="str">
        <f t="shared" si="42"/>
        <v>Sangat Memuaskan</v>
      </c>
      <c r="BV14" s="95" t="str">
        <f t="shared" si="43"/>
        <v>Highly Satisfactory</v>
      </c>
      <c r="BW14" s="95" t="s">
        <v>166</v>
      </c>
    </row>
    <row r="15" spans="1:75" ht="30" x14ac:dyDescent="0.25">
      <c r="A15" s="16">
        <v>13</v>
      </c>
      <c r="B15" s="16" t="s">
        <v>39</v>
      </c>
      <c r="C15" s="16">
        <v>122314026</v>
      </c>
      <c r="D15" s="16" t="s">
        <v>26</v>
      </c>
      <c r="E15" s="94" t="s">
        <v>123</v>
      </c>
      <c r="F15" s="75" t="s">
        <v>124</v>
      </c>
      <c r="G15" s="75" t="s">
        <v>113</v>
      </c>
      <c r="H15" s="16" t="s">
        <v>207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93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86">
        <f t="shared" si="39"/>
        <v>134</v>
      </c>
      <c r="BS15" s="87">
        <f t="shared" si="40"/>
        <v>38</v>
      </c>
      <c r="BT15" s="88">
        <f t="shared" si="41"/>
        <v>3.5263157894736841</v>
      </c>
      <c r="BU15" s="95" t="str">
        <f t="shared" si="42"/>
        <v>Cum Laude</v>
      </c>
      <c r="BV15" s="95" t="str">
        <f t="shared" si="43"/>
        <v>Excellent</v>
      </c>
      <c r="BW15" s="95" t="s">
        <v>167</v>
      </c>
    </row>
    <row r="16" spans="1:75" ht="30" x14ac:dyDescent="0.25">
      <c r="A16" s="16">
        <v>14</v>
      </c>
      <c r="B16" s="16" t="s">
        <v>40</v>
      </c>
      <c r="C16" s="16">
        <v>122314028</v>
      </c>
      <c r="D16" s="16" t="s">
        <v>26</v>
      </c>
      <c r="E16" s="16" t="s">
        <v>118</v>
      </c>
      <c r="F16" s="75" t="s">
        <v>125</v>
      </c>
      <c r="G16" s="75" t="s">
        <v>112</v>
      </c>
      <c r="H16" s="16" t="s">
        <v>208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86">
        <f t="shared" si="39"/>
        <v>129</v>
      </c>
      <c r="BS16" s="87">
        <f t="shared" si="40"/>
        <v>38</v>
      </c>
      <c r="BT16" s="88">
        <f t="shared" si="41"/>
        <v>3.3947368421052633</v>
      </c>
      <c r="BU16" s="95" t="str">
        <f t="shared" si="42"/>
        <v>Sangat Memuaskan</v>
      </c>
      <c r="BV16" s="95" t="str">
        <f t="shared" si="43"/>
        <v>Highly Satisfactory</v>
      </c>
      <c r="BW16" s="113" t="s">
        <v>168</v>
      </c>
    </row>
    <row r="17" spans="1:75" ht="30" x14ac:dyDescent="0.25">
      <c r="A17" s="16">
        <v>15</v>
      </c>
      <c r="B17" s="16" t="s">
        <v>41</v>
      </c>
      <c r="C17" s="16">
        <v>122314029</v>
      </c>
      <c r="D17" s="16" t="s">
        <v>26</v>
      </c>
      <c r="E17" s="16" t="s">
        <v>88</v>
      </c>
      <c r="F17" s="75" t="s">
        <v>89</v>
      </c>
      <c r="G17" s="75" t="s">
        <v>112</v>
      </c>
      <c r="H17" s="16" t="s">
        <v>209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93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86">
        <f t="shared" si="39"/>
        <v>129</v>
      </c>
      <c r="BS17" s="87">
        <f t="shared" si="40"/>
        <v>38</v>
      </c>
      <c r="BT17" s="88">
        <f t="shared" si="41"/>
        <v>3.3947368421052633</v>
      </c>
      <c r="BU17" s="95" t="str">
        <f t="shared" si="42"/>
        <v>Sangat Memuaskan</v>
      </c>
      <c r="BV17" s="95" t="str">
        <f t="shared" si="43"/>
        <v>Highly Satisfactory</v>
      </c>
      <c r="BW17" s="95" t="s">
        <v>169</v>
      </c>
    </row>
    <row r="18" spans="1:75" ht="30" x14ac:dyDescent="0.25">
      <c r="A18" s="16">
        <v>16</v>
      </c>
      <c r="B18" s="16" t="s">
        <v>42</v>
      </c>
      <c r="C18" s="16">
        <v>122314030</v>
      </c>
      <c r="D18" s="16" t="s">
        <v>26</v>
      </c>
      <c r="E18" s="16" t="s">
        <v>92</v>
      </c>
      <c r="F18" s="75" t="s">
        <v>141</v>
      </c>
      <c r="G18" s="75" t="s">
        <v>112</v>
      </c>
      <c r="H18" s="16" t="s">
        <v>210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86">
        <f t="shared" si="39"/>
        <v>126</v>
      </c>
      <c r="BS18" s="87">
        <f t="shared" si="40"/>
        <v>38</v>
      </c>
      <c r="BT18" s="88">
        <f t="shared" si="41"/>
        <v>3.3157894736842106</v>
      </c>
      <c r="BU18" s="95" t="str">
        <f t="shared" si="42"/>
        <v>Sangat Memuaskan</v>
      </c>
      <c r="BV18" s="95" t="str">
        <f t="shared" si="43"/>
        <v>Highly Satisfactory</v>
      </c>
      <c r="BW18" s="95" t="s">
        <v>170</v>
      </c>
    </row>
    <row r="19" spans="1:75" ht="30" x14ac:dyDescent="0.25">
      <c r="A19" s="16">
        <v>17</v>
      </c>
      <c r="B19" s="96" t="s">
        <v>43</v>
      </c>
      <c r="C19" s="16">
        <v>122314031</v>
      </c>
      <c r="D19" s="16" t="s">
        <v>26</v>
      </c>
      <c r="E19" s="16" t="s">
        <v>142</v>
      </c>
      <c r="F19" s="75" t="s">
        <v>143</v>
      </c>
      <c r="G19" s="75" t="s">
        <v>113</v>
      </c>
      <c r="H19" s="16" t="s">
        <v>211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86">
        <f t="shared" si="39"/>
        <v>132</v>
      </c>
      <c r="BS19" s="87">
        <f t="shared" si="40"/>
        <v>38</v>
      </c>
      <c r="BT19" s="88">
        <f t="shared" si="41"/>
        <v>3.4736842105263159</v>
      </c>
      <c r="BU19" s="95" t="str">
        <f t="shared" si="42"/>
        <v>Sangat Memuaskan</v>
      </c>
      <c r="BV19" s="95" t="str">
        <f t="shared" si="43"/>
        <v>Highly Satisfactory</v>
      </c>
      <c r="BW19" s="95"/>
    </row>
    <row r="20" spans="1:75" ht="30" x14ac:dyDescent="0.25">
      <c r="A20" s="16">
        <v>18</v>
      </c>
      <c r="B20" s="16" t="s">
        <v>44</v>
      </c>
      <c r="C20" s="16">
        <v>122314032</v>
      </c>
      <c r="D20" s="16" t="s">
        <v>26</v>
      </c>
      <c r="E20" s="95" t="s">
        <v>90</v>
      </c>
      <c r="F20" s="75" t="s">
        <v>91</v>
      </c>
      <c r="G20" s="75" t="s">
        <v>112</v>
      </c>
      <c r="H20" s="16" t="s">
        <v>212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86">
        <f t="shared" si="39"/>
        <v>127</v>
      </c>
      <c r="BS20" s="87">
        <f t="shared" si="40"/>
        <v>38</v>
      </c>
      <c r="BT20" s="88">
        <f t="shared" si="41"/>
        <v>3.3421052631578947</v>
      </c>
      <c r="BU20" s="95" t="str">
        <f t="shared" si="42"/>
        <v>Sangat Memuaskan</v>
      </c>
      <c r="BV20" s="95" t="str">
        <f t="shared" si="43"/>
        <v>Highly Satisfactory</v>
      </c>
      <c r="BW20" s="95" t="s">
        <v>171</v>
      </c>
    </row>
    <row r="21" spans="1:75" ht="30" x14ac:dyDescent="0.25">
      <c r="A21" s="16">
        <v>19</v>
      </c>
      <c r="B21" s="16" t="s">
        <v>45</v>
      </c>
      <c r="C21" s="16">
        <v>122314033</v>
      </c>
      <c r="D21" s="16" t="s">
        <v>26</v>
      </c>
      <c r="E21" s="94" t="s">
        <v>118</v>
      </c>
      <c r="F21" s="75" t="s">
        <v>125</v>
      </c>
      <c r="G21" s="75" t="s">
        <v>113</v>
      </c>
      <c r="H21" s="16" t="s">
        <v>213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86">
        <f t="shared" si="39"/>
        <v>130</v>
      </c>
      <c r="BS21" s="87">
        <f t="shared" si="40"/>
        <v>38</v>
      </c>
      <c r="BT21" s="88">
        <f t="shared" si="41"/>
        <v>3.4210526315789473</v>
      </c>
      <c r="BU21" s="95" t="str">
        <f t="shared" si="42"/>
        <v>Sangat Memuaskan</v>
      </c>
      <c r="BV21" s="95" t="str">
        <f t="shared" si="43"/>
        <v>Highly Satisfactory</v>
      </c>
      <c r="BW21" s="113" t="s">
        <v>172</v>
      </c>
    </row>
    <row r="22" spans="1:75" ht="21.95" customHeight="1" x14ac:dyDescent="0.25">
      <c r="A22" s="16">
        <v>34</v>
      </c>
      <c r="B22" s="16" t="s">
        <v>46</v>
      </c>
      <c r="C22" s="16">
        <v>122314034</v>
      </c>
      <c r="D22" s="16" t="s">
        <v>26</v>
      </c>
      <c r="E22" s="16" t="s">
        <v>144</v>
      </c>
      <c r="F22" s="75" t="s">
        <v>145</v>
      </c>
      <c r="G22" s="75" t="s">
        <v>112</v>
      </c>
      <c r="H22" s="16" t="s">
        <v>214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86">
        <f t="shared" si="39"/>
        <v>139.5</v>
      </c>
      <c r="BS22" s="87">
        <f t="shared" si="40"/>
        <v>38</v>
      </c>
      <c r="BT22" s="88">
        <f t="shared" si="41"/>
        <v>3.6710526315789473</v>
      </c>
      <c r="BU22" s="95" t="str">
        <f t="shared" si="42"/>
        <v>Cum Laude</v>
      </c>
      <c r="BV22" s="95" t="str">
        <f t="shared" si="43"/>
        <v>Excellent</v>
      </c>
      <c r="BW22" s="95" t="s">
        <v>173</v>
      </c>
    </row>
    <row r="23" spans="1:75" ht="30" x14ac:dyDescent="0.25">
      <c r="A23" s="16">
        <v>20</v>
      </c>
      <c r="B23" s="16" t="s">
        <v>47</v>
      </c>
      <c r="C23" s="16">
        <v>122314036</v>
      </c>
      <c r="D23" s="16" t="s">
        <v>26</v>
      </c>
      <c r="E23" s="95" t="s">
        <v>92</v>
      </c>
      <c r="F23" s="75" t="s">
        <v>93</v>
      </c>
      <c r="G23" s="75" t="s">
        <v>112</v>
      </c>
      <c r="H23" s="16" t="s">
        <v>215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93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86">
        <f t="shared" si="39"/>
        <v>128.5</v>
      </c>
      <c r="BS23" s="87">
        <f t="shared" si="40"/>
        <v>38</v>
      </c>
      <c r="BT23" s="88">
        <f t="shared" si="41"/>
        <v>3.3815789473684212</v>
      </c>
      <c r="BU23" s="95" t="str">
        <f t="shared" si="42"/>
        <v>Sangat Memuaskan</v>
      </c>
      <c r="BV23" s="95" t="str">
        <f t="shared" si="43"/>
        <v>Highly Satisfactory</v>
      </c>
      <c r="BW23" s="95" t="s">
        <v>174</v>
      </c>
    </row>
    <row r="24" spans="1:75" ht="30" x14ac:dyDescent="0.25">
      <c r="A24" s="16">
        <v>21</v>
      </c>
      <c r="B24" s="16" t="s">
        <v>48</v>
      </c>
      <c r="C24" s="16">
        <v>122314038</v>
      </c>
      <c r="D24" s="16" t="s">
        <v>26</v>
      </c>
      <c r="E24" s="94" t="s">
        <v>114</v>
      </c>
      <c r="F24" s="75" t="s">
        <v>126</v>
      </c>
      <c r="G24" s="75" t="s">
        <v>113</v>
      </c>
      <c r="H24" s="16" t="s">
        <v>216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93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86">
        <f t="shared" si="39"/>
        <v>131</v>
      </c>
      <c r="BS24" s="87">
        <f t="shared" si="40"/>
        <v>38</v>
      </c>
      <c r="BT24" s="88">
        <f t="shared" si="41"/>
        <v>3.4473684210526314</v>
      </c>
      <c r="BU24" s="95" t="str">
        <f t="shared" si="42"/>
        <v>Sangat Memuaskan</v>
      </c>
      <c r="BV24" s="95" t="str">
        <f t="shared" si="43"/>
        <v>Highly Satisfactory</v>
      </c>
      <c r="BW24" s="95" t="s">
        <v>175</v>
      </c>
    </row>
    <row r="25" spans="1:75" ht="30" x14ac:dyDescent="0.25">
      <c r="A25" s="16">
        <v>22</v>
      </c>
      <c r="B25" s="16" t="s">
        <v>49</v>
      </c>
      <c r="C25" s="16">
        <v>122314039</v>
      </c>
      <c r="D25" s="16" t="s">
        <v>26</v>
      </c>
      <c r="E25" s="94" t="s">
        <v>127</v>
      </c>
      <c r="F25" s="75" t="s">
        <v>128</v>
      </c>
      <c r="G25" s="75" t="s">
        <v>113</v>
      </c>
      <c r="H25" s="16" t="s">
        <v>217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86">
        <f t="shared" si="39"/>
        <v>134</v>
      </c>
      <c r="BS25" s="87">
        <f t="shared" si="40"/>
        <v>38</v>
      </c>
      <c r="BT25" s="88">
        <f t="shared" si="41"/>
        <v>3.5263157894736841</v>
      </c>
      <c r="BU25" s="95" t="str">
        <f t="shared" si="42"/>
        <v>Cum Laude</v>
      </c>
      <c r="BV25" s="95" t="str">
        <f t="shared" si="43"/>
        <v>Excellent</v>
      </c>
      <c r="BW25" s="95" t="s">
        <v>176</v>
      </c>
    </row>
    <row r="26" spans="1:75" ht="30" x14ac:dyDescent="0.25">
      <c r="A26" s="16">
        <v>23</v>
      </c>
      <c r="B26" s="16" t="s">
        <v>50</v>
      </c>
      <c r="C26" s="16">
        <v>122314040</v>
      </c>
      <c r="D26" s="16" t="s">
        <v>26</v>
      </c>
      <c r="E26" s="94" t="s">
        <v>129</v>
      </c>
      <c r="F26" s="75" t="s">
        <v>130</v>
      </c>
      <c r="G26" s="75" t="s">
        <v>113</v>
      </c>
      <c r="H26" s="16" t="s">
        <v>218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89">
        <f t="shared" si="39"/>
        <v>124.5</v>
      </c>
      <c r="BS26" s="84">
        <f t="shared" si="40"/>
        <v>38</v>
      </c>
      <c r="BT26" s="90">
        <f t="shared" si="41"/>
        <v>3.2763157894736841</v>
      </c>
      <c r="BU26" s="95" t="str">
        <f t="shared" si="42"/>
        <v>Sangat Memuaskan</v>
      </c>
      <c r="BV26" s="95" t="str">
        <f t="shared" si="43"/>
        <v>Highly Satisfactory</v>
      </c>
      <c r="BW26" s="95" t="s">
        <v>177</v>
      </c>
    </row>
    <row r="27" spans="1:75" ht="30" x14ac:dyDescent="0.25">
      <c r="A27" s="16">
        <v>24</v>
      </c>
      <c r="B27" s="16" t="s">
        <v>51</v>
      </c>
      <c r="C27" s="16">
        <v>122314041</v>
      </c>
      <c r="D27" s="16" t="s">
        <v>26</v>
      </c>
      <c r="E27" s="16" t="s">
        <v>94</v>
      </c>
      <c r="F27" s="75" t="s">
        <v>95</v>
      </c>
      <c r="G27" s="75" t="s">
        <v>112</v>
      </c>
      <c r="H27" s="16" t="s">
        <v>219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86">
        <f t="shared" si="39"/>
        <v>137.5</v>
      </c>
      <c r="BS27" s="87">
        <f t="shared" si="40"/>
        <v>38</v>
      </c>
      <c r="BT27" s="88">
        <f t="shared" si="41"/>
        <v>3.6184210526315788</v>
      </c>
      <c r="BU27" s="95" t="str">
        <f t="shared" si="42"/>
        <v>Cum Laude</v>
      </c>
      <c r="BV27" s="95" t="str">
        <f t="shared" si="43"/>
        <v>Excellent</v>
      </c>
      <c r="BW27" s="95" t="s">
        <v>178</v>
      </c>
    </row>
    <row r="28" spans="1:75" ht="30" x14ac:dyDescent="0.25">
      <c r="A28" s="16">
        <v>25</v>
      </c>
      <c r="B28" s="16" t="s">
        <v>52</v>
      </c>
      <c r="C28" s="16">
        <v>122314043</v>
      </c>
      <c r="D28" s="16" t="s">
        <v>26</v>
      </c>
      <c r="E28" s="16" t="s">
        <v>118</v>
      </c>
      <c r="F28" s="75" t="s">
        <v>146</v>
      </c>
      <c r="G28" s="75" t="s">
        <v>113</v>
      </c>
      <c r="H28" s="16" t="s">
        <v>220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86">
        <f t="shared" si="39"/>
        <v>128.5</v>
      </c>
      <c r="BS28" s="87">
        <f t="shared" si="40"/>
        <v>38</v>
      </c>
      <c r="BT28" s="88">
        <f t="shared" si="41"/>
        <v>3.3815789473684212</v>
      </c>
      <c r="BU28" s="95" t="str">
        <f t="shared" si="42"/>
        <v>Sangat Memuaskan</v>
      </c>
      <c r="BV28" s="95" t="str">
        <f t="shared" si="43"/>
        <v>Highly Satisfactory</v>
      </c>
      <c r="BW28" s="95" t="s">
        <v>179</v>
      </c>
    </row>
    <row r="29" spans="1:75" ht="30" x14ac:dyDescent="0.25">
      <c r="A29" s="16">
        <v>26</v>
      </c>
      <c r="B29" s="16" t="s">
        <v>53</v>
      </c>
      <c r="C29" s="16">
        <v>122314044</v>
      </c>
      <c r="D29" s="16" t="s">
        <v>26</v>
      </c>
      <c r="E29" s="16" t="s">
        <v>147</v>
      </c>
      <c r="F29" s="75" t="s">
        <v>148</v>
      </c>
      <c r="G29" s="75" t="s">
        <v>112</v>
      </c>
      <c r="H29" s="16" t="s">
        <v>221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86">
        <f t="shared" si="39"/>
        <v>134</v>
      </c>
      <c r="BS29" s="87">
        <f t="shared" si="40"/>
        <v>38</v>
      </c>
      <c r="BT29" s="88">
        <f t="shared" si="41"/>
        <v>3.5263157894736841</v>
      </c>
      <c r="BU29" s="95" t="str">
        <f t="shared" si="42"/>
        <v>Cum Laude</v>
      </c>
      <c r="BV29" s="95" t="str">
        <f t="shared" si="43"/>
        <v>Excellent</v>
      </c>
      <c r="BW29" s="95" t="s">
        <v>180</v>
      </c>
    </row>
    <row r="30" spans="1:75" ht="30" x14ac:dyDescent="0.25">
      <c r="A30" s="16">
        <v>27</v>
      </c>
      <c r="B30" s="96" t="s">
        <v>54</v>
      </c>
      <c r="C30" s="16">
        <v>122314045</v>
      </c>
      <c r="D30" s="16" t="s">
        <v>26</v>
      </c>
      <c r="E30" s="94" t="s">
        <v>131</v>
      </c>
      <c r="F30" s="75" t="s">
        <v>132</v>
      </c>
      <c r="G30" s="75" t="s">
        <v>113</v>
      </c>
      <c r="H30" s="16" t="s">
        <v>222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86">
        <f t="shared" si="39"/>
        <v>126.5</v>
      </c>
      <c r="BS30" s="87">
        <f t="shared" si="40"/>
        <v>38</v>
      </c>
      <c r="BT30" s="88">
        <f t="shared" si="41"/>
        <v>3.3289473684210527</v>
      </c>
      <c r="BU30" s="95" t="str">
        <f t="shared" si="42"/>
        <v>Sangat Memuaskan</v>
      </c>
      <c r="BV30" s="95" t="str">
        <f t="shared" si="43"/>
        <v>Highly Satisfactory</v>
      </c>
      <c r="BW30" s="95"/>
    </row>
    <row r="31" spans="1:75" ht="30" x14ac:dyDescent="0.25">
      <c r="A31" s="16">
        <v>28</v>
      </c>
      <c r="B31" s="16" t="s">
        <v>55</v>
      </c>
      <c r="C31" s="16">
        <v>122314046</v>
      </c>
      <c r="D31" s="16" t="s">
        <v>26</v>
      </c>
      <c r="E31" s="94" t="s">
        <v>133</v>
      </c>
      <c r="F31" s="75" t="s">
        <v>134</v>
      </c>
      <c r="G31" s="75" t="s">
        <v>113</v>
      </c>
      <c r="H31" s="16" t="s">
        <v>223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86">
        <f t="shared" si="39"/>
        <v>130</v>
      </c>
      <c r="BS31" s="87">
        <f t="shared" si="40"/>
        <v>38</v>
      </c>
      <c r="BT31" s="88">
        <f t="shared" si="41"/>
        <v>3.4210526315789473</v>
      </c>
      <c r="BU31" s="95" t="str">
        <f t="shared" si="42"/>
        <v>Sangat Memuaskan</v>
      </c>
      <c r="BV31" s="95" t="str">
        <f t="shared" si="43"/>
        <v>Highly Satisfactory</v>
      </c>
      <c r="BW31" s="95" t="s">
        <v>181</v>
      </c>
    </row>
    <row r="32" spans="1:75" ht="30" x14ac:dyDescent="0.25">
      <c r="A32" s="16">
        <v>29</v>
      </c>
      <c r="B32" s="96" t="s">
        <v>56</v>
      </c>
      <c r="C32" s="16">
        <v>122314047</v>
      </c>
      <c r="D32" s="16" t="s">
        <v>26</v>
      </c>
      <c r="E32" s="16" t="s">
        <v>118</v>
      </c>
      <c r="F32" s="75" t="s">
        <v>149</v>
      </c>
      <c r="G32" s="75" t="s">
        <v>112</v>
      </c>
      <c r="H32" s="16" t="s">
        <v>224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86">
        <f t="shared" si="39"/>
        <v>128</v>
      </c>
      <c r="BS32" s="87">
        <f t="shared" si="40"/>
        <v>38</v>
      </c>
      <c r="BT32" s="88">
        <f t="shared" si="41"/>
        <v>3.3684210526315788</v>
      </c>
      <c r="BU32" s="95" t="str">
        <f t="shared" si="42"/>
        <v>Sangat Memuaskan</v>
      </c>
      <c r="BV32" s="95" t="str">
        <f t="shared" si="43"/>
        <v>Highly Satisfactory</v>
      </c>
      <c r="BW32" s="95"/>
    </row>
    <row r="33" spans="1:75" ht="30" x14ac:dyDescent="0.25">
      <c r="A33" s="16">
        <v>30</v>
      </c>
      <c r="B33" s="16" t="s">
        <v>57</v>
      </c>
      <c r="C33" s="16">
        <v>122314048</v>
      </c>
      <c r="D33" s="16" t="s">
        <v>26</v>
      </c>
      <c r="E33" s="16" t="s">
        <v>150</v>
      </c>
      <c r="F33" s="75" t="s">
        <v>151</v>
      </c>
      <c r="G33" s="75" t="s">
        <v>112</v>
      </c>
      <c r="H33" s="16" t="s">
        <v>225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89">
        <f t="shared" si="39"/>
        <v>134.5</v>
      </c>
      <c r="BS33" s="84">
        <f t="shared" si="40"/>
        <v>38</v>
      </c>
      <c r="BT33" s="90">
        <f t="shared" si="41"/>
        <v>3.5394736842105261</v>
      </c>
      <c r="BU33" s="95" t="str">
        <f t="shared" si="42"/>
        <v>Cum Laude</v>
      </c>
      <c r="BV33" s="95" t="str">
        <f t="shared" si="43"/>
        <v>Excellent</v>
      </c>
      <c r="BW33" s="95" t="s">
        <v>182</v>
      </c>
    </row>
    <row r="34" spans="1:75" ht="30" x14ac:dyDescent="0.25">
      <c r="A34" s="16">
        <v>31</v>
      </c>
      <c r="B34" s="16" t="s">
        <v>58</v>
      </c>
      <c r="C34" s="16">
        <v>122314049</v>
      </c>
      <c r="D34" s="16" t="s">
        <v>26</v>
      </c>
      <c r="E34" s="16" t="s">
        <v>152</v>
      </c>
      <c r="F34" s="75" t="s">
        <v>153</v>
      </c>
      <c r="G34" s="75" t="s">
        <v>113</v>
      </c>
      <c r="H34" s="16" t="s">
        <v>226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86">
        <f t="shared" si="39"/>
        <v>129.5</v>
      </c>
      <c r="BS34" s="87">
        <f t="shared" si="40"/>
        <v>38</v>
      </c>
      <c r="BT34" s="88">
        <f t="shared" si="41"/>
        <v>3.4078947368421053</v>
      </c>
      <c r="BU34" s="95" t="str">
        <f t="shared" si="42"/>
        <v>Sangat Memuaskan</v>
      </c>
      <c r="BV34" s="95" t="str">
        <f t="shared" si="43"/>
        <v>Highly Satisfactory</v>
      </c>
      <c r="BW34" s="95" t="s">
        <v>183</v>
      </c>
    </row>
    <row r="35" spans="1:75" ht="30" x14ac:dyDescent="0.25">
      <c r="A35" s="16">
        <v>32</v>
      </c>
      <c r="B35" s="16" t="s">
        <v>59</v>
      </c>
      <c r="C35" s="16">
        <v>122314061</v>
      </c>
      <c r="D35" s="16" t="s">
        <v>26</v>
      </c>
      <c r="E35" s="95" t="s">
        <v>96</v>
      </c>
      <c r="F35" s="75" t="s">
        <v>97</v>
      </c>
      <c r="G35" s="75" t="s">
        <v>112</v>
      </c>
      <c r="H35" s="16" t="s">
        <v>227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86">
        <f t="shared" si="39"/>
        <v>136.5</v>
      </c>
      <c r="BS35" s="87">
        <f t="shared" si="40"/>
        <v>38</v>
      </c>
      <c r="BT35" s="88">
        <f t="shared" si="41"/>
        <v>3.5921052631578947</v>
      </c>
      <c r="BU35" s="95" t="str">
        <f t="shared" si="42"/>
        <v>Cum Laude</v>
      </c>
      <c r="BV35" s="95" t="str">
        <f t="shared" si="43"/>
        <v>Excellent</v>
      </c>
      <c r="BW35" s="113" t="s">
        <v>184</v>
      </c>
    </row>
    <row r="36" spans="1:75" ht="30" x14ac:dyDescent="0.25">
      <c r="A36" s="16">
        <v>33</v>
      </c>
      <c r="B36" s="16" t="s">
        <v>60</v>
      </c>
      <c r="C36" s="16">
        <v>122314062</v>
      </c>
      <c r="D36" s="16" t="s">
        <v>26</v>
      </c>
      <c r="E36" s="95" t="s">
        <v>98</v>
      </c>
      <c r="F36" s="75" t="s">
        <v>99</v>
      </c>
      <c r="G36" s="75" t="s">
        <v>112</v>
      </c>
      <c r="H36" s="16" t="s">
        <v>228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86">
        <f t="shared" si="39"/>
        <v>140</v>
      </c>
      <c r="BS36" s="87">
        <f t="shared" si="40"/>
        <v>38</v>
      </c>
      <c r="BT36" s="88">
        <f t="shared" si="41"/>
        <v>3.6842105263157894</v>
      </c>
      <c r="BU36" s="95" t="str">
        <f t="shared" si="42"/>
        <v>Cum Laude</v>
      </c>
      <c r="BV36" s="95" t="str">
        <f t="shared" si="43"/>
        <v>Excellent</v>
      </c>
      <c r="BW36" s="95" t="s">
        <v>185</v>
      </c>
    </row>
    <row r="37" spans="1:75" ht="30" x14ac:dyDescent="0.25">
      <c r="A37" s="16">
        <v>34</v>
      </c>
      <c r="B37" s="16" t="s">
        <v>61</v>
      </c>
      <c r="C37" s="16">
        <v>122314064</v>
      </c>
      <c r="D37" s="16" t="s">
        <v>26</v>
      </c>
      <c r="E37" s="95" t="s">
        <v>100</v>
      </c>
      <c r="F37" s="75" t="s">
        <v>101</v>
      </c>
      <c r="G37" s="75" t="s">
        <v>112</v>
      </c>
      <c r="H37" s="16" t="s">
        <v>229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86">
        <f t="shared" si="39"/>
        <v>137</v>
      </c>
      <c r="BS37" s="87">
        <f t="shared" si="40"/>
        <v>38</v>
      </c>
      <c r="BT37" s="88">
        <f t="shared" si="41"/>
        <v>3.6052631578947367</v>
      </c>
      <c r="BU37" s="95" t="str">
        <f t="shared" si="42"/>
        <v>Cum Laude</v>
      </c>
      <c r="BV37" s="95" t="str">
        <f t="shared" si="43"/>
        <v>Excellent</v>
      </c>
      <c r="BW37" s="113" t="s">
        <v>186</v>
      </c>
    </row>
    <row r="38" spans="1:75" ht="30" x14ac:dyDescent="0.25">
      <c r="A38" s="16">
        <v>35</v>
      </c>
      <c r="B38" s="16" t="s">
        <v>62</v>
      </c>
      <c r="C38" s="16">
        <v>122314065</v>
      </c>
      <c r="D38" s="16" t="s">
        <v>26</v>
      </c>
      <c r="E38" s="95" t="s">
        <v>102</v>
      </c>
      <c r="F38" s="75" t="s">
        <v>103</v>
      </c>
      <c r="G38" s="75" t="s">
        <v>112</v>
      </c>
      <c r="H38" s="16" t="s">
        <v>230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86">
        <f t="shared" si="39"/>
        <v>134.5</v>
      </c>
      <c r="BS38" s="87">
        <f t="shared" si="40"/>
        <v>38</v>
      </c>
      <c r="BT38" s="88">
        <f t="shared" si="41"/>
        <v>3.5394736842105261</v>
      </c>
      <c r="BU38" s="95" t="str">
        <f t="shared" si="42"/>
        <v>Cum Laude</v>
      </c>
      <c r="BV38" s="95" t="str">
        <f t="shared" si="43"/>
        <v>Excellent</v>
      </c>
      <c r="BW38" s="95" t="s">
        <v>187</v>
      </c>
    </row>
    <row r="39" spans="1:75" ht="30" x14ac:dyDescent="0.25">
      <c r="A39" s="16">
        <v>36</v>
      </c>
      <c r="B39" s="16" t="s">
        <v>63</v>
      </c>
      <c r="C39" s="16">
        <v>122314066</v>
      </c>
      <c r="D39" s="16" t="s">
        <v>26</v>
      </c>
      <c r="E39" s="16" t="s">
        <v>154</v>
      </c>
      <c r="F39" s="75" t="s">
        <v>155</v>
      </c>
      <c r="G39" s="75" t="s">
        <v>112</v>
      </c>
      <c r="H39" s="16" t="s">
        <v>231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86">
        <f t="shared" si="39"/>
        <v>130.5</v>
      </c>
      <c r="BS39" s="87">
        <f t="shared" si="40"/>
        <v>38</v>
      </c>
      <c r="BT39" s="88">
        <f t="shared" ref="BT39:BT47" si="80">BR39/BS39</f>
        <v>3.4342105263157894</v>
      </c>
      <c r="BU39" s="95" t="str">
        <f t="shared" si="42"/>
        <v>Sangat Memuaskan</v>
      </c>
      <c r="BV39" s="95" t="str">
        <f t="shared" si="43"/>
        <v>Highly Satisfactory</v>
      </c>
      <c r="BW39" s="95" t="s">
        <v>188</v>
      </c>
    </row>
    <row r="40" spans="1:75" ht="30" x14ac:dyDescent="0.25">
      <c r="A40" s="16">
        <v>37</v>
      </c>
      <c r="B40" s="16" t="s">
        <v>64</v>
      </c>
      <c r="C40" s="16">
        <v>122314068</v>
      </c>
      <c r="D40" s="16" t="s">
        <v>26</v>
      </c>
      <c r="E40" s="94" t="s">
        <v>135</v>
      </c>
      <c r="F40" s="75" t="s">
        <v>136</v>
      </c>
      <c r="G40" s="75" t="s">
        <v>113</v>
      </c>
      <c r="H40" s="16" t="s">
        <v>232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91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65</v>
      </c>
      <c r="AY40" s="65">
        <f t="shared" si="71"/>
        <v>3</v>
      </c>
      <c r="AZ40" s="64">
        <v>3</v>
      </c>
      <c r="BA40" s="64">
        <f t="shared" si="72"/>
        <v>9</v>
      </c>
      <c r="BB40" s="91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91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92">
        <f t="shared" si="39"/>
        <v>117.5</v>
      </c>
      <c r="BS40" s="71">
        <f t="shared" si="40"/>
        <v>38</v>
      </c>
      <c r="BT40" s="71">
        <f t="shared" si="80"/>
        <v>3.0921052631578947</v>
      </c>
      <c r="BU40" s="95" t="str">
        <f t="shared" si="42"/>
        <v>Sangat Memuaskan</v>
      </c>
      <c r="BV40" s="95" t="str">
        <f t="shared" si="43"/>
        <v>Highly Satisfactory</v>
      </c>
      <c r="BW40" s="95" t="s">
        <v>242</v>
      </c>
    </row>
    <row r="41" spans="1:75" ht="30" x14ac:dyDescent="0.25">
      <c r="A41" s="16">
        <v>38</v>
      </c>
      <c r="B41" s="16" t="s">
        <v>66</v>
      </c>
      <c r="C41" s="16">
        <v>122314069</v>
      </c>
      <c r="D41" s="16" t="s">
        <v>26</v>
      </c>
      <c r="E41" s="16" t="s">
        <v>96</v>
      </c>
      <c r="F41" s="75" t="s">
        <v>156</v>
      </c>
      <c r="G41" s="75" t="s">
        <v>112</v>
      </c>
      <c r="H41" s="16" t="s">
        <v>233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86">
        <f t="shared" si="39"/>
        <v>137.5</v>
      </c>
      <c r="BS41" s="87">
        <f t="shared" si="40"/>
        <v>38</v>
      </c>
      <c r="BT41" s="88">
        <f t="shared" si="80"/>
        <v>3.6184210526315788</v>
      </c>
      <c r="BU41" s="95" t="str">
        <f t="shared" si="42"/>
        <v>Cum Laude</v>
      </c>
      <c r="BV41" s="95" t="str">
        <f t="shared" si="43"/>
        <v>Excellent</v>
      </c>
      <c r="BW41" s="95" t="s">
        <v>189</v>
      </c>
    </row>
    <row r="42" spans="1:75" ht="30" x14ac:dyDescent="0.25">
      <c r="A42" s="16">
        <v>39</v>
      </c>
      <c r="B42" s="16" t="s">
        <v>67</v>
      </c>
      <c r="C42" s="16">
        <v>122314070</v>
      </c>
      <c r="D42" s="16" t="s">
        <v>26</v>
      </c>
      <c r="E42" s="95" t="s">
        <v>96</v>
      </c>
      <c r="F42" s="75" t="s">
        <v>104</v>
      </c>
      <c r="G42" s="75" t="s">
        <v>112</v>
      </c>
      <c r="H42" s="16" t="s">
        <v>234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86">
        <f t="shared" si="39"/>
        <v>139.5</v>
      </c>
      <c r="BS42" s="87">
        <f t="shared" si="40"/>
        <v>38</v>
      </c>
      <c r="BT42" s="88">
        <f t="shared" si="80"/>
        <v>3.6710526315789473</v>
      </c>
      <c r="BU42" s="95" t="str">
        <f t="shared" si="42"/>
        <v>Cum Laude</v>
      </c>
      <c r="BV42" s="95" t="str">
        <f t="shared" si="43"/>
        <v>Excellent</v>
      </c>
      <c r="BW42" s="95" t="s">
        <v>190</v>
      </c>
    </row>
    <row r="43" spans="1:75" ht="30" x14ac:dyDescent="0.25">
      <c r="A43" s="16">
        <v>40</v>
      </c>
      <c r="B43" s="16" t="s">
        <v>68</v>
      </c>
      <c r="C43" s="16">
        <v>122314089</v>
      </c>
      <c r="D43" s="16" t="s">
        <v>26</v>
      </c>
      <c r="E43" s="95" t="s">
        <v>96</v>
      </c>
      <c r="F43" s="75" t="s">
        <v>105</v>
      </c>
      <c r="G43" s="75" t="s">
        <v>112</v>
      </c>
      <c r="H43" s="16" t="s">
        <v>235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86">
        <f t="shared" si="39"/>
        <v>133.5</v>
      </c>
      <c r="BS43" s="87">
        <f t="shared" si="40"/>
        <v>38</v>
      </c>
      <c r="BT43" s="88">
        <f t="shared" si="80"/>
        <v>3.513157894736842</v>
      </c>
      <c r="BU43" s="95" t="str">
        <f t="shared" si="42"/>
        <v>Cum Laude</v>
      </c>
      <c r="BV43" s="95" t="str">
        <f t="shared" si="43"/>
        <v>Excellent</v>
      </c>
      <c r="BW43" s="95" t="s">
        <v>191</v>
      </c>
    </row>
    <row r="44" spans="1:75" ht="30" x14ac:dyDescent="0.25">
      <c r="A44" s="16">
        <v>41</v>
      </c>
      <c r="B44" s="96" t="s">
        <v>69</v>
      </c>
      <c r="C44" s="16">
        <v>122314090</v>
      </c>
      <c r="D44" s="16" t="s">
        <v>26</v>
      </c>
      <c r="E44" s="95" t="s">
        <v>106</v>
      </c>
      <c r="F44" s="75" t="s">
        <v>107</v>
      </c>
      <c r="G44" s="75" t="s">
        <v>112</v>
      </c>
      <c r="H44" s="16" t="s">
        <v>236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86">
        <f t="shared" si="39"/>
        <v>128.5</v>
      </c>
      <c r="BS44" s="87">
        <f t="shared" si="40"/>
        <v>38</v>
      </c>
      <c r="BT44" s="88">
        <f t="shared" si="80"/>
        <v>3.3815789473684212</v>
      </c>
      <c r="BU44" s="95" t="str">
        <f t="shared" si="42"/>
        <v>Sangat Memuaskan</v>
      </c>
      <c r="BV44" s="95" t="str">
        <f t="shared" si="43"/>
        <v>Highly Satisfactory</v>
      </c>
      <c r="BW44" s="95" t="s">
        <v>241</v>
      </c>
    </row>
    <row r="45" spans="1:75" ht="30" x14ac:dyDescent="0.25">
      <c r="A45" s="16">
        <v>42</v>
      </c>
      <c r="B45" s="16" t="s">
        <v>70</v>
      </c>
      <c r="C45" s="16">
        <v>122314091</v>
      </c>
      <c r="D45" s="16" t="s">
        <v>26</v>
      </c>
      <c r="E45" s="95" t="s">
        <v>108</v>
      </c>
      <c r="F45" s="75" t="s">
        <v>109</v>
      </c>
      <c r="G45" s="75" t="s">
        <v>112</v>
      </c>
      <c r="H45" s="16" t="s">
        <v>237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89">
        <f t="shared" si="39"/>
        <v>135</v>
      </c>
      <c r="BS45" s="84">
        <f t="shared" si="40"/>
        <v>38</v>
      </c>
      <c r="BT45" s="90">
        <f t="shared" si="80"/>
        <v>3.5526315789473686</v>
      </c>
      <c r="BU45" s="95" t="str">
        <f t="shared" si="42"/>
        <v>Cum Laude</v>
      </c>
      <c r="BV45" s="95" t="str">
        <f t="shared" si="43"/>
        <v>Excellent</v>
      </c>
      <c r="BW45" s="95" t="s">
        <v>192</v>
      </c>
    </row>
    <row r="46" spans="1:75" ht="30" x14ac:dyDescent="0.25">
      <c r="A46" s="16">
        <v>43</v>
      </c>
      <c r="B46" s="16" t="s">
        <v>71</v>
      </c>
      <c r="C46" s="16">
        <v>122314095</v>
      </c>
      <c r="D46" s="16" t="s">
        <v>26</v>
      </c>
      <c r="E46" s="95" t="s">
        <v>96</v>
      </c>
      <c r="F46" s="75" t="s">
        <v>110</v>
      </c>
      <c r="G46" s="75" t="s">
        <v>112</v>
      </c>
      <c r="H46" s="16" t="s">
        <v>238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86">
        <f t="shared" si="39"/>
        <v>140.5</v>
      </c>
      <c r="BS46" s="87">
        <f t="shared" si="40"/>
        <v>38</v>
      </c>
      <c r="BT46" s="88">
        <f t="shared" si="80"/>
        <v>3.6973684210526314</v>
      </c>
      <c r="BU46" s="95" t="str">
        <f t="shared" si="42"/>
        <v>Cum Laude</v>
      </c>
      <c r="BV46" s="95" t="str">
        <f t="shared" si="43"/>
        <v>Excellent</v>
      </c>
      <c r="BW46" s="95" t="s">
        <v>193</v>
      </c>
    </row>
    <row r="47" spans="1:75" ht="30" x14ac:dyDescent="0.25">
      <c r="A47" s="16">
        <v>44</v>
      </c>
      <c r="B47" s="16" t="s">
        <v>72</v>
      </c>
      <c r="C47" s="16">
        <v>122314096</v>
      </c>
      <c r="D47" s="16" t="s">
        <v>26</v>
      </c>
      <c r="E47" s="95" t="s">
        <v>96</v>
      </c>
      <c r="F47" s="75" t="s">
        <v>111</v>
      </c>
      <c r="G47" s="75" t="s">
        <v>112</v>
      </c>
      <c r="H47" s="16" t="s">
        <v>239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86">
        <f t="shared" si="39"/>
        <v>132.5</v>
      </c>
      <c r="BS47" s="87">
        <f t="shared" si="40"/>
        <v>38</v>
      </c>
      <c r="BT47" s="88">
        <f t="shared" si="80"/>
        <v>3.486842105263158</v>
      </c>
      <c r="BU47" s="95" t="str">
        <f t="shared" si="42"/>
        <v>Sangat Memuaskan</v>
      </c>
      <c r="BV47" s="95" t="str">
        <f t="shared" si="43"/>
        <v>Highly Satisfactory</v>
      </c>
      <c r="BW47" s="113" t="s">
        <v>194</v>
      </c>
    </row>
  </sheetData>
  <mergeCells count="29">
    <mergeCell ref="BU1:BU2"/>
    <mergeCell ref="BV1:BV2"/>
    <mergeCell ref="BW1:BW2"/>
    <mergeCell ref="BO1:BO2"/>
    <mergeCell ref="BP1:BP2"/>
    <mergeCell ref="BQ1:BQ2"/>
    <mergeCell ref="BT1:BT2"/>
    <mergeCell ref="S1:W1"/>
    <mergeCell ref="X1:AB1"/>
    <mergeCell ref="AC1:AG1"/>
    <mergeCell ref="AH1:AL1"/>
    <mergeCell ref="BL1:BL2"/>
    <mergeCell ref="BN1:BN2"/>
    <mergeCell ref="AM1:AQ1"/>
    <mergeCell ref="AR1:AV1"/>
    <mergeCell ref="AW1:BA1"/>
    <mergeCell ref="BB1:BF1"/>
    <mergeCell ref="BG1:BK1"/>
    <mergeCell ref="BM1:BM2"/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2025-12-01T09:21:34Z</dcterms:modified>
</cp:coreProperties>
</file>