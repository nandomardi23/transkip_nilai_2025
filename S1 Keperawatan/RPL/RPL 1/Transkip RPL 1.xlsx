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cuments\Stikes\transkip_nilai_2025\S1 Keperawatan\RPL\RPL 1\"/>
    </mc:Choice>
  </mc:AlternateContent>
  <xr:revisionPtr revIDLastSave="0" documentId="13_ncr:1_{D0D2D8BB-BC75-46DE-94E0-A494B1FD8CE6}" xr6:coauthVersionLast="47" xr6:coauthVersionMax="47" xr10:uidLastSave="{00000000-0000-0000-0000-000000000000}"/>
  <bookViews>
    <workbookView xWindow="-120" yWindow="-120" windowWidth="29040" windowHeight="15720" xr2:uid="{C623B17B-F356-4211-B3E1-9052FF0B64E1}"/>
  </bookViews>
  <sheets>
    <sheet name="Transk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W4" i="1" l="1"/>
  <c r="EW5" i="1"/>
  <c r="EW6" i="1"/>
  <c r="EW7" i="1"/>
  <c r="EW8" i="1"/>
  <c r="EW9" i="1"/>
  <c r="EW10" i="1"/>
  <c r="EW11" i="1"/>
  <c r="EW12" i="1"/>
  <c r="EW13" i="1"/>
  <c r="EW14" i="1"/>
  <c r="EW15" i="1"/>
  <c r="EW16" i="1"/>
  <c r="EW3" i="1"/>
  <c r="EN4" i="1"/>
  <c r="EO4" i="1"/>
  <c r="EQ4" i="1" s="1"/>
  <c r="EN5" i="1"/>
  <c r="EO5" i="1" s="1"/>
  <c r="EQ5" i="1" s="1"/>
  <c r="EN6" i="1"/>
  <c r="EO6" i="1" s="1"/>
  <c r="EQ6" i="1" s="1"/>
  <c r="EN7" i="1"/>
  <c r="EO7" i="1" s="1"/>
  <c r="EQ7" i="1" s="1"/>
  <c r="EN8" i="1"/>
  <c r="EO8" i="1" s="1"/>
  <c r="EQ8" i="1" s="1"/>
  <c r="EN9" i="1"/>
  <c r="EO9" i="1" s="1"/>
  <c r="EQ9" i="1" s="1"/>
  <c r="EN10" i="1"/>
  <c r="EO10" i="1" s="1"/>
  <c r="EQ10" i="1" s="1"/>
  <c r="EN11" i="1"/>
  <c r="EO11" i="1" s="1"/>
  <c r="EQ11" i="1" s="1"/>
  <c r="EN12" i="1"/>
  <c r="EO12" i="1" s="1"/>
  <c r="EQ12" i="1" s="1"/>
  <c r="EN13" i="1"/>
  <c r="EO13" i="1" s="1"/>
  <c r="EQ13" i="1" s="1"/>
  <c r="EN14" i="1"/>
  <c r="EO14" i="1" s="1"/>
  <c r="EQ14" i="1" s="1"/>
  <c r="EN15" i="1"/>
  <c r="EO15" i="1" s="1"/>
  <c r="EQ15" i="1" s="1"/>
  <c r="EN16" i="1"/>
  <c r="EO16" i="1"/>
  <c r="EQ16" i="1" s="1"/>
  <c r="EN3" i="1"/>
  <c r="EO3" i="1" s="1"/>
  <c r="EQ3" i="1" s="1"/>
  <c r="EI4" i="1"/>
  <c r="EJ4" i="1"/>
  <c r="EL4" i="1" s="1"/>
  <c r="EI5" i="1"/>
  <c r="EJ5" i="1" s="1"/>
  <c r="EL5" i="1" s="1"/>
  <c r="EI6" i="1"/>
  <c r="EJ6" i="1" s="1"/>
  <c r="EL6" i="1" s="1"/>
  <c r="EI7" i="1"/>
  <c r="EJ7" i="1" s="1"/>
  <c r="EL7" i="1" s="1"/>
  <c r="EI8" i="1"/>
  <c r="EJ8" i="1" s="1"/>
  <c r="EL8" i="1" s="1"/>
  <c r="EI9" i="1"/>
  <c r="EJ9" i="1"/>
  <c r="EL9" i="1" s="1"/>
  <c r="EI10" i="1"/>
  <c r="EJ10" i="1"/>
  <c r="EL10" i="1" s="1"/>
  <c r="EI11" i="1"/>
  <c r="EJ11" i="1"/>
  <c r="EL11" i="1" s="1"/>
  <c r="EI12" i="1"/>
  <c r="EJ12" i="1" s="1"/>
  <c r="EL12" i="1" s="1"/>
  <c r="EI13" i="1"/>
  <c r="EJ13" i="1"/>
  <c r="EL13" i="1" s="1"/>
  <c r="EI14" i="1"/>
  <c r="EJ14" i="1" s="1"/>
  <c r="EL14" i="1" s="1"/>
  <c r="EI15" i="1"/>
  <c r="EJ15" i="1" s="1"/>
  <c r="EL15" i="1" s="1"/>
  <c r="EI16" i="1"/>
  <c r="EJ16" i="1" s="1"/>
  <c r="EL16" i="1" s="1"/>
  <c r="EI3" i="1"/>
  <c r="EJ3" i="1" s="1"/>
  <c r="EL3" i="1" s="1"/>
  <c r="EG7" i="1"/>
  <c r="EG9" i="1"/>
  <c r="EG13" i="1"/>
  <c r="EG3" i="1"/>
  <c r="ED4" i="1"/>
  <c r="EE4" i="1" s="1"/>
  <c r="EG4" i="1" s="1"/>
  <c r="ED5" i="1"/>
  <c r="EE5" i="1" s="1"/>
  <c r="EG5" i="1" s="1"/>
  <c r="ED6" i="1"/>
  <c r="EE6" i="1" s="1"/>
  <c r="EG6" i="1" s="1"/>
  <c r="ED7" i="1"/>
  <c r="EE7" i="1" s="1"/>
  <c r="ED8" i="1"/>
  <c r="EE8" i="1" s="1"/>
  <c r="EG8" i="1" s="1"/>
  <c r="ED9" i="1"/>
  <c r="EE9" i="1"/>
  <c r="ED10" i="1"/>
  <c r="EE10" i="1" s="1"/>
  <c r="EG10" i="1" s="1"/>
  <c r="ED11" i="1"/>
  <c r="EE11" i="1" s="1"/>
  <c r="EG11" i="1" s="1"/>
  <c r="ED12" i="1"/>
  <c r="EE12" i="1" s="1"/>
  <c r="EG12" i="1" s="1"/>
  <c r="ED13" i="1"/>
  <c r="EE13" i="1" s="1"/>
  <c r="ED14" i="1"/>
  <c r="EE14" i="1" s="1"/>
  <c r="EG14" i="1" s="1"/>
  <c r="ED15" i="1"/>
  <c r="EE15" i="1" s="1"/>
  <c r="EG15" i="1" s="1"/>
  <c r="ED16" i="1"/>
  <c r="EE16" i="1" s="1"/>
  <c r="EG16" i="1" s="1"/>
  <c r="ED3" i="1"/>
  <c r="EE3" i="1" s="1"/>
  <c r="DY4" i="1"/>
  <c r="DZ4" i="1" s="1"/>
  <c r="EB4" i="1" s="1"/>
  <c r="DY5" i="1"/>
  <c r="DZ5" i="1" s="1"/>
  <c r="EB5" i="1" s="1"/>
  <c r="DY6" i="1"/>
  <c r="DZ6" i="1" s="1"/>
  <c r="EB6" i="1" s="1"/>
  <c r="DY7" i="1"/>
  <c r="DZ7" i="1"/>
  <c r="EB7" i="1" s="1"/>
  <c r="DY8" i="1"/>
  <c r="DZ8" i="1" s="1"/>
  <c r="EB8" i="1" s="1"/>
  <c r="DY9" i="1"/>
  <c r="DZ9" i="1"/>
  <c r="EB9" i="1" s="1"/>
  <c r="DY10" i="1"/>
  <c r="DZ10" i="1"/>
  <c r="EB10" i="1" s="1"/>
  <c r="DY11" i="1"/>
  <c r="DZ11" i="1"/>
  <c r="EB11" i="1" s="1"/>
  <c r="DY12" i="1"/>
  <c r="DZ12" i="1" s="1"/>
  <c r="EB12" i="1" s="1"/>
  <c r="DY13" i="1"/>
  <c r="DZ13" i="1" s="1"/>
  <c r="EB13" i="1" s="1"/>
  <c r="DY14" i="1"/>
  <c r="DZ14" i="1" s="1"/>
  <c r="EB14" i="1" s="1"/>
  <c r="DY15" i="1"/>
  <c r="DZ15" i="1" s="1"/>
  <c r="EB15" i="1" s="1"/>
  <c r="DY16" i="1"/>
  <c r="DZ16" i="1"/>
  <c r="EB16" i="1" s="1"/>
  <c r="DY3" i="1"/>
  <c r="DZ3" i="1" s="1"/>
  <c r="EB3" i="1" s="1"/>
  <c r="DW10" i="1"/>
  <c r="DT4" i="1"/>
  <c r="DU4" i="1" s="1"/>
  <c r="DW4" i="1" s="1"/>
  <c r="DT5" i="1"/>
  <c r="DU5" i="1"/>
  <c r="DW5" i="1" s="1"/>
  <c r="DT6" i="1"/>
  <c r="DU6" i="1" s="1"/>
  <c r="DW6" i="1" s="1"/>
  <c r="DT7" i="1"/>
  <c r="DU7" i="1" s="1"/>
  <c r="DW7" i="1" s="1"/>
  <c r="DT8" i="1"/>
  <c r="DU8" i="1"/>
  <c r="DW8" i="1" s="1"/>
  <c r="DT9" i="1"/>
  <c r="DU9" i="1" s="1"/>
  <c r="DW9" i="1" s="1"/>
  <c r="DT10" i="1"/>
  <c r="DU10" i="1" s="1"/>
  <c r="DT11" i="1"/>
  <c r="DU11" i="1"/>
  <c r="DW11" i="1" s="1"/>
  <c r="DT12" i="1"/>
  <c r="DU12" i="1" s="1"/>
  <c r="DW12" i="1" s="1"/>
  <c r="DT13" i="1"/>
  <c r="DU13" i="1" s="1"/>
  <c r="DW13" i="1" s="1"/>
  <c r="DT14" i="1"/>
  <c r="DU14" i="1" s="1"/>
  <c r="DW14" i="1" s="1"/>
  <c r="DT15" i="1"/>
  <c r="DU15" i="1" s="1"/>
  <c r="DW15" i="1" s="1"/>
  <c r="DT16" i="1"/>
  <c r="DU16" i="1" s="1"/>
  <c r="DW16" i="1" s="1"/>
  <c r="DT3" i="1"/>
  <c r="DU3" i="1" s="1"/>
  <c r="DW3" i="1" s="1"/>
  <c r="DR4" i="1"/>
  <c r="DR5" i="1"/>
  <c r="DR6" i="1"/>
  <c r="DR14" i="1"/>
  <c r="DR3" i="1"/>
  <c r="DO4" i="1"/>
  <c r="DP4" i="1"/>
  <c r="DO5" i="1"/>
  <c r="DP5" i="1"/>
  <c r="DO6" i="1"/>
  <c r="DP6" i="1" s="1"/>
  <c r="DO7" i="1"/>
  <c r="DP7" i="1" s="1"/>
  <c r="DR7" i="1" s="1"/>
  <c r="DO8" i="1"/>
  <c r="DP8" i="1" s="1"/>
  <c r="DR8" i="1" s="1"/>
  <c r="DO9" i="1"/>
  <c r="DP9" i="1" s="1"/>
  <c r="DR9" i="1" s="1"/>
  <c r="DO10" i="1"/>
  <c r="DP10" i="1" s="1"/>
  <c r="DR10" i="1" s="1"/>
  <c r="DO11" i="1"/>
  <c r="DP11" i="1"/>
  <c r="DR11" i="1" s="1"/>
  <c r="DO12" i="1"/>
  <c r="DP12" i="1" s="1"/>
  <c r="DR12" i="1" s="1"/>
  <c r="DO13" i="1"/>
  <c r="DP13" i="1"/>
  <c r="DR13" i="1" s="1"/>
  <c r="DO14" i="1"/>
  <c r="DP14" i="1"/>
  <c r="DO15" i="1"/>
  <c r="DP15" i="1" s="1"/>
  <c r="DR15" i="1" s="1"/>
  <c r="DO16" i="1"/>
  <c r="DP16" i="1" s="1"/>
  <c r="DR16" i="1" s="1"/>
  <c r="DO3" i="1"/>
  <c r="DP3" i="1" s="1"/>
  <c r="DJ4" i="1"/>
  <c r="DK4" i="1" s="1"/>
  <c r="DM4" i="1" s="1"/>
  <c r="DJ5" i="1"/>
  <c r="DK5" i="1" s="1"/>
  <c r="DM5" i="1" s="1"/>
  <c r="DJ6" i="1"/>
  <c r="DK6" i="1" s="1"/>
  <c r="DM6" i="1" s="1"/>
  <c r="DJ7" i="1"/>
  <c r="DK7" i="1"/>
  <c r="DM7" i="1" s="1"/>
  <c r="DJ8" i="1"/>
  <c r="DK8" i="1" s="1"/>
  <c r="DM8" i="1" s="1"/>
  <c r="DJ9" i="1"/>
  <c r="DK9" i="1" s="1"/>
  <c r="DM9" i="1" s="1"/>
  <c r="DJ10" i="1"/>
  <c r="DK10" i="1"/>
  <c r="DM10" i="1" s="1"/>
  <c r="DJ11" i="1"/>
  <c r="DK11" i="1" s="1"/>
  <c r="DM11" i="1" s="1"/>
  <c r="DJ12" i="1"/>
  <c r="DK12" i="1" s="1"/>
  <c r="DM12" i="1" s="1"/>
  <c r="DJ13" i="1"/>
  <c r="DK13" i="1" s="1"/>
  <c r="DM13" i="1" s="1"/>
  <c r="DJ14" i="1"/>
  <c r="DK14" i="1" s="1"/>
  <c r="DM14" i="1" s="1"/>
  <c r="DJ15" i="1"/>
  <c r="DK15" i="1" s="1"/>
  <c r="DM15" i="1" s="1"/>
  <c r="DJ16" i="1"/>
  <c r="DK16" i="1"/>
  <c r="DM16" i="1" s="1"/>
  <c r="DJ3" i="1"/>
  <c r="DK3" i="1" s="1"/>
  <c r="DM3" i="1" s="1"/>
  <c r="DH6" i="1"/>
  <c r="DH9" i="1"/>
  <c r="DH3" i="1"/>
  <c r="DE4" i="1"/>
  <c r="DF4" i="1" s="1"/>
  <c r="DH4" i="1" s="1"/>
  <c r="DE5" i="1"/>
  <c r="DF5" i="1" s="1"/>
  <c r="DH5" i="1" s="1"/>
  <c r="DE6" i="1"/>
  <c r="DF6" i="1" s="1"/>
  <c r="DE7" i="1"/>
  <c r="DF7" i="1" s="1"/>
  <c r="DH7" i="1" s="1"/>
  <c r="DE8" i="1"/>
  <c r="DF8" i="1" s="1"/>
  <c r="DH8" i="1" s="1"/>
  <c r="DE9" i="1"/>
  <c r="DF9" i="1"/>
  <c r="DE10" i="1"/>
  <c r="DF10" i="1" s="1"/>
  <c r="DH10" i="1" s="1"/>
  <c r="DE11" i="1"/>
  <c r="DF11" i="1" s="1"/>
  <c r="DH11" i="1" s="1"/>
  <c r="DE12" i="1"/>
  <c r="DF12" i="1" s="1"/>
  <c r="DH12" i="1" s="1"/>
  <c r="DE13" i="1"/>
  <c r="DF13" i="1" s="1"/>
  <c r="DH13" i="1" s="1"/>
  <c r="DE14" i="1"/>
  <c r="DF14" i="1" s="1"/>
  <c r="DH14" i="1" s="1"/>
  <c r="DE15" i="1"/>
  <c r="DF15" i="1" s="1"/>
  <c r="DH15" i="1" s="1"/>
  <c r="DE16" i="1"/>
  <c r="DF16" i="1" s="1"/>
  <c r="DH16" i="1" s="1"/>
  <c r="DE3" i="1"/>
  <c r="DF3" i="1" s="1"/>
  <c r="CZ4" i="1"/>
  <c r="DA4" i="1" s="1"/>
  <c r="DC4" i="1" s="1"/>
  <c r="CZ5" i="1"/>
  <c r="DA5" i="1" s="1"/>
  <c r="DC5" i="1" s="1"/>
  <c r="CZ6" i="1"/>
  <c r="DA6" i="1" s="1"/>
  <c r="DC6" i="1" s="1"/>
  <c r="CZ7" i="1"/>
  <c r="DA7" i="1" s="1"/>
  <c r="DC7" i="1" s="1"/>
  <c r="CZ8" i="1"/>
  <c r="DA8" i="1" s="1"/>
  <c r="DC8" i="1" s="1"/>
  <c r="CZ9" i="1"/>
  <c r="DA9" i="1" s="1"/>
  <c r="DC9" i="1" s="1"/>
  <c r="CZ10" i="1"/>
  <c r="DA10" i="1" s="1"/>
  <c r="DC10" i="1" s="1"/>
  <c r="EV10" i="1" s="1"/>
  <c r="CZ11" i="1"/>
  <c r="DA11" i="1"/>
  <c r="DC11" i="1" s="1"/>
  <c r="EV11" i="1" s="1"/>
  <c r="CZ12" i="1"/>
  <c r="DA12" i="1" s="1"/>
  <c r="DC12" i="1" s="1"/>
  <c r="CZ13" i="1"/>
  <c r="DA13" i="1" s="1"/>
  <c r="DC13" i="1" s="1"/>
  <c r="CZ14" i="1"/>
  <c r="DA14" i="1" s="1"/>
  <c r="DC14" i="1" s="1"/>
  <c r="CZ15" i="1"/>
  <c r="DA15" i="1" s="1"/>
  <c r="DC15" i="1" s="1"/>
  <c r="CZ16" i="1"/>
  <c r="DA16" i="1" s="1"/>
  <c r="DC16" i="1" s="1"/>
  <c r="CZ3" i="1"/>
  <c r="DA3" i="1" s="1"/>
  <c r="DC3" i="1" s="1"/>
  <c r="EU4" i="1"/>
  <c r="EU5" i="1"/>
  <c r="EU6" i="1"/>
  <c r="EU7" i="1"/>
  <c r="EU8" i="1"/>
  <c r="EU9" i="1"/>
  <c r="EU10" i="1"/>
  <c r="EU11" i="1"/>
  <c r="EU12" i="1"/>
  <c r="EU13" i="1"/>
  <c r="EU14" i="1"/>
  <c r="EU15" i="1"/>
  <c r="EU16" i="1"/>
  <c r="EU3" i="1"/>
  <c r="CU4" i="1"/>
  <c r="CV4" i="1" s="1"/>
  <c r="CX4" i="1" s="1"/>
  <c r="CU5" i="1"/>
  <c r="CV5" i="1" s="1"/>
  <c r="CX5" i="1" s="1"/>
  <c r="CU6" i="1"/>
  <c r="CV6" i="1" s="1"/>
  <c r="CX6" i="1" s="1"/>
  <c r="CU7" i="1"/>
  <c r="CV7" i="1" s="1"/>
  <c r="CX7" i="1" s="1"/>
  <c r="CU8" i="1"/>
  <c r="CV8" i="1" s="1"/>
  <c r="CX8" i="1" s="1"/>
  <c r="CU9" i="1"/>
  <c r="CV9" i="1" s="1"/>
  <c r="CX9" i="1" s="1"/>
  <c r="CU10" i="1"/>
  <c r="CV10" i="1" s="1"/>
  <c r="CX10" i="1" s="1"/>
  <c r="CU11" i="1"/>
  <c r="CV11" i="1"/>
  <c r="CX11" i="1" s="1"/>
  <c r="CU12" i="1"/>
  <c r="CV12" i="1"/>
  <c r="CX12" i="1" s="1"/>
  <c r="CU13" i="1"/>
  <c r="CV13" i="1" s="1"/>
  <c r="CX13" i="1" s="1"/>
  <c r="CU14" i="1"/>
  <c r="CV14" i="1" s="1"/>
  <c r="CX14" i="1" s="1"/>
  <c r="CU15" i="1"/>
  <c r="CV15" i="1"/>
  <c r="CX15" i="1" s="1"/>
  <c r="CU16" i="1"/>
  <c r="CV16" i="1" s="1"/>
  <c r="CX16" i="1" s="1"/>
  <c r="CU3" i="1"/>
  <c r="CV3" i="1" s="1"/>
  <c r="CX3" i="1" s="1"/>
  <c r="CP4" i="1"/>
  <c r="CQ4" i="1" s="1"/>
  <c r="CS4" i="1" s="1"/>
  <c r="CP5" i="1"/>
  <c r="CQ5" i="1" s="1"/>
  <c r="CS5" i="1" s="1"/>
  <c r="CP6" i="1"/>
  <c r="CQ6" i="1" s="1"/>
  <c r="CS6" i="1" s="1"/>
  <c r="CP7" i="1"/>
  <c r="CQ7" i="1" s="1"/>
  <c r="CS7" i="1" s="1"/>
  <c r="CP8" i="1"/>
  <c r="CQ8" i="1" s="1"/>
  <c r="CS8" i="1" s="1"/>
  <c r="CP9" i="1"/>
  <c r="CQ9" i="1" s="1"/>
  <c r="CS9" i="1" s="1"/>
  <c r="CP10" i="1"/>
  <c r="CQ10" i="1" s="1"/>
  <c r="CS10" i="1" s="1"/>
  <c r="CP11" i="1"/>
  <c r="CQ11" i="1"/>
  <c r="CS11" i="1" s="1"/>
  <c r="CP12" i="1"/>
  <c r="CQ12" i="1" s="1"/>
  <c r="CS12" i="1" s="1"/>
  <c r="CP13" i="1"/>
  <c r="CQ13" i="1" s="1"/>
  <c r="CS13" i="1" s="1"/>
  <c r="CP14" i="1"/>
  <c r="CQ14" i="1" s="1"/>
  <c r="CS14" i="1" s="1"/>
  <c r="CP15" i="1"/>
  <c r="CQ15" i="1" s="1"/>
  <c r="CS15" i="1" s="1"/>
  <c r="CP16" i="1"/>
  <c r="CQ16" i="1" s="1"/>
  <c r="CS16" i="1" s="1"/>
  <c r="CP3" i="1"/>
  <c r="CQ3" i="1" s="1"/>
  <c r="CS3" i="1" s="1"/>
  <c r="CK4" i="1"/>
  <c r="CL4" i="1" s="1"/>
  <c r="CN4" i="1" s="1"/>
  <c r="CK5" i="1"/>
  <c r="CL5" i="1" s="1"/>
  <c r="CN5" i="1" s="1"/>
  <c r="CK6" i="1"/>
  <c r="CL6" i="1" s="1"/>
  <c r="CN6" i="1" s="1"/>
  <c r="CK7" i="1"/>
  <c r="CL7" i="1" s="1"/>
  <c r="CN7" i="1" s="1"/>
  <c r="CK8" i="1"/>
  <c r="CL8" i="1" s="1"/>
  <c r="CN8" i="1" s="1"/>
  <c r="CK9" i="1"/>
  <c r="CL9" i="1" s="1"/>
  <c r="CN9" i="1" s="1"/>
  <c r="CK10" i="1"/>
  <c r="CL10" i="1" s="1"/>
  <c r="CN10" i="1" s="1"/>
  <c r="CK11" i="1"/>
  <c r="CL11" i="1" s="1"/>
  <c r="CN11" i="1" s="1"/>
  <c r="CK12" i="1"/>
  <c r="CL12" i="1" s="1"/>
  <c r="CN12" i="1" s="1"/>
  <c r="CK13" i="1"/>
  <c r="CL13" i="1" s="1"/>
  <c r="CN13" i="1" s="1"/>
  <c r="CK14" i="1"/>
  <c r="CL14" i="1" s="1"/>
  <c r="CN14" i="1" s="1"/>
  <c r="CK15" i="1"/>
  <c r="CL15" i="1" s="1"/>
  <c r="CN15" i="1" s="1"/>
  <c r="CK16" i="1"/>
  <c r="CL16" i="1" s="1"/>
  <c r="CN16" i="1" s="1"/>
  <c r="CK3" i="1"/>
  <c r="CL3" i="1" s="1"/>
  <c r="CN3" i="1" s="1"/>
  <c r="CI3" i="1"/>
  <c r="CD15" i="1"/>
  <c r="BY5" i="1"/>
  <c r="BY6" i="1"/>
  <c r="BY7" i="1"/>
  <c r="BY13" i="1"/>
  <c r="CF4" i="1"/>
  <c r="CG4" i="1" s="1"/>
  <c r="CI4" i="1" s="1"/>
  <c r="CF5" i="1"/>
  <c r="CG5" i="1" s="1"/>
  <c r="CI5" i="1" s="1"/>
  <c r="CF6" i="1"/>
  <c r="CG6" i="1" s="1"/>
  <c r="CI6" i="1" s="1"/>
  <c r="CF7" i="1"/>
  <c r="CG7" i="1" s="1"/>
  <c r="CI7" i="1" s="1"/>
  <c r="CF8" i="1"/>
  <c r="CG8" i="1"/>
  <c r="CI8" i="1" s="1"/>
  <c r="CF9" i="1"/>
  <c r="CG9" i="1" s="1"/>
  <c r="CI9" i="1" s="1"/>
  <c r="CF10" i="1"/>
  <c r="CG10" i="1" s="1"/>
  <c r="CI10" i="1" s="1"/>
  <c r="CF11" i="1"/>
  <c r="CG11" i="1" s="1"/>
  <c r="CI11" i="1" s="1"/>
  <c r="CF12" i="1"/>
  <c r="CG12" i="1" s="1"/>
  <c r="CI12" i="1" s="1"/>
  <c r="CF13" i="1"/>
  <c r="CG13" i="1" s="1"/>
  <c r="CI13" i="1" s="1"/>
  <c r="CF14" i="1"/>
  <c r="CG14" i="1" s="1"/>
  <c r="CI14" i="1" s="1"/>
  <c r="CF15" i="1"/>
  <c r="CG15" i="1" s="1"/>
  <c r="CI15" i="1" s="1"/>
  <c r="CF16" i="1"/>
  <c r="CG16" i="1" s="1"/>
  <c r="CI16" i="1" s="1"/>
  <c r="CF3" i="1"/>
  <c r="CG3" i="1" s="1"/>
  <c r="CA4" i="1"/>
  <c r="CB4" i="1" s="1"/>
  <c r="CD4" i="1" s="1"/>
  <c r="CA5" i="1"/>
  <c r="CB5" i="1" s="1"/>
  <c r="CD5" i="1" s="1"/>
  <c r="CA6" i="1"/>
  <c r="CB6" i="1" s="1"/>
  <c r="CD6" i="1" s="1"/>
  <c r="CA7" i="1"/>
  <c r="CB7" i="1" s="1"/>
  <c r="CD7" i="1" s="1"/>
  <c r="CA8" i="1"/>
  <c r="CB8" i="1" s="1"/>
  <c r="CD8" i="1" s="1"/>
  <c r="CA9" i="1"/>
  <c r="CB9" i="1"/>
  <c r="CD9" i="1" s="1"/>
  <c r="CA10" i="1"/>
  <c r="CB10" i="1"/>
  <c r="CD10" i="1" s="1"/>
  <c r="CA11" i="1"/>
  <c r="CB11" i="1"/>
  <c r="CD11" i="1" s="1"/>
  <c r="CA12" i="1"/>
  <c r="CB12" i="1" s="1"/>
  <c r="CD12" i="1" s="1"/>
  <c r="CA13" i="1"/>
  <c r="CB13" i="1" s="1"/>
  <c r="CD13" i="1" s="1"/>
  <c r="CA14" i="1"/>
  <c r="CB14" i="1" s="1"/>
  <c r="CD14" i="1" s="1"/>
  <c r="CA15" i="1"/>
  <c r="CB15" i="1" s="1"/>
  <c r="CA16" i="1"/>
  <c r="CB16" i="1"/>
  <c r="CD16" i="1" s="1"/>
  <c r="CA3" i="1"/>
  <c r="CB3" i="1" s="1"/>
  <c r="CD3" i="1" s="1"/>
  <c r="BV4" i="1"/>
  <c r="BW4" i="1" s="1"/>
  <c r="BY4" i="1" s="1"/>
  <c r="BV5" i="1"/>
  <c r="BW5" i="1" s="1"/>
  <c r="BV6" i="1"/>
  <c r="BW6" i="1"/>
  <c r="BV7" i="1"/>
  <c r="BW7" i="1"/>
  <c r="BV8" i="1"/>
  <c r="BW8" i="1" s="1"/>
  <c r="BY8" i="1" s="1"/>
  <c r="BV9" i="1"/>
  <c r="BW9" i="1"/>
  <c r="BY9" i="1" s="1"/>
  <c r="BV10" i="1"/>
  <c r="BW10" i="1" s="1"/>
  <c r="BY10" i="1" s="1"/>
  <c r="BV11" i="1"/>
  <c r="BW11" i="1" s="1"/>
  <c r="BY11" i="1" s="1"/>
  <c r="BV12" i="1"/>
  <c r="BW12" i="1" s="1"/>
  <c r="BY12" i="1" s="1"/>
  <c r="BV13" i="1"/>
  <c r="BW13" i="1" s="1"/>
  <c r="BV14" i="1"/>
  <c r="BW14" i="1"/>
  <c r="BY14" i="1" s="1"/>
  <c r="BV15" i="1"/>
  <c r="BW15" i="1" s="1"/>
  <c r="BY15" i="1" s="1"/>
  <c r="BV16" i="1"/>
  <c r="BW16" i="1" s="1"/>
  <c r="BY16" i="1" s="1"/>
  <c r="BV3" i="1"/>
  <c r="BW3" i="1" s="1"/>
  <c r="BY3" i="1" s="1"/>
  <c r="BQ4" i="1"/>
  <c r="BR4" i="1" s="1"/>
  <c r="BT4" i="1" s="1"/>
  <c r="BQ5" i="1"/>
  <c r="BR5" i="1" s="1"/>
  <c r="BT5" i="1" s="1"/>
  <c r="BQ6" i="1"/>
  <c r="BR6" i="1" s="1"/>
  <c r="BT6" i="1" s="1"/>
  <c r="BQ7" i="1"/>
  <c r="BR7" i="1" s="1"/>
  <c r="BT7" i="1" s="1"/>
  <c r="BQ8" i="1"/>
  <c r="BR8" i="1" s="1"/>
  <c r="BT8" i="1" s="1"/>
  <c r="BQ9" i="1"/>
  <c r="BR9" i="1" s="1"/>
  <c r="BT9" i="1" s="1"/>
  <c r="BQ10" i="1"/>
  <c r="BR10" i="1" s="1"/>
  <c r="BT10" i="1" s="1"/>
  <c r="BQ11" i="1"/>
  <c r="BR11" i="1"/>
  <c r="BT11" i="1" s="1"/>
  <c r="BQ12" i="1"/>
  <c r="BR12" i="1" s="1"/>
  <c r="BT12" i="1" s="1"/>
  <c r="BQ13" i="1"/>
  <c r="BR13" i="1" s="1"/>
  <c r="BT13" i="1" s="1"/>
  <c r="BQ14" i="1"/>
  <c r="BR14" i="1" s="1"/>
  <c r="BT14" i="1" s="1"/>
  <c r="BQ15" i="1"/>
  <c r="BR15" i="1" s="1"/>
  <c r="BT15" i="1" s="1"/>
  <c r="BQ16" i="1"/>
  <c r="BR16" i="1"/>
  <c r="BT16" i="1" s="1"/>
  <c r="BQ3" i="1"/>
  <c r="BR3" i="1" s="1"/>
  <c r="BT3" i="1" s="1"/>
  <c r="BO9" i="1"/>
  <c r="BL4" i="1"/>
  <c r="BM4" i="1" s="1"/>
  <c r="BO4" i="1" s="1"/>
  <c r="BL5" i="1"/>
  <c r="BM5" i="1" s="1"/>
  <c r="BO5" i="1" s="1"/>
  <c r="BL6" i="1"/>
  <c r="BM6" i="1" s="1"/>
  <c r="BO6" i="1" s="1"/>
  <c r="BL7" i="1"/>
  <c r="BM7" i="1"/>
  <c r="BO7" i="1" s="1"/>
  <c r="BL8" i="1"/>
  <c r="BM8" i="1"/>
  <c r="BO8" i="1" s="1"/>
  <c r="BL9" i="1"/>
  <c r="BM9" i="1"/>
  <c r="BL10" i="1"/>
  <c r="BM10" i="1"/>
  <c r="BO10" i="1" s="1"/>
  <c r="BL11" i="1"/>
  <c r="BM11" i="1" s="1"/>
  <c r="BO11" i="1" s="1"/>
  <c r="BL12" i="1"/>
  <c r="BM12" i="1" s="1"/>
  <c r="BO12" i="1" s="1"/>
  <c r="BL13" i="1"/>
  <c r="BM13" i="1" s="1"/>
  <c r="BO13" i="1" s="1"/>
  <c r="BL14" i="1"/>
  <c r="BM14" i="1" s="1"/>
  <c r="BO14" i="1" s="1"/>
  <c r="BL15" i="1"/>
  <c r="BM15" i="1" s="1"/>
  <c r="BO15" i="1" s="1"/>
  <c r="BL16" i="1"/>
  <c r="BM16" i="1" s="1"/>
  <c r="BO16" i="1" s="1"/>
  <c r="BL3" i="1"/>
  <c r="BM3" i="1" s="1"/>
  <c r="BO3" i="1" s="1"/>
  <c r="BG4" i="1"/>
  <c r="BH4" i="1" s="1"/>
  <c r="BJ4" i="1" s="1"/>
  <c r="BG5" i="1"/>
  <c r="BH5" i="1"/>
  <c r="BJ5" i="1" s="1"/>
  <c r="BG6" i="1"/>
  <c r="BH6" i="1" s="1"/>
  <c r="BJ6" i="1" s="1"/>
  <c r="BG7" i="1"/>
  <c r="BH7" i="1" s="1"/>
  <c r="BJ7" i="1" s="1"/>
  <c r="BG8" i="1"/>
  <c r="BH8" i="1" s="1"/>
  <c r="BJ8" i="1" s="1"/>
  <c r="BG9" i="1"/>
  <c r="BH9" i="1"/>
  <c r="BJ9" i="1" s="1"/>
  <c r="BG10" i="1"/>
  <c r="BH10" i="1" s="1"/>
  <c r="BJ10" i="1" s="1"/>
  <c r="BG11" i="1"/>
  <c r="BH11" i="1" s="1"/>
  <c r="BJ11" i="1" s="1"/>
  <c r="BG12" i="1"/>
  <c r="BH12" i="1" s="1"/>
  <c r="BJ12" i="1" s="1"/>
  <c r="BG13" i="1"/>
  <c r="BH13" i="1" s="1"/>
  <c r="BJ13" i="1" s="1"/>
  <c r="BG14" i="1"/>
  <c r="BH14" i="1" s="1"/>
  <c r="BJ14" i="1" s="1"/>
  <c r="BG15" i="1"/>
  <c r="BH15" i="1" s="1"/>
  <c r="BJ15" i="1" s="1"/>
  <c r="BG16" i="1"/>
  <c r="BH16" i="1" s="1"/>
  <c r="BJ16" i="1" s="1"/>
  <c r="BG3" i="1"/>
  <c r="BH3" i="1" s="1"/>
  <c r="BJ3" i="1" s="1"/>
  <c r="BE14" i="1"/>
  <c r="BB4" i="1"/>
  <c r="BC4" i="1" s="1"/>
  <c r="BE4" i="1" s="1"/>
  <c r="BB5" i="1"/>
  <c r="BC5" i="1" s="1"/>
  <c r="BE5" i="1" s="1"/>
  <c r="ET5" i="1" s="1"/>
  <c r="BB6" i="1"/>
  <c r="BC6" i="1" s="1"/>
  <c r="BE6" i="1" s="1"/>
  <c r="BB7" i="1"/>
  <c r="BC7" i="1" s="1"/>
  <c r="BE7" i="1" s="1"/>
  <c r="BB8" i="1"/>
  <c r="BC8" i="1" s="1"/>
  <c r="BE8" i="1" s="1"/>
  <c r="BB9" i="1"/>
  <c r="BC9" i="1" s="1"/>
  <c r="BE9" i="1" s="1"/>
  <c r="BB10" i="1"/>
  <c r="BC10" i="1" s="1"/>
  <c r="BE10" i="1" s="1"/>
  <c r="BB11" i="1"/>
  <c r="BC11" i="1"/>
  <c r="BE11" i="1" s="1"/>
  <c r="BB12" i="1"/>
  <c r="BC12" i="1" s="1"/>
  <c r="BE12" i="1" s="1"/>
  <c r="BB13" i="1"/>
  <c r="BC13" i="1" s="1"/>
  <c r="BE13" i="1" s="1"/>
  <c r="BB14" i="1"/>
  <c r="BC14" i="1" s="1"/>
  <c r="BB15" i="1"/>
  <c r="BC15" i="1" s="1"/>
  <c r="BE15" i="1" s="1"/>
  <c r="BB16" i="1"/>
  <c r="BC16" i="1" s="1"/>
  <c r="BE16" i="1" s="1"/>
  <c r="BB3" i="1"/>
  <c r="BC3" i="1" s="1"/>
  <c r="BE3" i="1" s="1"/>
  <c r="ES4" i="1"/>
  <c r="EY4" i="1" s="1"/>
  <c r="ES5" i="1"/>
  <c r="EY5" i="1" s="1"/>
  <c r="ES6" i="1"/>
  <c r="EY6" i="1" s="1"/>
  <c r="ES7" i="1"/>
  <c r="ES8" i="1"/>
  <c r="ES9" i="1"/>
  <c r="ES10" i="1"/>
  <c r="EY10" i="1" s="1"/>
  <c r="ES11" i="1"/>
  <c r="ES12" i="1"/>
  <c r="ES13" i="1"/>
  <c r="ES14" i="1"/>
  <c r="ES15" i="1"/>
  <c r="ES16" i="1"/>
  <c r="EY16" i="1" s="1"/>
  <c r="ES3" i="1"/>
  <c r="EY3" i="1" s="1"/>
  <c r="AZ6" i="1"/>
  <c r="AZ15" i="1"/>
  <c r="AW4" i="1"/>
  <c r="AX4" i="1" s="1"/>
  <c r="AZ4" i="1" s="1"/>
  <c r="AW5" i="1"/>
  <c r="AX5" i="1" s="1"/>
  <c r="AZ5" i="1" s="1"/>
  <c r="AW6" i="1"/>
  <c r="AX6" i="1" s="1"/>
  <c r="AW7" i="1"/>
  <c r="AX7" i="1" s="1"/>
  <c r="AZ7" i="1" s="1"/>
  <c r="AW8" i="1"/>
  <c r="AX8" i="1" s="1"/>
  <c r="AZ8" i="1" s="1"/>
  <c r="AW9" i="1"/>
  <c r="AX9" i="1" s="1"/>
  <c r="AZ9" i="1" s="1"/>
  <c r="AW10" i="1"/>
  <c r="AX10" i="1" s="1"/>
  <c r="AZ10" i="1" s="1"/>
  <c r="AW11" i="1"/>
  <c r="AX11" i="1" s="1"/>
  <c r="AZ11" i="1" s="1"/>
  <c r="AW12" i="1"/>
  <c r="AX12" i="1"/>
  <c r="AZ12" i="1" s="1"/>
  <c r="AW13" i="1"/>
  <c r="AX13" i="1" s="1"/>
  <c r="AZ13" i="1" s="1"/>
  <c r="AW14" i="1"/>
  <c r="AX14" i="1" s="1"/>
  <c r="AZ14" i="1" s="1"/>
  <c r="AW15" i="1"/>
  <c r="AX15" i="1" s="1"/>
  <c r="AW16" i="1"/>
  <c r="AX16" i="1" s="1"/>
  <c r="AZ16" i="1" s="1"/>
  <c r="AW3" i="1"/>
  <c r="AX3" i="1" s="1"/>
  <c r="AZ3" i="1" s="1"/>
  <c r="AU4" i="1"/>
  <c r="AU15" i="1"/>
  <c r="AR4" i="1"/>
  <c r="AS4" i="1" s="1"/>
  <c r="AR5" i="1"/>
  <c r="AS5" i="1" s="1"/>
  <c r="AU5" i="1" s="1"/>
  <c r="AR6" i="1"/>
  <c r="AS6" i="1" s="1"/>
  <c r="AU6" i="1" s="1"/>
  <c r="AR7" i="1"/>
  <c r="AS7" i="1"/>
  <c r="AU7" i="1" s="1"/>
  <c r="AR8" i="1"/>
  <c r="AS8" i="1"/>
  <c r="AU8" i="1" s="1"/>
  <c r="AR9" i="1"/>
  <c r="AS9" i="1" s="1"/>
  <c r="AU9" i="1" s="1"/>
  <c r="AR10" i="1"/>
  <c r="AS10" i="1"/>
  <c r="AU10" i="1" s="1"/>
  <c r="AR11" i="1"/>
  <c r="AS11" i="1" s="1"/>
  <c r="AU11" i="1" s="1"/>
  <c r="AR12" i="1"/>
  <c r="AS12" i="1"/>
  <c r="AU12" i="1" s="1"/>
  <c r="AR13" i="1"/>
  <c r="AS13" i="1" s="1"/>
  <c r="AU13" i="1" s="1"/>
  <c r="AR14" i="1"/>
  <c r="AS14" i="1" s="1"/>
  <c r="AU14" i="1" s="1"/>
  <c r="AR15" i="1"/>
  <c r="AS15" i="1" s="1"/>
  <c r="AR16" i="1"/>
  <c r="AS16" i="1" s="1"/>
  <c r="AU16" i="1" s="1"/>
  <c r="AR3" i="1"/>
  <c r="AS3" i="1" s="1"/>
  <c r="AU3" i="1" s="1"/>
  <c r="AP15" i="1"/>
  <c r="AM4" i="1"/>
  <c r="AN4" i="1" s="1"/>
  <c r="AP4" i="1" s="1"/>
  <c r="AM5" i="1"/>
  <c r="AN5" i="1" s="1"/>
  <c r="AP5" i="1" s="1"/>
  <c r="AM6" i="1"/>
  <c r="AN6" i="1" s="1"/>
  <c r="AP6" i="1" s="1"/>
  <c r="AM7" i="1"/>
  <c r="AN7" i="1" s="1"/>
  <c r="AP7" i="1" s="1"/>
  <c r="AM8" i="1"/>
  <c r="AN8" i="1"/>
  <c r="AP8" i="1" s="1"/>
  <c r="AM9" i="1"/>
  <c r="AN9" i="1" s="1"/>
  <c r="AP9" i="1" s="1"/>
  <c r="AM10" i="1"/>
  <c r="AN10" i="1" s="1"/>
  <c r="AP10" i="1" s="1"/>
  <c r="AM11" i="1"/>
  <c r="AN11" i="1" s="1"/>
  <c r="AP11" i="1" s="1"/>
  <c r="AM12" i="1"/>
  <c r="AN12" i="1" s="1"/>
  <c r="AP12" i="1" s="1"/>
  <c r="AM13" i="1"/>
  <c r="AN13" i="1" s="1"/>
  <c r="AP13" i="1" s="1"/>
  <c r="AM14" i="1"/>
  <c r="AN14" i="1" s="1"/>
  <c r="AP14" i="1" s="1"/>
  <c r="AM15" i="1"/>
  <c r="AN15" i="1" s="1"/>
  <c r="AM16" i="1"/>
  <c r="AN16" i="1" s="1"/>
  <c r="AP16" i="1" s="1"/>
  <c r="AM3" i="1"/>
  <c r="AN3" i="1" s="1"/>
  <c r="AP3" i="1" s="1"/>
  <c r="AK8" i="1"/>
  <c r="AK3" i="1"/>
  <c r="AH4" i="1"/>
  <c r="AI4" i="1" s="1"/>
  <c r="AK4" i="1" s="1"/>
  <c r="AH5" i="1"/>
  <c r="AI5" i="1" s="1"/>
  <c r="AK5" i="1" s="1"/>
  <c r="AH6" i="1"/>
  <c r="AI6" i="1"/>
  <c r="AK6" i="1" s="1"/>
  <c r="AH7" i="1"/>
  <c r="AI7" i="1"/>
  <c r="AK7" i="1" s="1"/>
  <c r="AH8" i="1"/>
  <c r="AI8" i="1"/>
  <c r="AH9" i="1"/>
  <c r="AI9" i="1"/>
  <c r="AK9" i="1" s="1"/>
  <c r="AH10" i="1"/>
  <c r="AI10" i="1" s="1"/>
  <c r="AK10" i="1" s="1"/>
  <c r="AH11" i="1"/>
  <c r="AI11" i="1"/>
  <c r="AK11" i="1" s="1"/>
  <c r="AH12" i="1"/>
  <c r="AI12" i="1" s="1"/>
  <c r="AK12" i="1" s="1"/>
  <c r="AH13" i="1"/>
  <c r="AI13" i="1" s="1"/>
  <c r="AK13" i="1" s="1"/>
  <c r="AH14" i="1"/>
  <c r="AI14" i="1" s="1"/>
  <c r="AK14" i="1" s="1"/>
  <c r="AH15" i="1"/>
  <c r="AI15" i="1"/>
  <c r="AK15" i="1" s="1"/>
  <c r="AH16" i="1"/>
  <c r="AI16" i="1"/>
  <c r="AK16" i="1" s="1"/>
  <c r="AH3" i="1"/>
  <c r="AI3" i="1" s="1"/>
  <c r="V5" i="1"/>
  <c r="V14" i="1"/>
  <c r="AF10" i="1"/>
  <c r="AC4" i="1"/>
  <c r="AD4" i="1" s="1"/>
  <c r="AF4" i="1" s="1"/>
  <c r="AC5" i="1"/>
  <c r="AD5" i="1" s="1"/>
  <c r="AF5" i="1" s="1"/>
  <c r="AC6" i="1"/>
  <c r="AD6" i="1"/>
  <c r="AF6" i="1" s="1"/>
  <c r="AC7" i="1"/>
  <c r="AD7" i="1" s="1"/>
  <c r="AF7" i="1" s="1"/>
  <c r="AC8" i="1"/>
  <c r="AD8" i="1"/>
  <c r="AF8" i="1" s="1"/>
  <c r="AC9" i="1"/>
  <c r="AD9" i="1"/>
  <c r="AF9" i="1" s="1"/>
  <c r="AC10" i="1"/>
  <c r="AD10" i="1" s="1"/>
  <c r="AC11" i="1"/>
  <c r="AD11" i="1" s="1"/>
  <c r="AF11" i="1" s="1"/>
  <c r="AC12" i="1"/>
  <c r="AD12" i="1"/>
  <c r="AF12" i="1" s="1"/>
  <c r="AC13" i="1"/>
  <c r="AD13" i="1" s="1"/>
  <c r="AF13" i="1" s="1"/>
  <c r="AC14" i="1"/>
  <c r="AD14" i="1"/>
  <c r="AF14" i="1" s="1"/>
  <c r="AC15" i="1"/>
  <c r="AD15" i="1"/>
  <c r="AF15" i="1" s="1"/>
  <c r="AC16" i="1"/>
  <c r="AD16" i="1" s="1"/>
  <c r="AF16" i="1" s="1"/>
  <c r="AC3" i="1"/>
  <c r="AD3" i="1" s="1"/>
  <c r="AF3" i="1" s="1"/>
  <c r="X4" i="1"/>
  <c r="Y4" i="1" s="1"/>
  <c r="AA4" i="1" s="1"/>
  <c r="X5" i="1"/>
  <c r="Y5" i="1"/>
  <c r="AA5" i="1" s="1"/>
  <c r="X6" i="1"/>
  <c r="Y6" i="1"/>
  <c r="AA6" i="1" s="1"/>
  <c r="X7" i="1"/>
  <c r="Y7" i="1"/>
  <c r="AA7" i="1" s="1"/>
  <c r="X8" i="1"/>
  <c r="Y8" i="1"/>
  <c r="AA8" i="1" s="1"/>
  <c r="X9" i="1"/>
  <c r="Y9" i="1"/>
  <c r="AA9" i="1" s="1"/>
  <c r="X10" i="1"/>
  <c r="Y10" i="1"/>
  <c r="AA10" i="1" s="1"/>
  <c r="X11" i="1"/>
  <c r="Y11" i="1" s="1"/>
  <c r="AA11" i="1" s="1"/>
  <c r="X12" i="1"/>
  <c r="Y12" i="1"/>
  <c r="AA12" i="1" s="1"/>
  <c r="X13" i="1"/>
  <c r="Y13" i="1" s="1"/>
  <c r="AA13" i="1" s="1"/>
  <c r="X14" i="1"/>
  <c r="Y14" i="1" s="1"/>
  <c r="AA14" i="1" s="1"/>
  <c r="X15" i="1"/>
  <c r="Y15" i="1" s="1"/>
  <c r="AA15" i="1" s="1"/>
  <c r="X16" i="1"/>
  <c r="Y16" i="1" s="1"/>
  <c r="AA16" i="1" s="1"/>
  <c r="X3" i="1"/>
  <c r="Y3" i="1" s="1"/>
  <c r="AA3" i="1" s="1"/>
  <c r="S4" i="1"/>
  <c r="T4" i="1" s="1"/>
  <c r="V4" i="1" s="1"/>
  <c r="S5" i="1"/>
  <c r="T5" i="1" s="1"/>
  <c r="S6" i="1"/>
  <c r="T6" i="1" s="1"/>
  <c r="V6" i="1" s="1"/>
  <c r="S7" i="1"/>
  <c r="T7" i="1"/>
  <c r="V7" i="1" s="1"/>
  <c r="S8" i="1"/>
  <c r="T8" i="1" s="1"/>
  <c r="V8" i="1" s="1"/>
  <c r="S9" i="1"/>
  <c r="T9" i="1" s="1"/>
  <c r="V9" i="1" s="1"/>
  <c r="S10" i="1"/>
  <c r="T10" i="1" s="1"/>
  <c r="V10" i="1" s="1"/>
  <c r="S11" i="1"/>
  <c r="T11" i="1"/>
  <c r="V11" i="1" s="1"/>
  <c r="S12" i="1"/>
  <c r="T12" i="1" s="1"/>
  <c r="V12" i="1" s="1"/>
  <c r="S13" i="1"/>
  <c r="T13" i="1" s="1"/>
  <c r="V13" i="1" s="1"/>
  <c r="S14" i="1"/>
  <c r="T14" i="1" s="1"/>
  <c r="S15" i="1"/>
  <c r="T15" i="1" s="1"/>
  <c r="V15" i="1" s="1"/>
  <c r="S16" i="1"/>
  <c r="T16" i="1" s="1"/>
  <c r="V16" i="1" s="1"/>
  <c r="S3" i="1"/>
  <c r="T3" i="1" s="1"/>
  <c r="V3" i="1" s="1"/>
  <c r="Q12" i="1"/>
  <c r="N4" i="1"/>
  <c r="O4" i="1"/>
  <c r="Q4" i="1" s="1"/>
  <c r="N5" i="1"/>
  <c r="O5" i="1"/>
  <c r="Q5" i="1" s="1"/>
  <c r="N6" i="1"/>
  <c r="O6" i="1" s="1"/>
  <c r="Q6" i="1" s="1"/>
  <c r="N7" i="1"/>
  <c r="O7" i="1" s="1"/>
  <c r="Q7" i="1" s="1"/>
  <c r="N8" i="1"/>
  <c r="O8" i="1" s="1"/>
  <c r="Q8" i="1" s="1"/>
  <c r="N9" i="1"/>
  <c r="O9" i="1"/>
  <c r="Q9" i="1" s="1"/>
  <c r="N10" i="1"/>
  <c r="O10" i="1" s="1"/>
  <c r="Q10" i="1" s="1"/>
  <c r="N11" i="1"/>
  <c r="O11" i="1" s="1"/>
  <c r="Q11" i="1" s="1"/>
  <c r="N12" i="1"/>
  <c r="O12" i="1"/>
  <c r="N13" i="1"/>
  <c r="O13" i="1"/>
  <c r="Q13" i="1" s="1"/>
  <c r="N14" i="1"/>
  <c r="O14" i="1"/>
  <c r="Q14" i="1" s="1"/>
  <c r="N15" i="1"/>
  <c r="O15" i="1" s="1"/>
  <c r="Q15" i="1" s="1"/>
  <c r="N16" i="1"/>
  <c r="O16" i="1"/>
  <c r="Q16" i="1" s="1"/>
  <c r="N3" i="1"/>
  <c r="O3" i="1" s="1"/>
  <c r="Q3" i="1" s="1"/>
  <c r="J9" i="1"/>
  <c r="L9" i="1" s="1"/>
  <c r="I4" i="1"/>
  <c r="J4" i="1" s="1"/>
  <c r="L4" i="1" s="1"/>
  <c r="I5" i="1"/>
  <c r="J5" i="1" s="1"/>
  <c r="L5" i="1" s="1"/>
  <c r="I6" i="1"/>
  <c r="J6" i="1" s="1"/>
  <c r="L6" i="1" s="1"/>
  <c r="I7" i="1"/>
  <c r="J7" i="1" s="1"/>
  <c r="L7" i="1" s="1"/>
  <c r="I8" i="1"/>
  <c r="J8" i="1" s="1"/>
  <c r="L8" i="1" s="1"/>
  <c r="I9" i="1"/>
  <c r="I10" i="1"/>
  <c r="J10" i="1" s="1"/>
  <c r="L10" i="1" s="1"/>
  <c r="I11" i="1"/>
  <c r="J11" i="1" s="1"/>
  <c r="L11" i="1" s="1"/>
  <c r="I12" i="1"/>
  <c r="J12" i="1" s="1"/>
  <c r="L12" i="1" s="1"/>
  <c r="I13" i="1"/>
  <c r="J13" i="1" s="1"/>
  <c r="L13" i="1" s="1"/>
  <c r="I14" i="1"/>
  <c r="J14" i="1" s="1"/>
  <c r="L14" i="1" s="1"/>
  <c r="I15" i="1"/>
  <c r="J15" i="1" s="1"/>
  <c r="L15" i="1" s="1"/>
  <c r="I16" i="1"/>
  <c r="J16" i="1" s="1"/>
  <c r="L16" i="1" s="1"/>
  <c r="I3" i="1"/>
  <c r="J3" i="1" s="1"/>
  <c r="L3" i="1" s="1"/>
  <c r="ER6" i="1" l="1"/>
  <c r="EY11" i="1"/>
  <c r="EY14" i="1"/>
  <c r="EY9" i="1"/>
  <c r="EY15" i="1"/>
  <c r="ET13" i="1"/>
  <c r="EY13" i="1"/>
  <c r="ER5" i="1"/>
  <c r="EX5" i="1" s="1"/>
  <c r="EZ5" i="1" s="1"/>
  <c r="EY8" i="1"/>
  <c r="EY12" i="1"/>
  <c r="EY7" i="1"/>
  <c r="EV5" i="1"/>
  <c r="ER12" i="1"/>
  <c r="ET16" i="1"/>
  <c r="EV4" i="1"/>
  <c r="ER11" i="1"/>
  <c r="EX11" i="1" s="1"/>
  <c r="EZ11" i="1" s="1"/>
  <c r="ET15" i="1"/>
  <c r="ET3" i="1"/>
  <c r="EV3" i="1"/>
  <c r="ER4" i="1"/>
  <c r="ER10" i="1"/>
  <c r="ER9" i="1"/>
  <c r="EX9" i="1" s="1"/>
  <c r="EZ9" i="1" s="1"/>
  <c r="ER16" i="1"/>
  <c r="ER13" i="1"/>
  <c r="ET12" i="1"/>
  <c r="EV14" i="1"/>
  <c r="ER15" i="1"/>
  <c r="ET11" i="1"/>
  <c r="EV13" i="1"/>
  <c r="EV15" i="1"/>
  <c r="ET4" i="1"/>
  <c r="ET14" i="1"/>
  <c r="EV16" i="1"/>
  <c r="ER3" i="1"/>
  <c r="ET9" i="1"/>
  <c r="ET8" i="1"/>
  <c r="EV9" i="1"/>
  <c r="EV8" i="1"/>
  <c r="ER14" i="1"/>
  <c r="EV12" i="1"/>
  <c r="ET10" i="1"/>
  <c r="ET7" i="1"/>
  <c r="ER8" i="1"/>
  <c r="EX8" i="1" s="1"/>
  <c r="EZ8" i="1" s="1"/>
  <c r="ET6" i="1"/>
  <c r="EV7" i="1"/>
  <c r="ER7" i="1"/>
  <c r="EV6" i="1"/>
  <c r="EX6" i="1" l="1"/>
  <c r="EZ6" i="1" s="1"/>
  <c r="FB6" i="1" s="1"/>
  <c r="EX13" i="1"/>
  <c r="EZ13" i="1" s="1"/>
  <c r="EX16" i="1"/>
  <c r="EZ16" i="1" s="1"/>
  <c r="FA16" i="1" s="1"/>
  <c r="EX4" i="1"/>
  <c r="EZ4" i="1" s="1"/>
  <c r="EX15" i="1"/>
  <c r="EZ15" i="1" s="1"/>
  <c r="FB15" i="1"/>
  <c r="FA15" i="1"/>
  <c r="FA9" i="1"/>
  <c r="FB9" i="1"/>
  <c r="FB4" i="1"/>
  <c r="FA4" i="1"/>
  <c r="EX12" i="1"/>
  <c r="EZ12" i="1" s="1"/>
  <c r="EX14" i="1"/>
  <c r="EZ14" i="1" s="1"/>
  <c r="FA8" i="1"/>
  <c r="FB8" i="1"/>
  <c r="FB13" i="1"/>
  <c r="FA13" i="1"/>
  <c r="FB16" i="1"/>
  <c r="EX10" i="1"/>
  <c r="EZ10" i="1" s="1"/>
  <c r="FB5" i="1"/>
  <c r="FA5" i="1"/>
  <c r="EX3" i="1"/>
  <c r="EZ3" i="1" s="1"/>
  <c r="FA11" i="1"/>
  <c r="FB11" i="1"/>
  <c r="EX7" i="1"/>
  <c r="EZ7" i="1" s="1"/>
  <c r="FA6" i="1" l="1"/>
  <c r="FA14" i="1"/>
  <c r="FB14" i="1"/>
  <c r="FA12" i="1"/>
  <c r="FB12" i="1"/>
  <c r="FB7" i="1"/>
  <c r="FA7" i="1"/>
  <c r="FB3" i="1"/>
  <c r="FA3" i="1"/>
  <c r="FA10" i="1"/>
  <c r="FB10" i="1"/>
</calcChain>
</file>

<file path=xl/sharedStrings.xml><?xml version="1.0" encoding="utf-8"?>
<sst xmlns="http://schemas.openxmlformats.org/spreadsheetml/2006/main" count="247" uniqueCount="100">
  <si>
    <t>NO</t>
  </si>
  <si>
    <t>Nama</t>
  </si>
  <si>
    <t xml:space="preserve">NIM </t>
  </si>
  <si>
    <t>Tempat Lahir</t>
  </si>
  <si>
    <t>Tanggal Lahir</t>
  </si>
  <si>
    <t>No Transkip</t>
  </si>
  <si>
    <t>Nilai</t>
  </si>
  <si>
    <t>LMB</t>
  </si>
  <si>
    <t>MUTU</t>
  </si>
  <si>
    <t>SKS</t>
  </si>
  <si>
    <t>JML</t>
  </si>
  <si>
    <t>Konsep Dasar Keperawatan</t>
  </si>
  <si>
    <t>Falsafah Dan Teori Keperawatan</t>
  </si>
  <si>
    <t>Sistem Informasi Keperawatan</t>
  </si>
  <si>
    <t>Psikososial Dan Budaya Dalam Keperawatan</t>
  </si>
  <si>
    <t>Komunikasi Terapeutik Keperawatan</t>
  </si>
  <si>
    <t>Keperawatan Paliatif</t>
  </si>
  <si>
    <t>Kesehataan Matra Laut</t>
  </si>
  <si>
    <t>Toefl &amp; Ielts Preparation Of Nursing</t>
  </si>
  <si>
    <t>Keselamatan Pasien Dan Keselamatan Kesehatan Kerja Dalam Keperawatan</t>
  </si>
  <si>
    <t>Dian Sukma Dewi</t>
  </si>
  <si>
    <t>Putri Denanda Tami</t>
  </si>
  <si>
    <t>Wandri Windrawati Simanungkalit</t>
  </si>
  <si>
    <t>Berliana Olivia Debora</t>
  </si>
  <si>
    <t>Kurdianta Sembiring</t>
  </si>
  <si>
    <t>Nia Octavia Sinaga</t>
  </si>
  <si>
    <t>Eva Susanti</t>
  </si>
  <si>
    <t>Aryuni Safitri Oktaviana S</t>
  </si>
  <si>
    <t>Dana Kristina</t>
  </si>
  <si>
    <t>Evva Fiditiya Nanda Putri</t>
  </si>
  <si>
    <t>Ririn Sinta Nuriah Priantna</t>
  </si>
  <si>
    <t>Rofina Sekunda Roja</t>
  </si>
  <si>
    <t>Vianessa Audyna</t>
  </si>
  <si>
    <t>Alnanda Ghea Putri Nst</t>
  </si>
  <si>
    <t>Keperawatan Maternitas</t>
  </si>
  <si>
    <t>Keperawatan Anak</t>
  </si>
  <si>
    <t>Keperawatan Jiwa</t>
  </si>
  <si>
    <t>Keperawatan Dewasa 1</t>
  </si>
  <si>
    <t>Perawatan Luka Modern</t>
  </si>
  <si>
    <t>Asuhan Keperawatan Penyakit Tropisd &amp; Degeneratif</t>
  </si>
  <si>
    <t>Keperawatan Agregat Komunitas</t>
  </si>
  <si>
    <t>Metodologi Penelitian</t>
  </si>
  <si>
    <t>Biostatistik</t>
  </si>
  <si>
    <t>Pendidikan Dan Promosi Kesehatan</t>
  </si>
  <si>
    <t>Keperawatan Dewasa 2</t>
  </si>
  <si>
    <t>Keperawatan Keluarga</t>
  </si>
  <si>
    <t>Keperawatan Gerontik</t>
  </si>
  <si>
    <t>Keperawatan Kritis</t>
  </si>
  <si>
    <t>Keperawatan Bencana</t>
  </si>
  <si>
    <t>Keperawatan Gawat Darurat</t>
  </si>
  <si>
    <t>Kewirausahaan Dalam Keperawatan</t>
  </si>
  <si>
    <t>Manajemen Keperawatan</t>
  </si>
  <si>
    <t>Skripsi</t>
  </si>
  <si>
    <t>SMT 1</t>
  </si>
  <si>
    <t>N1</t>
  </si>
  <si>
    <t>B1</t>
  </si>
  <si>
    <t>SMT2</t>
  </si>
  <si>
    <t>N2</t>
  </si>
  <si>
    <t>B2</t>
  </si>
  <si>
    <t>SMT3</t>
  </si>
  <si>
    <t>N3</t>
  </si>
  <si>
    <t>B3</t>
  </si>
  <si>
    <t>Total Nilai</t>
  </si>
  <si>
    <t>Total Beban</t>
  </si>
  <si>
    <t>IPK</t>
  </si>
  <si>
    <t>Predikat</t>
  </si>
  <si>
    <t>Predikat Inggris</t>
  </si>
  <si>
    <t>Judul</t>
  </si>
  <si>
    <t>09 Mei 2000</t>
  </si>
  <si>
    <t>Berakit</t>
  </si>
  <si>
    <t>31 Desember 2000</t>
  </si>
  <si>
    <t>Tg. Balai</t>
  </si>
  <si>
    <t xml:space="preserve"> 24 Juli 1988</t>
  </si>
  <si>
    <t>Hutanamora</t>
  </si>
  <si>
    <t>Komplek Sei Gunting</t>
  </si>
  <si>
    <t>27 Agustus 1999</t>
  </si>
  <si>
    <t>Sawah Padang</t>
  </si>
  <si>
    <t xml:space="preserve"> 27 April 1978</t>
  </si>
  <si>
    <t>14 November 1998</t>
  </si>
  <si>
    <t>Pulau Buluh</t>
  </si>
  <si>
    <t>01 Januari 2001</t>
  </si>
  <si>
    <t>Tanjungpinang</t>
  </si>
  <si>
    <t>12 Mei 2000</t>
  </si>
  <si>
    <t>Pacitan</t>
  </si>
  <si>
    <t>18 Januari 2000</t>
  </si>
  <si>
    <t>Bandung</t>
  </si>
  <si>
    <t xml:space="preserve"> 02 Agustus 1998</t>
  </si>
  <si>
    <t>Padang</t>
  </si>
  <si>
    <t>Tangal Kelulusan</t>
  </si>
  <si>
    <t>Gambaran Asuhan Keperawatan Pada Lansia Dengan Ganguan Sistem Neurologi Di Panti Werdha Embung Fatimah Tanjungpinang (Kasus Demensia)</t>
  </si>
  <si>
    <t>Pengaruh Penggunaan Media Flashcard Terhadap Perkembangan Bahasa Anak Prasekolah Di Paud Mulya Baran Barat</t>
  </si>
  <si>
    <t>Hubungan Waktu Tunggu Operasi Dengan Kecemasan Pasien Dewasan Pre Operasi Elektif Di Instalansi Bedah Sentral Rumkital Dr. Midiyato Suratani Tanjungpinang</t>
  </si>
  <si>
    <t>Faktor Risiko Kejadian Gagal Ginjal Kronis Diruangan Hemodialisa Rs Budi Kemuliaan Batam Tahun 2024</t>
  </si>
  <si>
    <t>Gambaran Asuhan Keperawatan Pemberian Terapi Tepid Sponge Untuk Mengatasi Hipertermi Pada Anak Dhf Di Ruang Anggrek Rsud Kota Tanjungpinang</t>
  </si>
  <si>
    <t>Pengaruh Story Telling Terhadap Kecemasan Anak Pada Saat Pemasangan Infus Di Ruangan Rawat Inap Pav Lotus Rumah Sakit Budi Ekmuliaan Batam</t>
  </si>
  <si>
    <t>Faktor-Faktor Yang Berhubungan Dengan Pemberian Asi Eksklusif Di Uptd Puskesmas Sei Jang Kota Tanjungpinang Tahun 2024</t>
  </si>
  <si>
    <t>Batam</t>
  </si>
  <si>
    <t>29 April 2000</t>
  </si>
  <si>
    <t>23 Mei 2025</t>
  </si>
  <si>
    <t>06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</si>
</sst>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/>
    <xf numFmtId="49" fontId="1" fillId="0" borderId="0" xfId="0" applyNumberFormat="1" applyFont="1"/>
    <xf numFmtId="2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6858-B69D-40A7-AE63-3928404750C8}">
  <dimension ref="A1:FC17"/>
  <sheetViews>
    <sheetView tabSelected="1" zoomScaleNormal="100" workbookViewId="0">
      <pane xSplit="3" topLeftCell="EK1" activePane="topRight" state="frozen"/>
      <selection pane="topRight" activeCell="G21" sqref="G21"/>
    </sheetView>
  </sheetViews>
  <sheetFormatPr defaultRowHeight="14.25" x14ac:dyDescent="0.2"/>
  <cols>
    <col min="1" max="1" width="6.85546875" style="2" customWidth="1"/>
    <col min="2" max="2" width="35" style="1" customWidth="1"/>
    <col min="3" max="3" width="18.42578125" style="2" customWidth="1"/>
    <col min="4" max="4" width="22.28515625" style="1" customWidth="1"/>
    <col min="5" max="6" width="18.28515625" style="16" customWidth="1"/>
    <col min="7" max="7" width="22" style="1" customWidth="1"/>
    <col min="8" max="8" width="7.42578125" style="2" customWidth="1"/>
    <col min="9" max="9" width="8.5703125" style="1" customWidth="1"/>
    <col min="10" max="10" width="8.140625" style="1" customWidth="1"/>
    <col min="11" max="11" width="8" style="1" customWidth="1"/>
    <col min="12" max="12" width="8.5703125" style="1" customWidth="1"/>
    <col min="13" max="13" width="6.7109375" style="1" customWidth="1"/>
    <col min="14" max="14" width="6.5703125" style="1" customWidth="1"/>
    <col min="15" max="15" width="7.140625" style="1" customWidth="1"/>
    <col min="16" max="16" width="6.140625" style="1" customWidth="1"/>
    <col min="17" max="17" width="7.7109375" style="1" customWidth="1"/>
    <col min="18" max="18" width="7.42578125" style="1" customWidth="1"/>
    <col min="19" max="19" width="6.5703125" style="1" customWidth="1"/>
    <col min="20" max="20" width="7.140625" style="1" customWidth="1"/>
    <col min="21" max="21" width="6.140625" style="1" customWidth="1"/>
    <col min="22" max="22" width="7.7109375" style="1" customWidth="1"/>
    <col min="23" max="23" width="6.7109375" style="1" customWidth="1"/>
    <col min="24" max="24" width="6.5703125" style="1" customWidth="1"/>
    <col min="25" max="25" width="7.140625" style="1" customWidth="1"/>
    <col min="26" max="26" width="6.140625" style="1" customWidth="1"/>
    <col min="27" max="27" width="7.7109375" style="1" customWidth="1"/>
    <col min="28" max="28" width="6.7109375" style="1" customWidth="1"/>
    <col min="29" max="29" width="6.5703125" style="1" customWidth="1"/>
    <col min="30" max="30" width="7.140625" style="1" customWidth="1"/>
    <col min="31" max="31" width="6.140625" style="1" customWidth="1"/>
    <col min="32" max="32" width="7.7109375" style="1" customWidth="1"/>
    <col min="33" max="33" width="6.7109375" style="1" customWidth="1"/>
    <col min="34" max="34" width="6.5703125" style="1" customWidth="1"/>
    <col min="35" max="35" width="7.140625" style="1" customWidth="1"/>
    <col min="36" max="36" width="6.140625" style="1" customWidth="1"/>
    <col min="37" max="37" width="7.7109375" style="1" customWidth="1"/>
    <col min="38" max="38" width="6.7109375" style="1" customWidth="1"/>
    <col min="39" max="39" width="6.5703125" style="1" customWidth="1"/>
    <col min="40" max="40" width="7.140625" style="1" customWidth="1"/>
    <col min="41" max="41" width="6.140625" style="1" customWidth="1"/>
    <col min="42" max="42" width="7.7109375" style="1" customWidth="1"/>
    <col min="43" max="43" width="6.7109375" style="1" customWidth="1"/>
    <col min="44" max="44" width="6.5703125" style="1" customWidth="1"/>
    <col min="45" max="45" width="7.140625" style="1" customWidth="1"/>
    <col min="46" max="46" width="6.140625" style="1" customWidth="1"/>
    <col min="47" max="47" width="7.7109375" style="1" customWidth="1"/>
    <col min="48" max="48" width="6.7109375" style="1" customWidth="1"/>
    <col min="49" max="49" width="6.5703125" style="1" customWidth="1"/>
    <col min="50" max="50" width="7.140625" style="1" customWidth="1"/>
    <col min="51" max="51" width="6.140625" style="1" customWidth="1"/>
    <col min="52" max="52" width="7.7109375" style="1" customWidth="1"/>
    <col min="53" max="53" width="6.7109375" style="2" customWidth="1"/>
    <col min="54" max="54" width="6.5703125" style="1" customWidth="1"/>
    <col min="55" max="55" width="7.140625" style="1" customWidth="1"/>
    <col min="56" max="56" width="6.140625" style="1" customWidth="1"/>
    <col min="57" max="57" width="7.7109375" style="1" customWidth="1"/>
    <col min="58" max="58" width="6.7109375" style="1" customWidth="1"/>
    <col min="59" max="59" width="6.5703125" style="1" customWidth="1"/>
    <col min="60" max="60" width="7.140625" style="1" customWidth="1"/>
    <col min="61" max="61" width="6.140625" style="1" customWidth="1"/>
    <col min="62" max="62" width="7.7109375" style="1" customWidth="1"/>
    <col min="63" max="63" width="6.7109375" style="1" customWidth="1"/>
    <col min="64" max="64" width="6.5703125" style="1" customWidth="1"/>
    <col min="65" max="65" width="7.140625" style="1" customWidth="1"/>
    <col min="66" max="66" width="6.140625" style="1" customWidth="1"/>
    <col min="67" max="67" width="7.7109375" style="1" customWidth="1"/>
    <col min="68" max="68" width="6.7109375" style="1" customWidth="1"/>
    <col min="69" max="69" width="6.5703125" style="1" customWidth="1"/>
    <col min="70" max="70" width="7.140625" style="1" customWidth="1"/>
    <col min="71" max="71" width="6.140625" style="1" customWidth="1"/>
    <col min="72" max="72" width="7.7109375" style="1" customWidth="1"/>
    <col min="73" max="73" width="6.7109375" style="1" customWidth="1"/>
    <col min="74" max="74" width="6.5703125" style="1" customWidth="1"/>
    <col min="75" max="75" width="7.140625" style="1" customWidth="1"/>
    <col min="76" max="76" width="6.140625" style="1" customWidth="1"/>
    <col min="77" max="77" width="7.7109375" style="1" customWidth="1"/>
    <col min="78" max="78" width="6.7109375" style="1" customWidth="1"/>
    <col min="79" max="79" width="6.5703125" style="1" customWidth="1"/>
    <col min="80" max="80" width="7.140625" style="1" customWidth="1"/>
    <col min="81" max="81" width="6.140625" style="1" customWidth="1"/>
    <col min="82" max="82" width="7.7109375" style="1" customWidth="1"/>
    <col min="83" max="83" width="6.7109375" style="1" customWidth="1"/>
    <col min="84" max="84" width="6.5703125" style="1" customWidth="1"/>
    <col min="85" max="85" width="7.140625" style="1" customWidth="1"/>
    <col min="86" max="86" width="6.140625" style="1" customWidth="1"/>
    <col min="87" max="87" width="7.7109375" style="1" customWidth="1"/>
    <col min="88" max="88" width="6.7109375" style="1" customWidth="1"/>
    <col min="89" max="89" width="6.5703125" style="1" customWidth="1"/>
    <col min="90" max="90" width="7.140625" style="1" customWidth="1"/>
    <col min="91" max="91" width="6.140625" style="1" customWidth="1"/>
    <col min="92" max="92" width="7.7109375" style="1" customWidth="1"/>
    <col min="93" max="93" width="6.7109375" style="1" customWidth="1"/>
    <col min="94" max="94" width="6.5703125" style="1" customWidth="1"/>
    <col min="95" max="95" width="7.140625" style="1" customWidth="1"/>
    <col min="96" max="96" width="6.140625" style="1" customWidth="1"/>
    <col min="97" max="97" width="7.7109375" style="1" customWidth="1"/>
    <col min="98" max="98" width="6.7109375" style="1" customWidth="1"/>
    <col min="99" max="99" width="6.5703125" style="1" customWidth="1"/>
    <col min="100" max="100" width="7.140625" style="1" customWidth="1"/>
    <col min="101" max="101" width="6.140625" style="1" customWidth="1"/>
    <col min="102" max="102" width="7.7109375" style="1" customWidth="1"/>
    <col min="103" max="103" width="6.7109375" style="1" customWidth="1"/>
    <col min="104" max="104" width="6.5703125" style="1" customWidth="1"/>
    <col min="105" max="105" width="7.140625" style="1" customWidth="1"/>
    <col min="106" max="106" width="6.140625" style="1" customWidth="1"/>
    <col min="107" max="107" width="7.7109375" style="1" customWidth="1"/>
    <col min="108" max="108" width="6.7109375" style="1" customWidth="1"/>
    <col min="109" max="109" width="6.5703125" style="1" customWidth="1"/>
    <col min="110" max="110" width="7.140625" style="1" customWidth="1"/>
    <col min="111" max="111" width="6.140625" style="1" customWidth="1"/>
    <col min="112" max="112" width="7.7109375" style="1" customWidth="1"/>
    <col min="113" max="113" width="6.7109375" style="1" customWidth="1"/>
    <col min="114" max="114" width="6.5703125" style="1" customWidth="1"/>
    <col min="115" max="115" width="7.140625" style="1" customWidth="1"/>
    <col min="116" max="116" width="6.140625" style="1" customWidth="1"/>
    <col min="117" max="117" width="7.7109375" style="1" customWidth="1"/>
    <col min="118" max="118" width="6.7109375" style="1" customWidth="1"/>
    <col min="119" max="119" width="6.5703125" style="1" customWidth="1"/>
    <col min="120" max="120" width="7.140625" style="1" customWidth="1"/>
    <col min="121" max="121" width="6.140625" style="1" customWidth="1"/>
    <col min="122" max="122" width="7.7109375" style="1" customWidth="1"/>
    <col min="123" max="123" width="6.7109375" style="1" customWidth="1"/>
    <col min="124" max="124" width="6.5703125" style="1" customWidth="1"/>
    <col min="125" max="125" width="7.140625" style="1" customWidth="1"/>
    <col min="126" max="126" width="6.140625" style="1" customWidth="1"/>
    <col min="127" max="127" width="7.7109375" style="1" customWidth="1"/>
    <col min="128" max="128" width="6.7109375" style="1" customWidth="1"/>
    <col min="129" max="129" width="6.5703125" style="1" customWidth="1"/>
    <col min="130" max="130" width="7.140625" style="1" customWidth="1"/>
    <col min="131" max="131" width="6.140625" style="1" customWidth="1"/>
    <col min="132" max="132" width="7.7109375" style="1" customWidth="1"/>
    <col min="133" max="133" width="6.7109375" style="1" customWidth="1"/>
    <col min="134" max="134" width="6.5703125" style="1" customWidth="1"/>
    <col min="135" max="135" width="7.140625" style="1" customWidth="1"/>
    <col min="136" max="136" width="6.140625" style="1" customWidth="1"/>
    <col min="137" max="137" width="7.7109375" style="1" customWidth="1"/>
    <col min="138" max="138" width="6.7109375" style="1" customWidth="1"/>
    <col min="139" max="139" width="6.5703125" style="1" customWidth="1"/>
    <col min="140" max="140" width="7.140625" style="1" customWidth="1"/>
    <col min="141" max="141" width="6.140625" style="1" customWidth="1"/>
    <col min="142" max="142" width="7.7109375" style="1" customWidth="1"/>
    <col min="143" max="143" width="6.7109375" style="1" customWidth="1"/>
    <col min="144" max="144" width="6.5703125" style="1" customWidth="1"/>
    <col min="145" max="145" width="7.140625" style="1" customWidth="1"/>
    <col min="146" max="146" width="6.140625" style="1" customWidth="1"/>
    <col min="147" max="147" width="7.7109375" style="1" customWidth="1"/>
    <col min="148" max="155" width="9.140625" style="1"/>
    <col min="156" max="156" width="20.7109375" style="2" customWidth="1"/>
    <col min="157" max="157" width="18" style="1" customWidth="1"/>
    <col min="158" max="158" width="18.28515625" style="1" customWidth="1"/>
    <col min="159" max="159" width="27.7109375" style="1" customWidth="1"/>
    <col min="160" max="16384" width="9.140625" style="1"/>
  </cols>
  <sheetData>
    <row r="1" spans="1:159" x14ac:dyDescent="0.2">
      <c r="A1" s="19" t="s">
        <v>0</v>
      </c>
      <c r="B1" s="19" t="s">
        <v>1</v>
      </c>
      <c r="C1" s="19" t="s">
        <v>2</v>
      </c>
      <c r="D1" s="19" t="s">
        <v>3</v>
      </c>
      <c r="E1" s="25" t="s">
        <v>4</v>
      </c>
      <c r="F1" s="26" t="s">
        <v>88</v>
      </c>
      <c r="G1" s="19" t="s">
        <v>5</v>
      </c>
      <c r="H1" s="24" t="s">
        <v>11</v>
      </c>
      <c r="I1" s="24"/>
      <c r="J1" s="24"/>
      <c r="K1" s="24"/>
      <c r="L1" s="24"/>
      <c r="M1" s="24" t="s">
        <v>12</v>
      </c>
      <c r="N1" s="24"/>
      <c r="O1" s="24"/>
      <c r="P1" s="24"/>
      <c r="Q1" s="24"/>
      <c r="R1" s="24" t="s">
        <v>13</v>
      </c>
      <c r="S1" s="24"/>
      <c r="T1" s="24"/>
      <c r="U1" s="24"/>
      <c r="V1" s="24"/>
      <c r="W1" s="24" t="s">
        <v>14</v>
      </c>
      <c r="X1" s="24"/>
      <c r="Y1" s="24"/>
      <c r="Z1" s="24"/>
      <c r="AA1" s="24"/>
      <c r="AB1" s="24" t="s">
        <v>19</v>
      </c>
      <c r="AC1" s="24"/>
      <c r="AD1" s="24"/>
      <c r="AE1" s="24"/>
      <c r="AF1" s="24"/>
      <c r="AG1" s="24" t="s">
        <v>15</v>
      </c>
      <c r="AH1" s="24"/>
      <c r="AI1" s="24"/>
      <c r="AJ1" s="24"/>
      <c r="AK1" s="24"/>
      <c r="AL1" s="24" t="s">
        <v>16</v>
      </c>
      <c r="AM1" s="24"/>
      <c r="AN1" s="24"/>
      <c r="AO1" s="24"/>
      <c r="AP1" s="24"/>
      <c r="AQ1" s="24" t="s">
        <v>17</v>
      </c>
      <c r="AR1" s="24"/>
      <c r="AS1" s="24"/>
      <c r="AT1" s="24"/>
      <c r="AU1" s="24"/>
      <c r="AV1" s="24" t="s">
        <v>18</v>
      </c>
      <c r="AW1" s="24"/>
      <c r="AX1" s="24"/>
      <c r="AY1" s="24"/>
      <c r="AZ1" s="24"/>
      <c r="BA1" s="23" t="s">
        <v>34</v>
      </c>
      <c r="BB1" s="23"/>
      <c r="BC1" s="23"/>
      <c r="BD1" s="23"/>
      <c r="BE1" s="23"/>
      <c r="BF1" s="23" t="s">
        <v>35</v>
      </c>
      <c r="BG1" s="23"/>
      <c r="BH1" s="23"/>
      <c r="BI1" s="23"/>
      <c r="BJ1" s="23"/>
      <c r="BK1" s="23" t="s">
        <v>36</v>
      </c>
      <c r="BL1" s="23"/>
      <c r="BM1" s="23"/>
      <c r="BN1" s="23"/>
      <c r="BO1" s="23"/>
      <c r="BP1" s="23" t="s">
        <v>37</v>
      </c>
      <c r="BQ1" s="23"/>
      <c r="BR1" s="23"/>
      <c r="BS1" s="23"/>
      <c r="BT1" s="23"/>
      <c r="BU1" s="23" t="s">
        <v>38</v>
      </c>
      <c r="BV1" s="23"/>
      <c r="BW1" s="23"/>
      <c r="BX1" s="23"/>
      <c r="BY1" s="23"/>
      <c r="BZ1" s="23" t="s">
        <v>39</v>
      </c>
      <c r="CA1" s="23"/>
      <c r="CB1" s="23"/>
      <c r="CC1" s="23"/>
      <c r="CD1" s="23"/>
      <c r="CE1" s="23" t="s">
        <v>40</v>
      </c>
      <c r="CF1" s="23"/>
      <c r="CG1" s="23"/>
      <c r="CH1" s="23"/>
      <c r="CI1" s="23"/>
      <c r="CJ1" s="23" t="s">
        <v>41</v>
      </c>
      <c r="CK1" s="23"/>
      <c r="CL1" s="23"/>
      <c r="CM1" s="23"/>
      <c r="CN1" s="23"/>
      <c r="CO1" s="23" t="s">
        <v>42</v>
      </c>
      <c r="CP1" s="23"/>
      <c r="CQ1" s="23"/>
      <c r="CR1" s="23"/>
      <c r="CS1" s="23"/>
      <c r="CT1" s="23" t="s">
        <v>43</v>
      </c>
      <c r="CU1" s="23"/>
      <c r="CV1" s="23"/>
      <c r="CW1" s="23"/>
      <c r="CX1" s="23"/>
      <c r="CY1" s="22" t="s">
        <v>44</v>
      </c>
      <c r="CZ1" s="22"/>
      <c r="DA1" s="22"/>
      <c r="DB1" s="22"/>
      <c r="DC1" s="22"/>
      <c r="DD1" s="22" t="s">
        <v>45</v>
      </c>
      <c r="DE1" s="22"/>
      <c r="DF1" s="22"/>
      <c r="DG1" s="22"/>
      <c r="DH1" s="22"/>
      <c r="DI1" s="22" t="s">
        <v>47</v>
      </c>
      <c r="DJ1" s="22"/>
      <c r="DK1" s="22"/>
      <c r="DL1" s="22"/>
      <c r="DM1" s="22"/>
      <c r="DN1" s="22" t="s">
        <v>46</v>
      </c>
      <c r="DO1" s="22"/>
      <c r="DP1" s="22"/>
      <c r="DQ1" s="22"/>
      <c r="DR1" s="22"/>
      <c r="DS1" s="22" t="s">
        <v>48</v>
      </c>
      <c r="DT1" s="22"/>
      <c r="DU1" s="22"/>
      <c r="DV1" s="22"/>
      <c r="DW1" s="22"/>
      <c r="DX1" s="22" t="s">
        <v>49</v>
      </c>
      <c r="DY1" s="22"/>
      <c r="DZ1" s="22"/>
      <c r="EA1" s="22"/>
      <c r="EB1" s="22"/>
      <c r="EC1" s="22" t="s">
        <v>50</v>
      </c>
      <c r="ED1" s="22"/>
      <c r="EE1" s="22"/>
      <c r="EF1" s="22"/>
      <c r="EG1" s="22"/>
      <c r="EH1" s="22" t="s">
        <v>51</v>
      </c>
      <c r="EI1" s="22"/>
      <c r="EJ1" s="22"/>
      <c r="EK1" s="22"/>
      <c r="EL1" s="22"/>
      <c r="EM1" s="22" t="s">
        <v>52</v>
      </c>
      <c r="EN1" s="22"/>
      <c r="EO1" s="22"/>
      <c r="EP1" s="22"/>
      <c r="EQ1" s="22"/>
      <c r="ER1" s="20" t="s">
        <v>53</v>
      </c>
      <c r="ES1" s="20"/>
      <c r="ET1" s="20" t="s">
        <v>56</v>
      </c>
      <c r="EU1" s="20"/>
      <c r="EV1" s="20" t="s">
        <v>59</v>
      </c>
      <c r="EW1" s="20"/>
      <c r="EX1" s="21" t="s">
        <v>62</v>
      </c>
      <c r="EY1" s="21" t="s">
        <v>63</v>
      </c>
      <c r="EZ1" s="19" t="s">
        <v>64</v>
      </c>
      <c r="FA1" s="19" t="s">
        <v>65</v>
      </c>
      <c r="FB1" s="19" t="s">
        <v>66</v>
      </c>
      <c r="FC1" s="19" t="s">
        <v>67</v>
      </c>
    </row>
    <row r="2" spans="1:159" x14ac:dyDescent="0.2">
      <c r="A2" s="19"/>
      <c r="B2" s="19"/>
      <c r="C2" s="19"/>
      <c r="D2" s="19"/>
      <c r="E2" s="25"/>
      <c r="F2" s="27"/>
      <c r="G2" s="19"/>
      <c r="H2" s="4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6</v>
      </c>
      <c r="N2" s="5" t="s">
        <v>7</v>
      </c>
      <c r="O2" s="5" t="s">
        <v>8</v>
      </c>
      <c r="P2" s="5" t="s">
        <v>9</v>
      </c>
      <c r="Q2" s="5" t="s">
        <v>10</v>
      </c>
      <c r="R2" s="5" t="s">
        <v>6</v>
      </c>
      <c r="S2" s="5" t="s">
        <v>7</v>
      </c>
      <c r="T2" s="5" t="s">
        <v>8</v>
      </c>
      <c r="U2" s="5" t="s">
        <v>9</v>
      </c>
      <c r="V2" s="5" t="s">
        <v>10</v>
      </c>
      <c r="W2" s="5" t="s">
        <v>6</v>
      </c>
      <c r="X2" s="5" t="s">
        <v>7</v>
      </c>
      <c r="Y2" s="5" t="s">
        <v>8</v>
      </c>
      <c r="Z2" s="5" t="s">
        <v>9</v>
      </c>
      <c r="AA2" s="5" t="s">
        <v>10</v>
      </c>
      <c r="AB2" s="5" t="s">
        <v>6</v>
      </c>
      <c r="AC2" s="5" t="s">
        <v>7</v>
      </c>
      <c r="AD2" s="5" t="s">
        <v>8</v>
      </c>
      <c r="AE2" s="5" t="s">
        <v>9</v>
      </c>
      <c r="AF2" s="5" t="s">
        <v>10</v>
      </c>
      <c r="AG2" s="5" t="s">
        <v>6</v>
      </c>
      <c r="AH2" s="5" t="s">
        <v>7</v>
      </c>
      <c r="AI2" s="5" t="s">
        <v>8</v>
      </c>
      <c r="AJ2" s="5" t="s">
        <v>9</v>
      </c>
      <c r="AK2" s="5" t="s">
        <v>10</v>
      </c>
      <c r="AL2" s="5" t="s">
        <v>6</v>
      </c>
      <c r="AM2" s="5" t="s">
        <v>7</v>
      </c>
      <c r="AN2" s="5" t="s">
        <v>8</v>
      </c>
      <c r="AO2" s="5" t="s">
        <v>9</v>
      </c>
      <c r="AP2" s="5" t="s">
        <v>10</v>
      </c>
      <c r="AQ2" s="5" t="s">
        <v>6</v>
      </c>
      <c r="AR2" s="5" t="s">
        <v>7</v>
      </c>
      <c r="AS2" s="5" t="s">
        <v>8</v>
      </c>
      <c r="AT2" s="5" t="s">
        <v>9</v>
      </c>
      <c r="AU2" s="5" t="s">
        <v>10</v>
      </c>
      <c r="AV2" s="5" t="s">
        <v>6</v>
      </c>
      <c r="AW2" s="5" t="s">
        <v>7</v>
      </c>
      <c r="AX2" s="5" t="s">
        <v>8</v>
      </c>
      <c r="AY2" s="5" t="s">
        <v>9</v>
      </c>
      <c r="AZ2" s="5" t="s">
        <v>10</v>
      </c>
      <c r="BA2" s="8" t="s">
        <v>6</v>
      </c>
      <c r="BB2" s="9" t="s">
        <v>7</v>
      </c>
      <c r="BC2" s="9" t="s">
        <v>8</v>
      </c>
      <c r="BD2" s="9" t="s">
        <v>9</v>
      </c>
      <c r="BE2" s="9" t="s">
        <v>10</v>
      </c>
      <c r="BF2" s="9" t="s">
        <v>6</v>
      </c>
      <c r="BG2" s="9" t="s">
        <v>7</v>
      </c>
      <c r="BH2" s="9" t="s">
        <v>8</v>
      </c>
      <c r="BI2" s="9" t="s">
        <v>9</v>
      </c>
      <c r="BJ2" s="9" t="s">
        <v>10</v>
      </c>
      <c r="BK2" s="9" t="s">
        <v>6</v>
      </c>
      <c r="BL2" s="9" t="s">
        <v>7</v>
      </c>
      <c r="BM2" s="9" t="s">
        <v>8</v>
      </c>
      <c r="BN2" s="9" t="s">
        <v>9</v>
      </c>
      <c r="BO2" s="9" t="s">
        <v>10</v>
      </c>
      <c r="BP2" s="9" t="s">
        <v>6</v>
      </c>
      <c r="BQ2" s="9" t="s">
        <v>7</v>
      </c>
      <c r="BR2" s="9" t="s">
        <v>8</v>
      </c>
      <c r="BS2" s="9" t="s">
        <v>9</v>
      </c>
      <c r="BT2" s="9" t="s">
        <v>10</v>
      </c>
      <c r="BU2" s="9" t="s">
        <v>6</v>
      </c>
      <c r="BV2" s="9" t="s">
        <v>7</v>
      </c>
      <c r="BW2" s="9" t="s">
        <v>8</v>
      </c>
      <c r="BX2" s="9" t="s">
        <v>9</v>
      </c>
      <c r="BY2" s="9" t="s">
        <v>10</v>
      </c>
      <c r="BZ2" s="9" t="s">
        <v>6</v>
      </c>
      <c r="CA2" s="9" t="s">
        <v>7</v>
      </c>
      <c r="CB2" s="9" t="s">
        <v>8</v>
      </c>
      <c r="CC2" s="9" t="s">
        <v>9</v>
      </c>
      <c r="CD2" s="9" t="s">
        <v>10</v>
      </c>
      <c r="CE2" s="9" t="s">
        <v>6</v>
      </c>
      <c r="CF2" s="9" t="s">
        <v>7</v>
      </c>
      <c r="CG2" s="9" t="s">
        <v>8</v>
      </c>
      <c r="CH2" s="9" t="s">
        <v>9</v>
      </c>
      <c r="CI2" s="9" t="s">
        <v>10</v>
      </c>
      <c r="CJ2" s="9" t="s">
        <v>6</v>
      </c>
      <c r="CK2" s="9" t="s">
        <v>7</v>
      </c>
      <c r="CL2" s="9" t="s">
        <v>8</v>
      </c>
      <c r="CM2" s="9" t="s">
        <v>9</v>
      </c>
      <c r="CN2" s="9" t="s">
        <v>10</v>
      </c>
      <c r="CO2" s="9" t="s">
        <v>6</v>
      </c>
      <c r="CP2" s="9" t="s">
        <v>7</v>
      </c>
      <c r="CQ2" s="9" t="s">
        <v>8</v>
      </c>
      <c r="CR2" s="9" t="s">
        <v>9</v>
      </c>
      <c r="CS2" s="9" t="s">
        <v>10</v>
      </c>
      <c r="CT2" s="9" t="s">
        <v>6</v>
      </c>
      <c r="CU2" s="9" t="s">
        <v>7</v>
      </c>
      <c r="CV2" s="9" t="s">
        <v>8</v>
      </c>
      <c r="CW2" s="9" t="s">
        <v>9</v>
      </c>
      <c r="CX2" s="9" t="s">
        <v>10</v>
      </c>
      <c r="CY2" s="10" t="s">
        <v>6</v>
      </c>
      <c r="CZ2" s="10" t="s">
        <v>7</v>
      </c>
      <c r="DA2" s="10" t="s">
        <v>8</v>
      </c>
      <c r="DB2" s="10" t="s">
        <v>9</v>
      </c>
      <c r="DC2" s="10" t="s">
        <v>10</v>
      </c>
      <c r="DD2" s="10" t="s">
        <v>6</v>
      </c>
      <c r="DE2" s="10" t="s">
        <v>7</v>
      </c>
      <c r="DF2" s="10" t="s">
        <v>8</v>
      </c>
      <c r="DG2" s="10" t="s">
        <v>9</v>
      </c>
      <c r="DH2" s="10" t="s">
        <v>10</v>
      </c>
      <c r="DI2" s="10" t="s">
        <v>6</v>
      </c>
      <c r="DJ2" s="10" t="s">
        <v>7</v>
      </c>
      <c r="DK2" s="10" t="s">
        <v>8</v>
      </c>
      <c r="DL2" s="10" t="s">
        <v>9</v>
      </c>
      <c r="DM2" s="10" t="s">
        <v>10</v>
      </c>
      <c r="DN2" s="10" t="s">
        <v>6</v>
      </c>
      <c r="DO2" s="10" t="s">
        <v>7</v>
      </c>
      <c r="DP2" s="10" t="s">
        <v>8</v>
      </c>
      <c r="DQ2" s="10" t="s">
        <v>9</v>
      </c>
      <c r="DR2" s="10" t="s">
        <v>10</v>
      </c>
      <c r="DS2" s="10" t="s">
        <v>6</v>
      </c>
      <c r="DT2" s="10" t="s">
        <v>7</v>
      </c>
      <c r="DU2" s="10" t="s">
        <v>8</v>
      </c>
      <c r="DV2" s="10" t="s">
        <v>9</v>
      </c>
      <c r="DW2" s="10" t="s">
        <v>10</v>
      </c>
      <c r="DX2" s="10" t="s">
        <v>6</v>
      </c>
      <c r="DY2" s="10" t="s">
        <v>7</v>
      </c>
      <c r="DZ2" s="10" t="s">
        <v>8</v>
      </c>
      <c r="EA2" s="10" t="s">
        <v>9</v>
      </c>
      <c r="EB2" s="10" t="s">
        <v>10</v>
      </c>
      <c r="EC2" s="10" t="s">
        <v>6</v>
      </c>
      <c r="ED2" s="10" t="s">
        <v>7</v>
      </c>
      <c r="EE2" s="10" t="s">
        <v>8</v>
      </c>
      <c r="EF2" s="10" t="s">
        <v>9</v>
      </c>
      <c r="EG2" s="10" t="s">
        <v>10</v>
      </c>
      <c r="EH2" s="10" t="s">
        <v>6</v>
      </c>
      <c r="EI2" s="10" t="s">
        <v>7</v>
      </c>
      <c r="EJ2" s="10" t="s">
        <v>8</v>
      </c>
      <c r="EK2" s="10" t="s">
        <v>9</v>
      </c>
      <c r="EL2" s="10" t="s">
        <v>10</v>
      </c>
      <c r="EM2" s="10" t="s">
        <v>6</v>
      </c>
      <c r="EN2" s="10" t="s">
        <v>7</v>
      </c>
      <c r="EO2" s="10" t="s">
        <v>8</v>
      </c>
      <c r="EP2" s="10" t="s">
        <v>9</v>
      </c>
      <c r="EQ2" s="10" t="s">
        <v>10</v>
      </c>
      <c r="ER2" s="6" t="s">
        <v>54</v>
      </c>
      <c r="ES2" s="6" t="s">
        <v>55</v>
      </c>
      <c r="ET2" s="6" t="s">
        <v>57</v>
      </c>
      <c r="EU2" s="6" t="s">
        <v>58</v>
      </c>
      <c r="EV2" s="6" t="s">
        <v>60</v>
      </c>
      <c r="EW2" s="6" t="s">
        <v>61</v>
      </c>
      <c r="EX2" s="21"/>
      <c r="EY2" s="21"/>
      <c r="EZ2" s="19"/>
      <c r="FA2" s="19"/>
      <c r="FB2" s="19"/>
      <c r="FC2" s="19"/>
    </row>
    <row r="3" spans="1:159" ht="15" x14ac:dyDescent="0.25">
      <c r="A3" s="7">
        <v>1</v>
      </c>
      <c r="B3" s="28" t="s">
        <v>33</v>
      </c>
      <c r="C3" s="7">
        <v>172312001</v>
      </c>
      <c r="D3" s="6" t="s">
        <v>96</v>
      </c>
      <c r="E3" s="15" t="s">
        <v>97</v>
      </c>
      <c r="F3" s="15" t="s">
        <v>98</v>
      </c>
      <c r="G3" s="6"/>
      <c r="H3" s="3">
        <v>78</v>
      </c>
      <c r="I3" s="12" t="str">
        <f>IF(H3&gt;=80,"A",IF(H3&gt;=75,"B+",IF(H3&gt;=70,"B",IF(H3&gt;=65,"C+",IF(H3&gt;=60,"C",IF(H3&gt;=55,"D",IF(H3&lt;54,"E")))))))</f>
        <v>B+</v>
      </c>
      <c r="J3" s="13">
        <f t="shared" ref="J3:J16" si="0">IF(I3="A",4,IF(I3="B+",3.5,IF(I3="B",3,IF(I3="C+",2.5,IF(I3="C",2,IF(I3="D",1,0))))))</f>
        <v>3.5</v>
      </c>
      <c r="K3" s="3">
        <v>3</v>
      </c>
      <c r="L3" s="3">
        <f>J3*K3</f>
        <v>10.5</v>
      </c>
      <c r="M3" s="3">
        <v>74</v>
      </c>
      <c r="N3" s="12" t="str">
        <f>IF(M3&gt;=80,"A",IF(M3&gt;=75,"B+",IF(M3&gt;=70,"B",IF(M3&gt;=65,"C+",IF(M3&gt;=60,"C",IF(M3&gt;=55,"D",IF(M3&lt;54,"E")))))))</f>
        <v>B</v>
      </c>
      <c r="O3" s="13">
        <f t="shared" ref="O3" si="1">IF(N3="A",4,IF(N3="B+",3.5,IF(N3="B",3,IF(N3="C+",2.5,IF(N3="C",2,IF(N3="D",1,0))))))</f>
        <v>3</v>
      </c>
      <c r="P3" s="3">
        <v>3</v>
      </c>
      <c r="Q3" s="3">
        <f>O3*P3</f>
        <v>9</v>
      </c>
      <c r="R3" s="3">
        <v>80</v>
      </c>
      <c r="S3" s="12" t="str">
        <f>IF(R3&gt;=80,"A",IF(R3&gt;=75,"B+",IF(R3&gt;=70,"B",IF(R3&gt;=65,"C+",IF(R3&gt;=60,"C",IF(R3&gt;=55,"D",IF(R3&lt;54,"E")))))))</f>
        <v>A</v>
      </c>
      <c r="T3" s="13">
        <f t="shared" ref="T3" si="2">IF(S3="A",4,IF(S3="B+",3.5,IF(S3="B",3,IF(S3="C+",2.5,IF(S3="C",2,IF(S3="D",1,0))))))</f>
        <v>4</v>
      </c>
      <c r="U3" s="3">
        <v>2</v>
      </c>
      <c r="V3" s="3">
        <f>T3*U3</f>
        <v>8</v>
      </c>
      <c r="W3" s="3">
        <v>79</v>
      </c>
      <c r="X3" s="12" t="str">
        <f>IF(W3&gt;=80,"A",IF(W3&gt;=75,"B+",IF(W3&gt;=70,"B",IF(W3&gt;=65,"C+",IF(W3&gt;=60,"C",IF(W3&gt;=55,"D",IF(W3&lt;54,"E")))))))</f>
        <v>B+</v>
      </c>
      <c r="Y3" s="13">
        <f t="shared" ref="Y3" si="3">IF(X3="A",4,IF(X3="B+",3.5,IF(X3="B",3,IF(X3="C+",2.5,IF(X3="C",2,IF(X3="D",1,0))))))</f>
        <v>3.5</v>
      </c>
      <c r="Z3" s="3">
        <v>2</v>
      </c>
      <c r="AA3" s="3">
        <f>Y3*Z3</f>
        <v>7</v>
      </c>
      <c r="AB3" s="3">
        <v>70</v>
      </c>
      <c r="AC3" s="12" t="str">
        <f>IF(AB3&gt;=80,"A",IF(AB3&gt;=75,"B+",IF(AB3&gt;=70,"B",IF(AB3&gt;=65,"C+",IF(AB3&gt;=60,"C",IF(AB3&gt;=55,"D",IF(AB3&lt;54,"E")))))))</f>
        <v>B</v>
      </c>
      <c r="AD3" s="13">
        <f t="shared" ref="AD3" si="4">IF(AC3="A",4,IF(AC3="B+",3.5,IF(AC3="B",3,IF(AC3="C+",2.5,IF(AC3="C",2,IF(AC3="D",1,0))))))</f>
        <v>3</v>
      </c>
      <c r="AE3" s="3">
        <v>2</v>
      </c>
      <c r="AF3" s="3">
        <f>AD3*AE3</f>
        <v>6</v>
      </c>
      <c r="AG3" s="3">
        <v>72</v>
      </c>
      <c r="AH3" s="12" t="str">
        <f>IF(AG3&gt;=80,"A",IF(AG3&gt;=75,"B+",IF(AG3&gt;=70,"B",IF(AG3&gt;=65,"C+",IF(AG3&gt;=60,"C",IF(AG3&gt;=55,"D",IF(AG3&lt;54,"E")))))))</f>
        <v>B</v>
      </c>
      <c r="AI3" s="13">
        <f t="shared" ref="AI3" si="5">IF(AH3="A",4,IF(AH3="B+",3.5,IF(AH3="B",3,IF(AH3="C+",2.5,IF(AH3="C",2,IF(AH3="D",1,0))))))</f>
        <v>3</v>
      </c>
      <c r="AJ3" s="3">
        <v>2</v>
      </c>
      <c r="AK3" s="3">
        <f>AI3*AJ3</f>
        <v>6</v>
      </c>
      <c r="AL3" s="3">
        <v>74</v>
      </c>
      <c r="AM3" s="12" t="str">
        <f>IF(AL3&gt;=80,"A",IF(AL3&gt;=75,"B+",IF(AL3&gt;=70,"B",IF(AL3&gt;=65,"C+",IF(AL3&gt;=60,"C",IF(AL3&gt;=55,"D",IF(AL3&lt;54,"E")))))))</f>
        <v>B</v>
      </c>
      <c r="AN3" s="13">
        <f t="shared" ref="AN3" si="6">IF(AM3="A",4,IF(AM3="B+",3.5,IF(AM3="B",3,IF(AM3="C+",2.5,IF(AM3="C",2,IF(AM3="D",1,0))))))</f>
        <v>3</v>
      </c>
      <c r="AO3" s="3">
        <v>2</v>
      </c>
      <c r="AP3" s="3">
        <f>AN3*AO3</f>
        <v>6</v>
      </c>
      <c r="AQ3" s="3">
        <v>81</v>
      </c>
      <c r="AR3" s="12" t="str">
        <f>IF(AQ3&gt;=80,"A",IF(AQ3&gt;=75,"B+",IF(AQ3&gt;=70,"B",IF(AQ3&gt;=65,"C+",IF(AQ3&gt;=60,"C",IF(AQ3&gt;=55,"D",IF(AQ3&lt;54,"E")))))))</f>
        <v>A</v>
      </c>
      <c r="AS3" s="13">
        <f t="shared" ref="AS3" si="7">IF(AR3="A",4,IF(AR3="B+",3.5,IF(AR3="B",3,IF(AR3="C+",2.5,IF(AR3="C",2,IF(AR3="D",1,0))))))</f>
        <v>4</v>
      </c>
      <c r="AT3" s="3">
        <v>3</v>
      </c>
      <c r="AU3" s="3">
        <f>AS3*AT3</f>
        <v>12</v>
      </c>
      <c r="AV3" s="3">
        <v>76</v>
      </c>
      <c r="AW3" s="12" t="str">
        <f>IF(AV3&gt;=80,"A",IF(AV3&gt;=75,"B+",IF(AV3&gt;=70,"B",IF(AV3&gt;=65,"C+",IF(AV3&gt;=60,"C",IF(AV3&gt;=55,"D",IF(AV3&lt;54,"E")))))))</f>
        <v>B+</v>
      </c>
      <c r="AX3" s="13">
        <f t="shared" ref="AX3" si="8">IF(AW3="A",4,IF(AW3="B+",3.5,IF(AW3="B",3,IF(AW3="C+",2.5,IF(AW3="C",2,IF(AW3="D",1,0))))))</f>
        <v>3.5</v>
      </c>
      <c r="AY3" s="3">
        <v>3</v>
      </c>
      <c r="AZ3" s="3">
        <f>AX3*AY3</f>
        <v>10.5</v>
      </c>
      <c r="BA3" s="3">
        <v>81</v>
      </c>
      <c r="BB3" s="12" t="str">
        <f>IF(BA3&gt;=80,"A",IF(BA3&gt;=75,"B+",IF(BA3&gt;=70,"B",IF(BA3&gt;=65,"C+",IF(BA3&gt;=60,"C",IF(BA3&gt;=55,"D",IF(BA3&lt;54,"E")))))))</f>
        <v>A</v>
      </c>
      <c r="BC3" s="13">
        <f t="shared" ref="BC3" si="9">IF(BB3="A",4,IF(BB3="B+",3.5,IF(BB3="B",3,IF(BB3="C+",2.5,IF(BB3="C",2,IF(BB3="D",1,0))))))</f>
        <v>4</v>
      </c>
      <c r="BD3" s="3">
        <v>2</v>
      </c>
      <c r="BE3" s="3">
        <f>BC3*BD3</f>
        <v>8</v>
      </c>
      <c r="BF3" s="3">
        <v>81</v>
      </c>
      <c r="BG3" s="12" t="str">
        <f>IF(BF3&gt;=80,"A",IF(BF3&gt;=75,"B+",IF(BF3&gt;=70,"B",IF(BF3&gt;=65,"C+",IF(BF3&gt;=60,"C",IF(BF3&gt;=55,"D",IF(BF3&lt;54,"E")))))))</f>
        <v>A</v>
      </c>
      <c r="BH3" s="13">
        <f t="shared" ref="BH3" si="10">IF(BG3="A",4,IF(BG3="B+",3.5,IF(BG3="B",3,IF(BG3="C+",2.5,IF(BG3="C",2,IF(BG3="D",1,0))))))</f>
        <v>4</v>
      </c>
      <c r="BI3" s="3">
        <v>2</v>
      </c>
      <c r="BJ3" s="3">
        <f>BH3*BI3</f>
        <v>8</v>
      </c>
      <c r="BK3" s="3">
        <v>76</v>
      </c>
      <c r="BL3" s="12" t="str">
        <f>IF(BK3&gt;=80,"A",IF(BK3&gt;=75,"B+",IF(BK3&gt;=70,"B",IF(BK3&gt;=65,"C+",IF(BK3&gt;=60,"C",IF(BK3&gt;=55,"D",IF(BK3&lt;54,"E")))))))</f>
        <v>B+</v>
      </c>
      <c r="BM3" s="13">
        <f t="shared" ref="BM3" si="11">IF(BL3="A",4,IF(BL3="B+",3.5,IF(BL3="B",3,IF(BL3="C+",2.5,IF(BL3="C",2,IF(BL3="D",1,0))))))</f>
        <v>3.5</v>
      </c>
      <c r="BN3" s="3">
        <v>2</v>
      </c>
      <c r="BO3" s="3">
        <f>BM3*BN3</f>
        <v>7</v>
      </c>
      <c r="BP3" s="3">
        <v>77</v>
      </c>
      <c r="BQ3" s="12" t="str">
        <f>IF(BP3&gt;=80,"A",IF(BP3&gt;=75,"B+",IF(BP3&gt;=70,"B",IF(BP3&gt;=65,"C+",IF(BP3&gt;=60,"C",IF(BP3&gt;=55,"D",IF(BP3&lt;54,"E")))))))</f>
        <v>B+</v>
      </c>
      <c r="BR3" s="13">
        <f t="shared" ref="BR3" si="12">IF(BQ3="A",4,IF(BQ3="B+",3.5,IF(BQ3="B",3,IF(BQ3="C+",2.5,IF(BQ3="C",2,IF(BQ3="D",1,0))))))</f>
        <v>3.5</v>
      </c>
      <c r="BS3" s="3">
        <v>3</v>
      </c>
      <c r="BT3" s="3">
        <f>BR3*BS3</f>
        <v>10.5</v>
      </c>
      <c r="BU3" s="3">
        <v>80</v>
      </c>
      <c r="BV3" s="12" t="str">
        <f>IF(BU3&gt;=80,"A",IF(BU3&gt;=75,"B+",IF(BU3&gt;=70,"B",IF(BU3&gt;=65,"C+",IF(BU3&gt;=60,"C",IF(BU3&gt;=55,"D",IF(BU3&lt;54,"E")))))))</f>
        <v>A</v>
      </c>
      <c r="BW3" s="13">
        <f t="shared" ref="BW3" si="13">IF(BV3="A",4,IF(BV3="B+",3.5,IF(BV3="B",3,IF(BV3="C+",2.5,IF(BV3="C",2,IF(BV3="D",1,0))))))</f>
        <v>4</v>
      </c>
      <c r="BX3" s="3">
        <v>2</v>
      </c>
      <c r="BY3" s="3">
        <f>BW3*BX3</f>
        <v>8</v>
      </c>
      <c r="BZ3" s="3">
        <v>80</v>
      </c>
      <c r="CA3" s="12" t="str">
        <f>IF(BZ3&gt;=80,"A",IF(BZ3&gt;=75,"B+",IF(BZ3&gt;=70,"B",IF(BZ3&gt;=65,"C+",IF(BZ3&gt;=60,"C",IF(BZ3&gt;=55,"D",IF(BZ3&lt;54,"E")))))))</f>
        <v>A</v>
      </c>
      <c r="CB3" s="13">
        <f t="shared" ref="CB3" si="14">IF(CA3="A",4,IF(CA3="B+",3.5,IF(CA3="B",3,IF(CA3="C+",2.5,IF(CA3="C",2,IF(CA3="D",1,0))))))</f>
        <v>4</v>
      </c>
      <c r="CC3" s="3">
        <v>2</v>
      </c>
      <c r="CD3" s="3">
        <f>CB3*CC3</f>
        <v>8</v>
      </c>
      <c r="CE3" s="3">
        <v>70</v>
      </c>
      <c r="CF3" s="12" t="str">
        <f>IF(CE3&gt;=80,"A",IF(CE3&gt;=75,"B+",IF(CE3&gt;=70,"B",IF(CE3&gt;=65,"C+",IF(CE3&gt;=60,"C",IF(CE3&gt;=55,"D",IF(CE3&lt;54,"E")))))))</f>
        <v>B</v>
      </c>
      <c r="CG3" s="13">
        <f t="shared" ref="CG3" si="15">IF(CF3="A",4,IF(CF3="B+",3.5,IF(CF3="B",3,IF(CF3="C+",2.5,IF(CF3="C",2,IF(CF3="D",1,0))))))</f>
        <v>3</v>
      </c>
      <c r="CH3" s="3">
        <v>2</v>
      </c>
      <c r="CI3" s="3">
        <f>CG3*CH3</f>
        <v>6</v>
      </c>
      <c r="CJ3" s="3">
        <v>72</v>
      </c>
      <c r="CK3" s="12" t="str">
        <f>IF(CJ3&gt;=80,"A",IF(CJ3&gt;=75,"B+",IF(CJ3&gt;=70,"B",IF(CJ3&gt;=65,"C+",IF(CJ3&gt;=60,"C",IF(CJ3&gt;=55,"D",IF(CJ3&lt;54,"E")))))))</f>
        <v>B</v>
      </c>
      <c r="CL3" s="13">
        <f t="shared" ref="CL3" si="16">IF(CK3="A",4,IF(CK3="B+",3.5,IF(CK3="B",3,IF(CK3="C+",2.5,IF(CK3="C",2,IF(CK3="D",1,0))))))</f>
        <v>3</v>
      </c>
      <c r="CM3" s="3">
        <v>3</v>
      </c>
      <c r="CN3" s="3">
        <f>CL3*CM3</f>
        <v>9</v>
      </c>
      <c r="CO3" s="3">
        <v>82</v>
      </c>
      <c r="CP3" s="12" t="str">
        <f>IF(CO3&gt;=80,"A",IF(CO3&gt;=75,"B+",IF(CO3&gt;=70,"B",IF(CO3&gt;=65,"C+",IF(CO3&gt;=60,"C",IF(CO3&gt;=55,"D",IF(CO3&lt;54,"E")))))))</f>
        <v>A</v>
      </c>
      <c r="CQ3" s="13">
        <f t="shared" ref="CQ3" si="17">IF(CP3="A",4,IF(CP3="B+",3.5,IF(CP3="B",3,IF(CP3="C+",2.5,IF(CP3="C",2,IF(CP3="D",1,0))))))</f>
        <v>4</v>
      </c>
      <c r="CR3" s="3">
        <v>2</v>
      </c>
      <c r="CS3" s="3">
        <f>CQ3*CR3</f>
        <v>8</v>
      </c>
      <c r="CT3" s="3">
        <v>74</v>
      </c>
      <c r="CU3" s="12" t="str">
        <f>IF(CT3&gt;=80,"A",IF(CT3&gt;=75,"B+",IF(CT3&gt;=70,"B",IF(CT3&gt;=65,"C+",IF(CT3&gt;=60,"C",IF(CT3&gt;=55,"D",IF(CT3&lt;54,"E")))))))</f>
        <v>B</v>
      </c>
      <c r="CV3" s="13">
        <f t="shared" ref="CV3" si="18">IF(CU3="A",4,IF(CU3="B+",3.5,IF(CU3="B",3,IF(CU3="C+",2.5,IF(CU3="C",2,IF(CU3="D",1,0))))))</f>
        <v>3</v>
      </c>
      <c r="CW3" s="3">
        <v>3</v>
      </c>
      <c r="CX3" s="3">
        <f>CV3*CW3</f>
        <v>9</v>
      </c>
      <c r="CY3" s="3">
        <v>77</v>
      </c>
      <c r="CZ3" s="12" t="str">
        <f>IF(CY3&gt;=80,"A",IF(CY3&gt;=75,"B+",IF(CY3&gt;=70,"B",IF(CY3&gt;=65,"C+",IF(CY3&gt;=60,"C",IF(CY3&gt;=55,"D",IF(CY3&lt;54,"E")))))))</f>
        <v>B+</v>
      </c>
      <c r="DA3" s="13">
        <f t="shared" ref="DA3" si="19">IF(CZ3="A",4,IF(CZ3="B+",3.5,IF(CZ3="B",3,IF(CZ3="C+",2.5,IF(CZ3="C",2,IF(CZ3="D",1,0))))))</f>
        <v>3.5</v>
      </c>
      <c r="DB3" s="3">
        <v>2</v>
      </c>
      <c r="DC3" s="3">
        <f>DA3*DB3</f>
        <v>7</v>
      </c>
      <c r="DD3" s="3">
        <v>74.400000000000006</v>
      </c>
      <c r="DE3" s="12" t="str">
        <f>IF(DD3&gt;=80,"A",IF(DD3&gt;=75,"B+",IF(DD3&gt;=70,"B",IF(DD3&gt;=65,"C+",IF(DD3&gt;=60,"C",IF(DD3&gt;=55,"D",IF(DD3&lt;54,"E")))))))</f>
        <v>B</v>
      </c>
      <c r="DF3" s="13">
        <f t="shared" ref="DF3" si="20">IF(DE3="A",4,IF(DE3="B+",3.5,IF(DE3="B",3,IF(DE3="C+",2.5,IF(DE3="C",2,IF(DE3="D",1,0))))))</f>
        <v>3</v>
      </c>
      <c r="DG3" s="3">
        <v>2</v>
      </c>
      <c r="DH3" s="3">
        <f>DF3*DG3</f>
        <v>6</v>
      </c>
      <c r="DI3" s="3">
        <v>67.150000000000006</v>
      </c>
      <c r="DJ3" s="12" t="str">
        <f>IF(DI3&gt;=80,"A",IF(DI3&gt;=75,"B+",IF(DI3&gt;=70,"B",IF(DI3&gt;=65,"C+",IF(DI3&gt;=60,"C",IF(DI3&gt;=55,"D",IF(DI3&lt;54,"E")))))))</f>
        <v>C+</v>
      </c>
      <c r="DK3" s="13">
        <f t="shared" ref="DK3" si="21">IF(DJ3="A",4,IF(DJ3="B+",3.5,IF(DJ3="B",3,IF(DJ3="C+",2.5,IF(DJ3="C",2,IF(DJ3="D",1,0))))))</f>
        <v>2.5</v>
      </c>
      <c r="DL3" s="3">
        <v>3</v>
      </c>
      <c r="DM3" s="3">
        <f>DK3*DL3</f>
        <v>7.5</v>
      </c>
      <c r="DN3" s="3">
        <v>71</v>
      </c>
      <c r="DO3" s="12" t="str">
        <f>IF(DN3&gt;=80,"A",IF(DN3&gt;=75,"B+",IF(DN3&gt;=70,"B",IF(DN3&gt;=65,"C+",IF(DN3&gt;=60,"C",IF(DN3&gt;=55,"D",IF(DN3&lt;54,"E")))))))</f>
        <v>B</v>
      </c>
      <c r="DP3" s="13">
        <f t="shared" ref="DP3" si="22">IF(DO3="A",4,IF(DO3="B+",3.5,IF(DO3="B",3,IF(DO3="C+",2.5,IF(DO3="C",2,IF(DO3="D",1,0))))))</f>
        <v>3</v>
      </c>
      <c r="DQ3" s="3">
        <v>2</v>
      </c>
      <c r="DR3" s="3">
        <f>DP3*DQ3</f>
        <v>6</v>
      </c>
      <c r="DS3" s="3">
        <v>80.2</v>
      </c>
      <c r="DT3" s="12" t="str">
        <f>IF(DS3&gt;=80,"A",IF(DS3&gt;=75,"B+",IF(DS3&gt;=70,"B",IF(DS3&gt;=65,"C+",IF(DS3&gt;=60,"C",IF(DS3&gt;=55,"D",IF(DS3&lt;54,"E")))))))</f>
        <v>A</v>
      </c>
      <c r="DU3" s="13">
        <f t="shared" ref="DU3" si="23">IF(DT3="A",4,IF(DT3="B+",3.5,IF(DT3="B",3,IF(DT3="C+",2.5,IF(DT3="C",2,IF(DT3="D",1,0))))))</f>
        <v>4</v>
      </c>
      <c r="DV3" s="3">
        <v>2</v>
      </c>
      <c r="DW3" s="3">
        <f>DU3*DV3</f>
        <v>8</v>
      </c>
      <c r="DX3" s="3">
        <v>66</v>
      </c>
      <c r="DY3" s="12" t="str">
        <f>IF(DX3&gt;=80,"A",IF(DX3&gt;=75,"B+",IF(DX3&gt;=70,"B",IF(DX3&gt;=65,"C+",IF(DX3&gt;=60,"C",IF(DX3&gt;=55,"D",IF(DX3&lt;54,"E")))))))</f>
        <v>C+</v>
      </c>
      <c r="DZ3" s="13">
        <f t="shared" ref="DZ3" si="24">IF(DY3="A",4,IF(DY3="B+",3.5,IF(DY3="B",3,IF(DY3="C+",2.5,IF(DY3="C",2,IF(DY3="D",1,0))))))</f>
        <v>2.5</v>
      </c>
      <c r="EA3" s="3">
        <v>2</v>
      </c>
      <c r="EB3" s="3">
        <f>DZ3*EA3</f>
        <v>5</v>
      </c>
      <c r="EC3" s="3">
        <v>75</v>
      </c>
      <c r="ED3" s="12" t="str">
        <f>IF(EC3&gt;=80,"A",IF(EC3&gt;=75,"B+",IF(EC3&gt;=70,"B",IF(EC3&gt;=65,"C+",IF(EC3&gt;=60,"C",IF(EC3&gt;=55,"D",IF(EC3&lt;54,"E")))))))</f>
        <v>B+</v>
      </c>
      <c r="EE3" s="13">
        <f t="shared" ref="EE3" si="25">IF(ED3="A",4,IF(ED3="B+",3.5,IF(ED3="B",3,IF(ED3="C+",2.5,IF(ED3="C",2,IF(ED3="D",1,0))))))</f>
        <v>3.5</v>
      </c>
      <c r="EF3" s="3">
        <v>2</v>
      </c>
      <c r="EG3" s="3">
        <f>EE3*EF3</f>
        <v>7</v>
      </c>
      <c r="EH3" s="3">
        <v>78.75</v>
      </c>
      <c r="EI3" s="12" t="str">
        <f>IF(EH3&gt;=80,"A",IF(EH3&gt;=75,"B+",IF(EH3&gt;=70,"B",IF(EH3&gt;=65,"C+",IF(EH3&gt;=60,"C",IF(EH3&gt;=55,"D",IF(EH3&lt;54,"E")))))))</f>
        <v>B+</v>
      </c>
      <c r="EJ3" s="13">
        <f t="shared" ref="EJ3" si="26">IF(EI3="A",4,IF(EI3="B+",3.5,IF(EI3="B",3,IF(EI3="C+",2.5,IF(EI3="C",2,IF(EI3="D",1,0))))))</f>
        <v>3.5</v>
      </c>
      <c r="EK3" s="3">
        <v>3</v>
      </c>
      <c r="EL3" s="3">
        <f>EJ3*EK3</f>
        <v>10.5</v>
      </c>
      <c r="EM3" s="3">
        <v>78.5</v>
      </c>
      <c r="EN3" s="12" t="str">
        <f>IF(EM3&gt;=80,"A",IF(EM3&gt;=75,"B+",IF(EM3&gt;=70,"B",IF(EM3&gt;=65,"C+",IF(EM3&gt;=60,"C",IF(EM3&gt;=55,"D",IF(EM3&lt;54,"E")))))))</f>
        <v>B+</v>
      </c>
      <c r="EO3" s="13">
        <f t="shared" ref="EO3" si="27">IF(EN3="A",4,IF(EN3="B+",3.5,IF(EN3="B",3,IF(EN3="C+",2.5,IF(EN3="C",2,IF(EN3="D",1,0))))))</f>
        <v>3.5</v>
      </c>
      <c r="EP3" s="3">
        <v>4</v>
      </c>
      <c r="EQ3" s="3">
        <f>EO3*EP3</f>
        <v>14</v>
      </c>
      <c r="ER3" s="6">
        <f>L3+Q3+V3+AA3+AF3+AK3+AP3+AU3+AU3+AZ3</f>
        <v>87</v>
      </c>
      <c r="ES3" s="6">
        <f>K3+P3+U3+Z3+AE3+AJ3+AO3+AT3+AY3</f>
        <v>22</v>
      </c>
      <c r="ET3" s="6">
        <f>BE3+BJ3+BO3+BT3+BY3+CD3+CI3+CN3+CS3+CX3</f>
        <v>81.5</v>
      </c>
      <c r="EU3" s="6">
        <f>BD3+BI3+BN3+BS3+BX3+CC3+CH3+CM3+CR3+CW3</f>
        <v>23</v>
      </c>
      <c r="EV3" s="6">
        <f>DC3+DH3+DM3+DR3+DW3+EB3+EG3+EL3+EQ3</f>
        <v>71</v>
      </c>
      <c r="EW3" s="6">
        <f>DB3+DG3+DL3+DQ3+DV3+EA3+EF3+EK3+EP3</f>
        <v>22</v>
      </c>
      <c r="EX3" s="6">
        <f>ER3+ET3+EV3</f>
        <v>239.5</v>
      </c>
      <c r="EY3" s="6">
        <f>ES3+EU3+EW3</f>
        <v>67</v>
      </c>
      <c r="EZ3" s="17">
        <f>EX3/EY3</f>
        <v>3.5746268656716418</v>
      </c>
      <c r="FA3" s="7" t="str">
        <f>IF(EZ3&gt;=3.51,"Cum Laude",(IF(EZ3&gt;=2.75,"Sangat Memuaskan",(IF(EZ3&gt;=2,"Memuaskan","GAGAL")))))</f>
        <v>Cum Laude</v>
      </c>
      <c r="FB3" s="14" t="str">
        <f>IF(EZ3&gt;=3.51,"Excellent",(IF(EZ3&gt;=2.75,"Highly Satisfactory",(IF(EZ3&gt;=2,"Satisfactory","FAILED")))))</f>
        <v>Excellent</v>
      </c>
      <c r="FC3" s="6"/>
    </row>
    <row r="4" spans="1:159" ht="15" x14ac:dyDescent="0.25">
      <c r="A4" s="7">
        <v>2</v>
      </c>
      <c r="B4" s="6" t="s">
        <v>20</v>
      </c>
      <c r="C4" s="7">
        <v>172312002</v>
      </c>
      <c r="D4" s="6" t="s">
        <v>69</v>
      </c>
      <c r="E4" s="15" t="s">
        <v>68</v>
      </c>
      <c r="F4" s="15" t="s">
        <v>98</v>
      </c>
      <c r="G4" s="6"/>
      <c r="H4" s="3">
        <v>78</v>
      </c>
      <c r="I4" s="12" t="str">
        <f t="shared" ref="I4:I16" si="28">IF(H4&gt;=80,"A",IF(H4&gt;=75,"B+",IF(H4&gt;=70,"B",IF(H4&gt;=65,"C+",IF(H4&gt;=60,"C",IF(H4&gt;=55,"D",IF(H4&lt;54,"E")))))))</f>
        <v>B+</v>
      </c>
      <c r="J4" s="13">
        <f t="shared" si="0"/>
        <v>3.5</v>
      </c>
      <c r="K4" s="3">
        <v>3</v>
      </c>
      <c r="L4" s="3">
        <f t="shared" ref="L4:L16" si="29">J4*K4</f>
        <v>10.5</v>
      </c>
      <c r="M4" s="3">
        <v>75</v>
      </c>
      <c r="N4" s="12" t="str">
        <f t="shared" ref="N4:N16" si="30">IF(M4&gt;=80,"A",IF(M4&gt;=75,"B+",IF(M4&gt;=70,"B",IF(M4&gt;=65,"C+",IF(M4&gt;=60,"C",IF(M4&gt;=55,"D",IF(M4&lt;54,"E")))))))</f>
        <v>B+</v>
      </c>
      <c r="O4" s="13">
        <f t="shared" ref="O4:O16" si="31">IF(N4="A",4,IF(N4="B+",3.5,IF(N4="B",3,IF(N4="C+",2.5,IF(N4="C",2,IF(N4="D",1,0))))))</f>
        <v>3.5</v>
      </c>
      <c r="P4" s="3">
        <v>3</v>
      </c>
      <c r="Q4" s="3">
        <f t="shared" ref="Q4:Q16" si="32">O4*P4</f>
        <v>10.5</v>
      </c>
      <c r="R4" s="3">
        <v>81</v>
      </c>
      <c r="S4" s="12" t="str">
        <f t="shared" ref="S4:S16" si="33">IF(R4&gt;=80,"A",IF(R4&gt;=75,"B+",IF(R4&gt;=70,"B",IF(R4&gt;=65,"C+",IF(R4&gt;=60,"C",IF(R4&gt;=55,"D",IF(R4&lt;54,"E")))))))</f>
        <v>A</v>
      </c>
      <c r="T4" s="13">
        <f t="shared" ref="T4:T16" si="34">IF(S4="A",4,IF(S4="B+",3.5,IF(S4="B",3,IF(S4="C+",2.5,IF(S4="C",2,IF(S4="D",1,0))))))</f>
        <v>4</v>
      </c>
      <c r="U4" s="3">
        <v>2</v>
      </c>
      <c r="V4" s="3">
        <f t="shared" ref="V4:V16" si="35">T4*U4</f>
        <v>8</v>
      </c>
      <c r="W4" s="3">
        <v>82</v>
      </c>
      <c r="X4" s="12" t="str">
        <f t="shared" ref="X4:X16" si="36">IF(W4&gt;=80,"A",IF(W4&gt;=75,"B+",IF(W4&gt;=70,"B",IF(W4&gt;=65,"C+",IF(W4&gt;=60,"C",IF(W4&gt;=55,"D",IF(W4&lt;54,"E")))))))</f>
        <v>A</v>
      </c>
      <c r="Y4" s="13">
        <f t="shared" ref="Y4:Y16" si="37">IF(X4="A",4,IF(X4="B+",3.5,IF(X4="B",3,IF(X4="C+",2.5,IF(X4="C",2,IF(X4="D",1,0))))))</f>
        <v>4</v>
      </c>
      <c r="Z4" s="3">
        <v>2</v>
      </c>
      <c r="AA4" s="3">
        <f t="shared" ref="AA4:AA16" si="38">Y4*Z4</f>
        <v>8</v>
      </c>
      <c r="AB4" s="3">
        <v>73</v>
      </c>
      <c r="AC4" s="12" t="str">
        <f t="shared" ref="AC4:AC16" si="39">IF(AB4&gt;=80,"A",IF(AB4&gt;=75,"B+",IF(AB4&gt;=70,"B",IF(AB4&gt;=65,"C+",IF(AB4&gt;=60,"C",IF(AB4&gt;=55,"D",IF(AB4&lt;54,"E")))))))</f>
        <v>B</v>
      </c>
      <c r="AD4" s="13">
        <f t="shared" ref="AD4:AD16" si="40">IF(AC4="A",4,IF(AC4="B+",3.5,IF(AC4="B",3,IF(AC4="C+",2.5,IF(AC4="C",2,IF(AC4="D",1,0))))))</f>
        <v>3</v>
      </c>
      <c r="AE4" s="3">
        <v>2</v>
      </c>
      <c r="AF4" s="3">
        <f t="shared" ref="AF4:AF16" si="41">AD4*AE4</f>
        <v>6</v>
      </c>
      <c r="AG4" s="3">
        <v>75</v>
      </c>
      <c r="AH4" s="12" t="str">
        <f t="shared" ref="AH4:AH16" si="42">IF(AG4&gt;=80,"A",IF(AG4&gt;=75,"B+",IF(AG4&gt;=70,"B",IF(AG4&gt;=65,"C+",IF(AG4&gt;=60,"C",IF(AG4&gt;=55,"D",IF(AG4&lt;54,"E")))))))</f>
        <v>B+</v>
      </c>
      <c r="AI4" s="13">
        <f t="shared" ref="AI4:AI16" si="43">IF(AH4="A",4,IF(AH4="B+",3.5,IF(AH4="B",3,IF(AH4="C+",2.5,IF(AH4="C",2,IF(AH4="D",1,0))))))</f>
        <v>3.5</v>
      </c>
      <c r="AJ4" s="3">
        <v>2</v>
      </c>
      <c r="AK4" s="3">
        <f t="shared" ref="AK4:AK16" si="44">AI4*AJ4</f>
        <v>7</v>
      </c>
      <c r="AL4" s="3">
        <v>82</v>
      </c>
      <c r="AM4" s="12" t="str">
        <f t="shared" ref="AM4:AM16" si="45">IF(AL4&gt;=80,"A",IF(AL4&gt;=75,"B+",IF(AL4&gt;=70,"B",IF(AL4&gt;=65,"C+",IF(AL4&gt;=60,"C",IF(AL4&gt;=55,"D",IF(AL4&lt;54,"E")))))))</f>
        <v>A</v>
      </c>
      <c r="AN4" s="13">
        <f t="shared" ref="AN4:AN16" si="46">IF(AM4="A",4,IF(AM4="B+",3.5,IF(AM4="B",3,IF(AM4="C+",2.5,IF(AM4="C",2,IF(AM4="D",1,0))))))</f>
        <v>4</v>
      </c>
      <c r="AO4" s="3">
        <v>2</v>
      </c>
      <c r="AP4" s="3">
        <f t="shared" ref="AP4:AP16" si="47">AN4*AO4</f>
        <v>8</v>
      </c>
      <c r="AQ4" s="3">
        <v>83</v>
      </c>
      <c r="AR4" s="12" t="str">
        <f t="shared" ref="AR4:AR16" si="48">IF(AQ4&gt;=80,"A",IF(AQ4&gt;=75,"B+",IF(AQ4&gt;=70,"B",IF(AQ4&gt;=65,"C+",IF(AQ4&gt;=60,"C",IF(AQ4&gt;=55,"D",IF(AQ4&lt;54,"E")))))))</f>
        <v>A</v>
      </c>
      <c r="AS4" s="13">
        <f t="shared" ref="AS4:AS16" si="49">IF(AR4="A",4,IF(AR4="B+",3.5,IF(AR4="B",3,IF(AR4="C+",2.5,IF(AR4="C",2,IF(AR4="D",1,0))))))</f>
        <v>4</v>
      </c>
      <c r="AT4" s="3">
        <v>3</v>
      </c>
      <c r="AU4" s="3">
        <f t="shared" ref="AU4:AU16" si="50">AS4*AT4</f>
        <v>12</v>
      </c>
      <c r="AV4" s="3">
        <v>81</v>
      </c>
      <c r="AW4" s="12" t="str">
        <f t="shared" ref="AW4:AW16" si="51">IF(AV4&gt;=80,"A",IF(AV4&gt;=75,"B+",IF(AV4&gt;=70,"B",IF(AV4&gt;=65,"C+",IF(AV4&gt;=60,"C",IF(AV4&gt;=55,"D",IF(AV4&lt;54,"E")))))))</f>
        <v>A</v>
      </c>
      <c r="AX4" s="13">
        <f t="shared" ref="AX4:AX16" si="52">IF(AW4="A",4,IF(AW4="B+",3.5,IF(AW4="B",3,IF(AW4="C+",2.5,IF(AW4="C",2,IF(AW4="D",1,0))))))</f>
        <v>4</v>
      </c>
      <c r="AY4" s="3">
        <v>3</v>
      </c>
      <c r="AZ4" s="3">
        <f t="shared" ref="AZ4:AZ16" si="53">AX4*AY4</f>
        <v>12</v>
      </c>
      <c r="BA4" s="7">
        <v>81</v>
      </c>
      <c r="BB4" s="12" t="str">
        <f t="shared" ref="BB4:BB16" si="54">IF(BA4&gt;=80,"A",IF(BA4&gt;=75,"B+",IF(BA4&gt;=70,"B",IF(BA4&gt;=65,"C+",IF(BA4&gt;=60,"C",IF(BA4&gt;=55,"D",IF(BA4&lt;54,"E")))))))</f>
        <v>A</v>
      </c>
      <c r="BC4" s="13">
        <f t="shared" ref="BC4:BC16" si="55">IF(BB4="A",4,IF(BB4="B+",3.5,IF(BB4="B",3,IF(BB4="C+",2.5,IF(BB4="C",2,IF(BB4="D",1,0))))))</f>
        <v>4</v>
      </c>
      <c r="BD4" s="3">
        <v>2</v>
      </c>
      <c r="BE4" s="3">
        <f t="shared" ref="BE4:BE16" si="56">BC4*BD4</f>
        <v>8</v>
      </c>
      <c r="BF4" s="3">
        <v>81</v>
      </c>
      <c r="BG4" s="12" t="str">
        <f t="shared" ref="BG4:BG16" si="57">IF(BF4&gt;=80,"A",IF(BF4&gt;=75,"B+",IF(BF4&gt;=70,"B",IF(BF4&gt;=65,"C+",IF(BF4&gt;=60,"C",IF(BF4&gt;=55,"D",IF(BF4&lt;54,"E")))))))</f>
        <v>A</v>
      </c>
      <c r="BH4" s="13">
        <f t="shared" ref="BH4:BH16" si="58">IF(BG4="A",4,IF(BG4="B+",3.5,IF(BG4="B",3,IF(BG4="C+",2.5,IF(BG4="C",2,IF(BG4="D",1,0))))))</f>
        <v>4</v>
      </c>
      <c r="BI4" s="3">
        <v>2</v>
      </c>
      <c r="BJ4" s="3">
        <f t="shared" ref="BJ4:BJ16" si="59">BH4*BI4</f>
        <v>8</v>
      </c>
      <c r="BK4" s="6">
        <v>80</v>
      </c>
      <c r="BL4" s="12" t="str">
        <f t="shared" ref="BL4:BL16" si="60">IF(BK4&gt;=80,"A",IF(BK4&gt;=75,"B+",IF(BK4&gt;=70,"B",IF(BK4&gt;=65,"C+",IF(BK4&gt;=60,"C",IF(BK4&gt;=55,"D",IF(BK4&lt;54,"E")))))))</f>
        <v>A</v>
      </c>
      <c r="BM4" s="13">
        <f t="shared" ref="BM4:BM16" si="61">IF(BL4="A",4,IF(BL4="B+",3.5,IF(BL4="B",3,IF(BL4="C+",2.5,IF(BL4="C",2,IF(BL4="D",1,0))))))</f>
        <v>4</v>
      </c>
      <c r="BN4" s="3">
        <v>2</v>
      </c>
      <c r="BO4" s="3">
        <f t="shared" ref="BO4:BO16" si="62">BM4*BN4</f>
        <v>8</v>
      </c>
      <c r="BP4" s="6">
        <v>80</v>
      </c>
      <c r="BQ4" s="12" t="str">
        <f t="shared" ref="BQ4:BQ16" si="63">IF(BP4&gt;=80,"A",IF(BP4&gt;=75,"B+",IF(BP4&gt;=70,"B",IF(BP4&gt;=65,"C+",IF(BP4&gt;=60,"C",IF(BP4&gt;=55,"D",IF(BP4&lt;54,"E")))))))</f>
        <v>A</v>
      </c>
      <c r="BR4" s="13">
        <f t="shared" ref="BR4:BR16" si="64">IF(BQ4="A",4,IF(BQ4="B+",3.5,IF(BQ4="B",3,IF(BQ4="C+",2.5,IF(BQ4="C",2,IF(BQ4="D",1,0))))))</f>
        <v>4</v>
      </c>
      <c r="BS4" s="3">
        <v>3</v>
      </c>
      <c r="BT4" s="3">
        <f t="shared" ref="BT4:BT16" si="65">BR4*BS4</f>
        <v>12</v>
      </c>
      <c r="BU4" s="3">
        <v>80</v>
      </c>
      <c r="BV4" s="12" t="str">
        <f t="shared" ref="BV4:BV16" si="66">IF(BU4&gt;=80,"A",IF(BU4&gt;=75,"B+",IF(BU4&gt;=70,"B",IF(BU4&gt;=65,"C+",IF(BU4&gt;=60,"C",IF(BU4&gt;=55,"D",IF(BU4&lt;54,"E")))))))</f>
        <v>A</v>
      </c>
      <c r="BW4" s="13">
        <f t="shared" ref="BW4:BW16" si="67">IF(BV4="A",4,IF(BV4="B+",3.5,IF(BV4="B",3,IF(BV4="C+",2.5,IF(BV4="C",2,IF(BV4="D",1,0))))))</f>
        <v>4</v>
      </c>
      <c r="BX4" s="3">
        <v>2</v>
      </c>
      <c r="BY4" s="3">
        <f t="shared" ref="BY4:BY16" si="68">BW4*BX4</f>
        <v>8</v>
      </c>
      <c r="BZ4" s="6">
        <v>80</v>
      </c>
      <c r="CA4" s="12" t="str">
        <f t="shared" ref="CA4:CA16" si="69">IF(BZ4&gt;=80,"A",IF(BZ4&gt;=75,"B+",IF(BZ4&gt;=70,"B",IF(BZ4&gt;=65,"C+",IF(BZ4&gt;=60,"C",IF(BZ4&gt;=55,"D",IF(BZ4&lt;54,"E")))))))</f>
        <v>A</v>
      </c>
      <c r="CB4" s="13">
        <f t="shared" ref="CB4:CB16" si="70">IF(CA4="A",4,IF(CA4="B+",3.5,IF(CA4="B",3,IF(CA4="C+",2.5,IF(CA4="C",2,IF(CA4="D",1,0))))))</f>
        <v>4</v>
      </c>
      <c r="CC4" s="3">
        <v>2</v>
      </c>
      <c r="CD4" s="3">
        <f t="shared" ref="CD4:CD16" si="71">CB4*CC4</f>
        <v>8</v>
      </c>
      <c r="CE4" s="6">
        <v>77</v>
      </c>
      <c r="CF4" s="12" t="str">
        <f t="shared" ref="CF4:CF16" si="72">IF(CE4&gt;=80,"A",IF(CE4&gt;=75,"B+",IF(CE4&gt;=70,"B",IF(CE4&gt;=65,"C+",IF(CE4&gt;=60,"C",IF(CE4&gt;=55,"D",IF(CE4&lt;54,"E")))))))</f>
        <v>B+</v>
      </c>
      <c r="CG4" s="13">
        <f t="shared" ref="CG4:CG16" si="73">IF(CF4="A",4,IF(CF4="B+",3.5,IF(CF4="B",3,IF(CF4="C+",2.5,IF(CF4="C",2,IF(CF4="D",1,0))))))</f>
        <v>3.5</v>
      </c>
      <c r="CH4" s="3">
        <v>2</v>
      </c>
      <c r="CI4" s="3">
        <f t="shared" ref="CI4:CI16" si="74">CG4*CH4</f>
        <v>7</v>
      </c>
      <c r="CJ4" s="6">
        <v>80</v>
      </c>
      <c r="CK4" s="12" t="str">
        <f t="shared" ref="CK4:CK16" si="75">IF(CJ4&gt;=80,"A",IF(CJ4&gt;=75,"B+",IF(CJ4&gt;=70,"B",IF(CJ4&gt;=65,"C+",IF(CJ4&gt;=60,"C",IF(CJ4&gt;=55,"D",IF(CJ4&lt;54,"E")))))))</f>
        <v>A</v>
      </c>
      <c r="CL4" s="13">
        <f t="shared" ref="CL4:CL16" si="76">IF(CK4="A",4,IF(CK4="B+",3.5,IF(CK4="B",3,IF(CK4="C+",2.5,IF(CK4="C",2,IF(CK4="D",1,0))))))</f>
        <v>4</v>
      </c>
      <c r="CM4" s="3">
        <v>3</v>
      </c>
      <c r="CN4" s="3">
        <f t="shared" ref="CN4:CN16" si="77">CL4*CM4</f>
        <v>12</v>
      </c>
      <c r="CO4" s="6">
        <v>77</v>
      </c>
      <c r="CP4" s="12" t="str">
        <f t="shared" ref="CP4:CP16" si="78">IF(CO4&gt;=80,"A",IF(CO4&gt;=75,"B+",IF(CO4&gt;=70,"B",IF(CO4&gt;=65,"C+",IF(CO4&gt;=60,"C",IF(CO4&gt;=55,"D",IF(CO4&lt;54,"E")))))))</f>
        <v>B+</v>
      </c>
      <c r="CQ4" s="13">
        <f t="shared" ref="CQ4:CQ16" si="79">IF(CP4="A",4,IF(CP4="B+",3.5,IF(CP4="B",3,IF(CP4="C+",2.5,IF(CP4="C",2,IF(CP4="D",1,0))))))</f>
        <v>3.5</v>
      </c>
      <c r="CR4" s="3">
        <v>2</v>
      </c>
      <c r="CS4" s="3">
        <f t="shared" ref="CS4:CS16" si="80">CQ4*CR4</f>
        <v>7</v>
      </c>
      <c r="CT4" s="6">
        <v>74</v>
      </c>
      <c r="CU4" s="12" t="str">
        <f t="shared" ref="CU4:CU16" si="81">IF(CT4&gt;=80,"A",IF(CT4&gt;=75,"B+",IF(CT4&gt;=70,"B",IF(CT4&gt;=65,"C+",IF(CT4&gt;=60,"C",IF(CT4&gt;=55,"D",IF(CT4&lt;54,"E")))))))</f>
        <v>B</v>
      </c>
      <c r="CV4" s="13">
        <f t="shared" ref="CV4:CV16" si="82">IF(CU4="A",4,IF(CU4="B+",3.5,IF(CU4="B",3,IF(CU4="C+",2.5,IF(CU4="C",2,IF(CU4="D",1,0))))))</f>
        <v>3</v>
      </c>
      <c r="CW4" s="3">
        <v>3</v>
      </c>
      <c r="CX4" s="3">
        <f t="shared" ref="CX4:CX16" si="83">CV4*CW4</f>
        <v>9</v>
      </c>
      <c r="CY4" s="6">
        <v>80</v>
      </c>
      <c r="CZ4" s="12" t="str">
        <f t="shared" ref="CZ4:CZ16" si="84">IF(CY4&gt;=80,"A",IF(CY4&gt;=75,"B+",IF(CY4&gt;=70,"B",IF(CY4&gt;=65,"C+",IF(CY4&gt;=60,"C",IF(CY4&gt;=55,"D",IF(CY4&lt;54,"E")))))))</f>
        <v>A</v>
      </c>
      <c r="DA4" s="13">
        <f t="shared" ref="DA4:DA16" si="85">IF(CZ4="A",4,IF(CZ4="B+",3.5,IF(CZ4="B",3,IF(CZ4="C+",2.5,IF(CZ4="C",2,IF(CZ4="D",1,0))))))</f>
        <v>4</v>
      </c>
      <c r="DB4" s="3">
        <v>2</v>
      </c>
      <c r="DC4" s="3">
        <f t="shared" ref="DC4:DC16" si="86">DA4*DB4</f>
        <v>8</v>
      </c>
      <c r="DD4" s="6">
        <v>73</v>
      </c>
      <c r="DE4" s="12" t="str">
        <f t="shared" ref="DE4:DE16" si="87">IF(DD4&gt;=80,"A",IF(DD4&gt;=75,"B+",IF(DD4&gt;=70,"B",IF(DD4&gt;=65,"C+",IF(DD4&gt;=60,"C",IF(DD4&gt;=55,"D",IF(DD4&lt;54,"E")))))))</f>
        <v>B</v>
      </c>
      <c r="DF4" s="13">
        <f t="shared" ref="DF4:DF16" si="88">IF(DE4="A",4,IF(DE4="B+",3.5,IF(DE4="B",3,IF(DE4="C+",2.5,IF(DE4="C",2,IF(DE4="D",1,0))))))</f>
        <v>3</v>
      </c>
      <c r="DG4" s="3">
        <v>2</v>
      </c>
      <c r="DH4" s="3">
        <f t="shared" ref="DH4:DH16" si="89">DF4*DG4</f>
        <v>6</v>
      </c>
      <c r="DI4" s="6">
        <v>73.03</v>
      </c>
      <c r="DJ4" s="12" t="str">
        <f t="shared" ref="DJ4:DJ16" si="90">IF(DI4&gt;=80,"A",IF(DI4&gt;=75,"B+",IF(DI4&gt;=70,"B",IF(DI4&gt;=65,"C+",IF(DI4&gt;=60,"C",IF(DI4&gt;=55,"D",IF(DI4&lt;54,"E")))))))</f>
        <v>B</v>
      </c>
      <c r="DK4" s="13">
        <f t="shared" ref="DK4:DK16" si="91">IF(DJ4="A",4,IF(DJ4="B+",3.5,IF(DJ4="B",3,IF(DJ4="C+",2.5,IF(DJ4="C",2,IF(DJ4="D",1,0))))))</f>
        <v>3</v>
      </c>
      <c r="DL4" s="3">
        <v>3</v>
      </c>
      <c r="DM4" s="3">
        <f t="shared" ref="DM4:DM16" si="92">DK4*DL4</f>
        <v>9</v>
      </c>
      <c r="DN4" s="6">
        <v>80</v>
      </c>
      <c r="DO4" s="12" t="str">
        <f t="shared" ref="DO4:DO16" si="93">IF(DN4&gt;=80,"A",IF(DN4&gt;=75,"B+",IF(DN4&gt;=70,"B",IF(DN4&gt;=65,"C+",IF(DN4&gt;=60,"C",IF(DN4&gt;=55,"D",IF(DN4&lt;54,"E")))))))</f>
        <v>A</v>
      </c>
      <c r="DP4" s="13">
        <f t="shared" ref="DP4:DP16" si="94">IF(DO4="A",4,IF(DO4="B+",3.5,IF(DO4="B",3,IF(DO4="C+",2.5,IF(DO4="C",2,IF(DO4="D",1,0))))))</f>
        <v>4</v>
      </c>
      <c r="DQ4" s="3">
        <v>2</v>
      </c>
      <c r="DR4" s="3">
        <f t="shared" ref="DR4:DR16" si="95">DP4*DQ4</f>
        <v>8</v>
      </c>
      <c r="DS4" s="6">
        <v>80</v>
      </c>
      <c r="DT4" s="12" t="str">
        <f t="shared" ref="DT4:DT16" si="96">IF(DS4&gt;=80,"A",IF(DS4&gt;=75,"B+",IF(DS4&gt;=70,"B",IF(DS4&gt;=65,"C+",IF(DS4&gt;=60,"C",IF(DS4&gt;=55,"D",IF(DS4&lt;54,"E")))))))</f>
        <v>A</v>
      </c>
      <c r="DU4" s="13">
        <f t="shared" ref="DU4:DU16" si="97">IF(DT4="A",4,IF(DT4="B+",3.5,IF(DT4="B",3,IF(DT4="C+",2.5,IF(DT4="C",2,IF(DT4="D",1,0))))))</f>
        <v>4</v>
      </c>
      <c r="DV4" s="3">
        <v>2</v>
      </c>
      <c r="DW4" s="3">
        <f t="shared" ref="DW4:DW16" si="98">DU4*DV4</f>
        <v>8</v>
      </c>
      <c r="DX4" s="6">
        <v>76.099999999999994</v>
      </c>
      <c r="DY4" s="12" t="str">
        <f t="shared" ref="DY4:DY16" si="99">IF(DX4&gt;=80,"A",IF(DX4&gt;=75,"B+",IF(DX4&gt;=70,"B",IF(DX4&gt;=65,"C+",IF(DX4&gt;=60,"C",IF(DX4&gt;=55,"D",IF(DX4&lt;54,"E")))))))</f>
        <v>B+</v>
      </c>
      <c r="DZ4" s="13">
        <f t="shared" ref="DZ4:DZ16" si="100">IF(DY4="A",4,IF(DY4="B+",3.5,IF(DY4="B",3,IF(DY4="C+",2.5,IF(DY4="C",2,IF(DY4="D",1,0))))))</f>
        <v>3.5</v>
      </c>
      <c r="EA4" s="3">
        <v>2</v>
      </c>
      <c r="EB4" s="3">
        <f t="shared" ref="EB4:EB16" si="101">DZ4*EA4</f>
        <v>7</v>
      </c>
      <c r="EC4" s="6">
        <v>82</v>
      </c>
      <c r="ED4" s="12" t="str">
        <f t="shared" ref="ED4:ED16" si="102">IF(EC4&gt;=80,"A",IF(EC4&gt;=75,"B+",IF(EC4&gt;=70,"B",IF(EC4&gt;=65,"C+",IF(EC4&gt;=60,"C",IF(EC4&gt;=55,"D",IF(EC4&lt;54,"E")))))))</f>
        <v>A</v>
      </c>
      <c r="EE4" s="13">
        <f t="shared" ref="EE4:EE16" si="103">IF(ED4="A",4,IF(ED4="B+",3.5,IF(ED4="B",3,IF(ED4="C+",2.5,IF(ED4="C",2,IF(ED4="D",1,0))))))</f>
        <v>4</v>
      </c>
      <c r="EF4" s="3">
        <v>2</v>
      </c>
      <c r="EG4" s="3">
        <f t="shared" ref="EG4:EG16" si="104">EE4*EF4</f>
        <v>8</v>
      </c>
      <c r="EH4" s="6">
        <v>79</v>
      </c>
      <c r="EI4" s="12" t="str">
        <f t="shared" ref="EI4:EI16" si="105">IF(EH4&gt;=80,"A",IF(EH4&gt;=75,"B+",IF(EH4&gt;=70,"B",IF(EH4&gt;=65,"C+",IF(EH4&gt;=60,"C",IF(EH4&gt;=55,"D",IF(EH4&lt;54,"E")))))))</f>
        <v>B+</v>
      </c>
      <c r="EJ4" s="13">
        <f t="shared" ref="EJ4:EJ16" si="106">IF(EI4="A",4,IF(EI4="B+",3.5,IF(EI4="B",3,IF(EI4="C+",2.5,IF(EI4="C",2,IF(EI4="D",1,0))))))</f>
        <v>3.5</v>
      </c>
      <c r="EK4" s="3">
        <v>3</v>
      </c>
      <c r="EL4" s="3">
        <f t="shared" ref="EL4:EL16" si="107">EJ4*EK4</f>
        <v>10.5</v>
      </c>
      <c r="EM4" s="6">
        <v>79.5</v>
      </c>
      <c r="EN4" s="12" t="str">
        <f t="shared" ref="EN4:EN16" si="108">IF(EM4&gt;=80,"A",IF(EM4&gt;=75,"B+",IF(EM4&gt;=70,"B",IF(EM4&gt;=65,"C+",IF(EM4&gt;=60,"C",IF(EM4&gt;=55,"D",IF(EM4&lt;54,"E")))))))</f>
        <v>B+</v>
      </c>
      <c r="EO4" s="13">
        <f t="shared" ref="EO4:EO16" si="109">IF(EN4="A",4,IF(EN4="B+",3.5,IF(EN4="B",3,IF(EN4="C+",2.5,IF(EN4="C",2,IF(EN4="D",1,0))))))</f>
        <v>3.5</v>
      </c>
      <c r="EP4" s="3">
        <v>4</v>
      </c>
      <c r="EQ4" s="3">
        <f t="shared" ref="EQ4:EQ16" si="110">EO4*EP4</f>
        <v>14</v>
      </c>
      <c r="ER4" s="6">
        <f t="shared" ref="ER4:ER16" si="111">L4+Q4+V4+AA4+AF4+AK4+AP4+AU4+AU4+AZ4</f>
        <v>94</v>
      </c>
      <c r="ES4" s="6">
        <f t="shared" ref="ES4:ES16" si="112">K4+P4+U4+Z4+AE4+AJ4+AO4+AT4+AY4</f>
        <v>22</v>
      </c>
      <c r="ET4" s="6">
        <f t="shared" ref="ET4:ET16" si="113">BE4+BJ4+BO4+BT4+BY4+CD4+CI4+CN4+CS4+CX4</f>
        <v>87</v>
      </c>
      <c r="EU4" s="6">
        <f t="shared" ref="EU4:EU16" si="114">BD4+BI4+BN4+BS4+BX4+CC4+CH4+CM4+CR4+CW4</f>
        <v>23</v>
      </c>
      <c r="EV4" s="6">
        <f t="shared" ref="EV4:EV16" si="115">DC4+DH4+DM4+DR4+DW4+EB4+EG4+EL4+EQ4</f>
        <v>78.5</v>
      </c>
      <c r="EW4" s="6">
        <f t="shared" ref="EW4:EW16" si="116">DB4+DG4+DL4+DQ4+DV4+EA4+EF4+EK4+EP4</f>
        <v>22</v>
      </c>
      <c r="EX4" s="6">
        <f t="shared" ref="EX4:EX16" si="117">ER4+ET4+EV4</f>
        <v>259.5</v>
      </c>
      <c r="EY4" s="6">
        <f t="shared" ref="EY4:EY16" si="118">ES4+EU4+EW4</f>
        <v>67</v>
      </c>
      <c r="EZ4" s="17">
        <f t="shared" ref="EZ4:EZ16" si="119">EX4/EY4</f>
        <v>3.8731343283582089</v>
      </c>
      <c r="FA4" s="7" t="str">
        <f t="shared" ref="FA4:FA16" si="120">IF(EZ4&gt;=3.51,"Cum Laude",(IF(EZ4&gt;=2.75,"Sangat Memuaskan",(IF(EZ4&gt;=2,"Memuaskan","GAGAL")))))</f>
        <v>Cum Laude</v>
      </c>
      <c r="FB4" s="14" t="str">
        <f t="shared" ref="FB4:FB16" si="121">IF(EZ4&gt;=3.51,"Excellent",(IF(EZ4&gt;=2.75,"Highly Satisfactory",(IF(EZ4&gt;=2,"Satisfactory","FAILED")))))</f>
        <v>Excellent</v>
      </c>
      <c r="FC4" s="6" t="s">
        <v>89</v>
      </c>
    </row>
    <row r="5" spans="1:159" ht="15" x14ac:dyDescent="0.25">
      <c r="A5" s="7">
        <v>3</v>
      </c>
      <c r="B5" s="6" t="s">
        <v>21</v>
      </c>
      <c r="C5" s="7">
        <v>172312003</v>
      </c>
      <c r="D5" s="6" t="s">
        <v>71</v>
      </c>
      <c r="E5" s="15" t="s">
        <v>70</v>
      </c>
      <c r="F5" s="15" t="s">
        <v>98</v>
      </c>
      <c r="G5" s="6"/>
      <c r="H5" s="3">
        <v>78</v>
      </c>
      <c r="I5" s="12" t="str">
        <f t="shared" si="28"/>
        <v>B+</v>
      </c>
      <c r="J5" s="13">
        <f t="shared" si="0"/>
        <v>3.5</v>
      </c>
      <c r="K5" s="3">
        <v>3</v>
      </c>
      <c r="L5" s="3">
        <f t="shared" si="29"/>
        <v>10.5</v>
      </c>
      <c r="M5" s="3">
        <v>75</v>
      </c>
      <c r="N5" s="12" t="str">
        <f t="shared" si="30"/>
        <v>B+</v>
      </c>
      <c r="O5" s="13">
        <f t="shared" si="31"/>
        <v>3.5</v>
      </c>
      <c r="P5" s="3">
        <v>3</v>
      </c>
      <c r="Q5" s="3">
        <f t="shared" si="32"/>
        <v>10.5</v>
      </c>
      <c r="R5" s="3">
        <v>80</v>
      </c>
      <c r="S5" s="12" t="str">
        <f t="shared" si="33"/>
        <v>A</v>
      </c>
      <c r="T5" s="13">
        <f t="shared" si="34"/>
        <v>4</v>
      </c>
      <c r="U5" s="3">
        <v>2</v>
      </c>
      <c r="V5" s="3">
        <f t="shared" si="35"/>
        <v>8</v>
      </c>
      <c r="W5" s="3">
        <v>78</v>
      </c>
      <c r="X5" s="12" t="str">
        <f t="shared" si="36"/>
        <v>B+</v>
      </c>
      <c r="Y5" s="13">
        <f t="shared" si="37"/>
        <v>3.5</v>
      </c>
      <c r="Z5" s="3">
        <v>2</v>
      </c>
      <c r="AA5" s="3">
        <f t="shared" si="38"/>
        <v>7</v>
      </c>
      <c r="AB5" s="3">
        <v>73</v>
      </c>
      <c r="AC5" s="12" t="str">
        <f t="shared" si="39"/>
        <v>B</v>
      </c>
      <c r="AD5" s="13">
        <f t="shared" si="40"/>
        <v>3</v>
      </c>
      <c r="AE5" s="3">
        <v>2</v>
      </c>
      <c r="AF5" s="3">
        <f t="shared" si="41"/>
        <v>6</v>
      </c>
      <c r="AG5" s="3">
        <v>75</v>
      </c>
      <c r="AH5" s="12" t="str">
        <f t="shared" si="42"/>
        <v>B+</v>
      </c>
      <c r="AI5" s="13">
        <f t="shared" si="43"/>
        <v>3.5</v>
      </c>
      <c r="AJ5" s="3">
        <v>2</v>
      </c>
      <c r="AK5" s="3">
        <f t="shared" si="44"/>
        <v>7</v>
      </c>
      <c r="AL5" s="3">
        <v>80</v>
      </c>
      <c r="AM5" s="12" t="str">
        <f t="shared" si="45"/>
        <v>A</v>
      </c>
      <c r="AN5" s="13">
        <f t="shared" si="46"/>
        <v>4</v>
      </c>
      <c r="AO5" s="3">
        <v>2</v>
      </c>
      <c r="AP5" s="3">
        <f t="shared" si="47"/>
        <v>8</v>
      </c>
      <c r="AQ5" s="3">
        <v>81</v>
      </c>
      <c r="AR5" s="12" t="str">
        <f t="shared" si="48"/>
        <v>A</v>
      </c>
      <c r="AS5" s="13">
        <f t="shared" si="49"/>
        <v>4</v>
      </c>
      <c r="AT5" s="3">
        <v>3</v>
      </c>
      <c r="AU5" s="3">
        <f t="shared" si="50"/>
        <v>12</v>
      </c>
      <c r="AV5" s="3">
        <v>82</v>
      </c>
      <c r="AW5" s="12" t="str">
        <f t="shared" si="51"/>
        <v>A</v>
      </c>
      <c r="AX5" s="13">
        <f t="shared" si="52"/>
        <v>4</v>
      </c>
      <c r="AY5" s="3">
        <v>3</v>
      </c>
      <c r="AZ5" s="3">
        <f t="shared" si="53"/>
        <v>12</v>
      </c>
      <c r="BA5" s="7">
        <v>81</v>
      </c>
      <c r="BB5" s="12" t="str">
        <f t="shared" si="54"/>
        <v>A</v>
      </c>
      <c r="BC5" s="13">
        <f t="shared" si="55"/>
        <v>4</v>
      </c>
      <c r="BD5" s="3">
        <v>2</v>
      </c>
      <c r="BE5" s="3">
        <f t="shared" si="56"/>
        <v>8</v>
      </c>
      <c r="BF5" s="3">
        <v>81</v>
      </c>
      <c r="BG5" s="12" t="str">
        <f t="shared" si="57"/>
        <v>A</v>
      </c>
      <c r="BH5" s="13">
        <f t="shared" si="58"/>
        <v>4</v>
      </c>
      <c r="BI5" s="3">
        <v>2</v>
      </c>
      <c r="BJ5" s="3">
        <f t="shared" si="59"/>
        <v>8</v>
      </c>
      <c r="BK5" s="6">
        <v>79</v>
      </c>
      <c r="BL5" s="12" t="str">
        <f t="shared" si="60"/>
        <v>B+</v>
      </c>
      <c r="BM5" s="13">
        <f t="shared" si="61"/>
        <v>3.5</v>
      </c>
      <c r="BN5" s="3">
        <v>2</v>
      </c>
      <c r="BO5" s="3">
        <f t="shared" si="62"/>
        <v>7</v>
      </c>
      <c r="BP5" s="6">
        <v>77</v>
      </c>
      <c r="BQ5" s="12" t="str">
        <f t="shared" si="63"/>
        <v>B+</v>
      </c>
      <c r="BR5" s="13">
        <f t="shared" si="64"/>
        <v>3.5</v>
      </c>
      <c r="BS5" s="3">
        <v>3</v>
      </c>
      <c r="BT5" s="3">
        <f t="shared" si="65"/>
        <v>10.5</v>
      </c>
      <c r="BU5" s="3">
        <v>80</v>
      </c>
      <c r="BV5" s="12" t="str">
        <f t="shared" si="66"/>
        <v>A</v>
      </c>
      <c r="BW5" s="13">
        <f t="shared" si="67"/>
        <v>4</v>
      </c>
      <c r="BX5" s="3">
        <v>2</v>
      </c>
      <c r="BY5" s="3">
        <f t="shared" si="68"/>
        <v>8</v>
      </c>
      <c r="BZ5" s="6">
        <v>80</v>
      </c>
      <c r="CA5" s="12" t="str">
        <f t="shared" si="69"/>
        <v>A</v>
      </c>
      <c r="CB5" s="13">
        <f t="shared" si="70"/>
        <v>4</v>
      </c>
      <c r="CC5" s="3">
        <v>2</v>
      </c>
      <c r="CD5" s="3">
        <f t="shared" si="71"/>
        <v>8</v>
      </c>
      <c r="CE5" s="6">
        <v>78</v>
      </c>
      <c r="CF5" s="12" t="str">
        <f t="shared" si="72"/>
        <v>B+</v>
      </c>
      <c r="CG5" s="13">
        <f t="shared" si="73"/>
        <v>3.5</v>
      </c>
      <c r="CH5" s="3">
        <v>2</v>
      </c>
      <c r="CI5" s="3">
        <f t="shared" si="74"/>
        <v>7</v>
      </c>
      <c r="CJ5" s="6">
        <v>80</v>
      </c>
      <c r="CK5" s="12" t="str">
        <f t="shared" si="75"/>
        <v>A</v>
      </c>
      <c r="CL5" s="13">
        <f t="shared" si="76"/>
        <v>4</v>
      </c>
      <c r="CM5" s="3">
        <v>3</v>
      </c>
      <c r="CN5" s="3">
        <f t="shared" si="77"/>
        <v>12</v>
      </c>
      <c r="CO5" s="6">
        <v>76</v>
      </c>
      <c r="CP5" s="12" t="str">
        <f t="shared" si="78"/>
        <v>B+</v>
      </c>
      <c r="CQ5" s="13">
        <f t="shared" si="79"/>
        <v>3.5</v>
      </c>
      <c r="CR5" s="3">
        <v>2</v>
      </c>
      <c r="CS5" s="3">
        <f t="shared" si="80"/>
        <v>7</v>
      </c>
      <c r="CT5" s="6">
        <v>74</v>
      </c>
      <c r="CU5" s="12" t="str">
        <f t="shared" si="81"/>
        <v>B</v>
      </c>
      <c r="CV5" s="13">
        <f t="shared" si="82"/>
        <v>3</v>
      </c>
      <c r="CW5" s="3">
        <v>3</v>
      </c>
      <c r="CX5" s="3">
        <f t="shared" si="83"/>
        <v>9</v>
      </c>
      <c r="CY5" s="6">
        <v>76</v>
      </c>
      <c r="CZ5" s="12" t="str">
        <f t="shared" si="84"/>
        <v>B+</v>
      </c>
      <c r="DA5" s="13">
        <f t="shared" si="85"/>
        <v>3.5</v>
      </c>
      <c r="DB5" s="3">
        <v>2</v>
      </c>
      <c r="DC5" s="3">
        <f t="shared" si="86"/>
        <v>7</v>
      </c>
      <c r="DD5" s="6">
        <v>76.599999999999994</v>
      </c>
      <c r="DE5" s="12" t="str">
        <f t="shared" si="87"/>
        <v>B+</v>
      </c>
      <c r="DF5" s="13">
        <f t="shared" si="88"/>
        <v>3.5</v>
      </c>
      <c r="DG5" s="3">
        <v>2</v>
      </c>
      <c r="DH5" s="3">
        <f t="shared" si="89"/>
        <v>7</v>
      </c>
      <c r="DI5" s="6">
        <v>68.900000000000006</v>
      </c>
      <c r="DJ5" s="12" t="str">
        <f t="shared" si="90"/>
        <v>C+</v>
      </c>
      <c r="DK5" s="13">
        <f t="shared" si="91"/>
        <v>2.5</v>
      </c>
      <c r="DL5" s="3">
        <v>3</v>
      </c>
      <c r="DM5" s="3">
        <f t="shared" si="92"/>
        <v>7.5</v>
      </c>
      <c r="DN5" s="6">
        <v>75</v>
      </c>
      <c r="DO5" s="12" t="str">
        <f t="shared" si="93"/>
        <v>B+</v>
      </c>
      <c r="DP5" s="13">
        <f t="shared" si="94"/>
        <v>3.5</v>
      </c>
      <c r="DQ5" s="3">
        <v>2</v>
      </c>
      <c r="DR5" s="3">
        <f t="shared" si="95"/>
        <v>7</v>
      </c>
      <c r="DS5" s="6">
        <v>80</v>
      </c>
      <c r="DT5" s="12" t="str">
        <f t="shared" si="96"/>
        <v>A</v>
      </c>
      <c r="DU5" s="13">
        <f t="shared" si="97"/>
        <v>4</v>
      </c>
      <c r="DV5" s="3">
        <v>2</v>
      </c>
      <c r="DW5" s="3">
        <f t="shared" si="98"/>
        <v>8</v>
      </c>
      <c r="DX5" s="6">
        <v>74.430000000000007</v>
      </c>
      <c r="DY5" s="12" t="str">
        <f t="shared" si="99"/>
        <v>B</v>
      </c>
      <c r="DZ5" s="13">
        <f t="shared" si="100"/>
        <v>3</v>
      </c>
      <c r="EA5" s="3">
        <v>2</v>
      </c>
      <c r="EB5" s="3">
        <f t="shared" si="101"/>
        <v>6</v>
      </c>
      <c r="EC5" s="6">
        <v>78</v>
      </c>
      <c r="ED5" s="12" t="str">
        <f t="shared" si="102"/>
        <v>B+</v>
      </c>
      <c r="EE5" s="13">
        <f t="shared" si="103"/>
        <v>3.5</v>
      </c>
      <c r="EF5" s="3">
        <v>2</v>
      </c>
      <c r="EG5" s="3">
        <f t="shared" si="104"/>
        <v>7</v>
      </c>
      <c r="EH5" s="6">
        <v>78</v>
      </c>
      <c r="EI5" s="12" t="str">
        <f t="shared" si="105"/>
        <v>B+</v>
      </c>
      <c r="EJ5" s="13">
        <f t="shared" si="106"/>
        <v>3.5</v>
      </c>
      <c r="EK5" s="3">
        <v>3</v>
      </c>
      <c r="EL5" s="3">
        <f t="shared" si="107"/>
        <v>10.5</v>
      </c>
      <c r="EM5" s="6">
        <v>79</v>
      </c>
      <c r="EN5" s="12" t="str">
        <f t="shared" si="108"/>
        <v>B+</v>
      </c>
      <c r="EO5" s="13">
        <f t="shared" si="109"/>
        <v>3.5</v>
      </c>
      <c r="EP5" s="3">
        <v>4</v>
      </c>
      <c r="EQ5" s="3">
        <f t="shared" si="110"/>
        <v>14</v>
      </c>
      <c r="ER5" s="6">
        <f t="shared" si="111"/>
        <v>93</v>
      </c>
      <c r="ES5" s="6">
        <f t="shared" si="112"/>
        <v>22</v>
      </c>
      <c r="ET5" s="6">
        <f t="shared" si="113"/>
        <v>84.5</v>
      </c>
      <c r="EU5" s="6">
        <f t="shared" si="114"/>
        <v>23</v>
      </c>
      <c r="EV5" s="6">
        <f t="shared" si="115"/>
        <v>74</v>
      </c>
      <c r="EW5" s="6">
        <f t="shared" si="116"/>
        <v>22</v>
      </c>
      <c r="EX5" s="6">
        <f t="shared" si="117"/>
        <v>251.5</v>
      </c>
      <c r="EY5" s="6">
        <f t="shared" si="118"/>
        <v>67</v>
      </c>
      <c r="EZ5" s="17">
        <f t="shared" si="119"/>
        <v>3.7537313432835822</v>
      </c>
      <c r="FA5" s="7" t="str">
        <f t="shared" si="120"/>
        <v>Cum Laude</v>
      </c>
      <c r="FB5" s="14" t="str">
        <f t="shared" si="121"/>
        <v>Excellent</v>
      </c>
      <c r="FC5" s="6" t="s">
        <v>90</v>
      </c>
    </row>
    <row r="6" spans="1:159" ht="15" x14ac:dyDescent="0.25">
      <c r="A6" s="7">
        <v>4</v>
      </c>
      <c r="B6" s="6" t="s">
        <v>22</v>
      </c>
      <c r="C6" s="7">
        <v>172312007</v>
      </c>
      <c r="D6" s="6" t="s">
        <v>73</v>
      </c>
      <c r="E6" s="15" t="s">
        <v>72</v>
      </c>
      <c r="F6" s="15" t="s">
        <v>98</v>
      </c>
      <c r="G6" s="6"/>
      <c r="H6" s="3">
        <v>73</v>
      </c>
      <c r="I6" s="12" t="str">
        <f t="shared" si="28"/>
        <v>B</v>
      </c>
      <c r="J6" s="13">
        <f t="shared" si="0"/>
        <v>3</v>
      </c>
      <c r="K6" s="3">
        <v>3</v>
      </c>
      <c r="L6" s="3">
        <f t="shared" si="29"/>
        <v>9</v>
      </c>
      <c r="M6" s="3">
        <v>77</v>
      </c>
      <c r="N6" s="12" t="str">
        <f t="shared" si="30"/>
        <v>B+</v>
      </c>
      <c r="O6" s="13">
        <f t="shared" si="31"/>
        <v>3.5</v>
      </c>
      <c r="P6" s="3">
        <v>3</v>
      </c>
      <c r="Q6" s="3">
        <f t="shared" si="32"/>
        <v>10.5</v>
      </c>
      <c r="R6" s="3">
        <v>80</v>
      </c>
      <c r="S6" s="12" t="str">
        <f t="shared" si="33"/>
        <v>A</v>
      </c>
      <c r="T6" s="13">
        <f t="shared" si="34"/>
        <v>4</v>
      </c>
      <c r="U6" s="3">
        <v>2</v>
      </c>
      <c r="V6" s="3">
        <f t="shared" si="35"/>
        <v>8</v>
      </c>
      <c r="W6" s="3">
        <v>70</v>
      </c>
      <c r="X6" s="12" t="str">
        <f t="shared" si="36"/>
        <v>B</v>
      </c>
      <c r="Y6" s="13">
        <f t="shared" si="37"/>
        <v>3</v>
      </c>
      <c r="Z6" s="3">
        <v>2</v>
      </c>
      <c r="AA6" s="3">
        <f t="shared" si="38"/>
        <v>6</v>
      </c>
      <c r="AB6" s="3">
        <v>70</v>
      </c>
      <c r="AC6" s="12" t="str">
        <f t="shared" si="39"/>
        <v>B</v>
      </c>
      <c r="AD6" s="13">
        <f t="shared" si="40"/>
        <v>3</v>
      </c>
      <c r="AE6" s="3">
        <v>2</v>
      </c>
      <c r="AF6" s="3">
        <f t="shared" si="41"/>
        <v>6</v>
      </c>
      <c r="AG6" s="3">
        <v>72</v>
      </c>
      <c r="AH6" s="12" t="str">
        <f t="shared" si="42"/>
        <v>B</v>
      </c>
      <c r="AI6" s="13">
        <f t="shared" si="43"/>
        <v>3</v>
      </c>
      <c r="AJ6" s="3">
        <v>2</v>
      </c>
      <c r="AK6" s="3">
        <f t="shared" si="44"/>
        <v>6</v>
      </c>
      <c r="AL6" s="3">
        <v>75</v>
      </c>
      <c r="AM6" s="12" t="str">
        <f t="shared" si="45"/>
        <v>B+</v>
      </c>
      <c r="AN6" s="13">
        <f t="shared" si="46"/>
        <v>3.5</v>
      </c>
      <c r="AO6" s="3">
        <v>2</v>
      </c>
      <c r="AP6" s="3">
        <f t="shared" si="47"/>
        <v>7</v>
      </c>
      <c r="AQ6" s="3">
        <v>80</v>
      </c>
      <c r="AR6" s="12" t="str">
        <f t="shared" si="48"/>
        <v>A</v>
      </c>
      <c r="AS6" s="13">
        <f t="shared" si="49"/>
        <v>4</v>
      </c>
      <c r="AT6" s="3">
        <v>3</v>
      </c>
      <c r="AU6" s="3">
        <f t="shared" si="50"/>
        <v>12</v>
      </c>
      <c r="AV6" s="3">
        <v>80</v>
      </c>
      <c r="AW6" s="12" t="str">
        <f t="shared" si="51"/>
        <v>A</v>
      </c>
      <c r="AX6" s="13">
        <f t="shared" si="52"/>
        <v>4</v>
      </c>
      <c r="AY6" s="3">
        <v>3</v>
      </c>
      <c r="AZ6" s="3">
        <f t="shared" si="53"/>
        <v>12</v>
      </c>
      <c r="BA6" s="7">
        <v>81</v>
      </c>
      <c r="BB6" s="12" t="str">
        <f t="shared" si="54"/>
        <v>A</v>
      </c>
      <c r="BC6" s="13">
        <f t="shared" si="55"/>
        <v>4</v>
      </c>
      <c r="BD6" s="3">
        <v>2</v>
      </c>
      <c r="BE6" s="3">
        <f t="shared" si="56"/>
        <v>8</v>
      </c>
      <c r="BF6" s="3">
        <v>81</v>
      </c>
      <c r="BG6" s="12" t="str">
        <f t="shared" si="57"/>
        <v>A</v>
      </c>
      <c r="BH6" s="13">
        <f t="shared" si="58"/>
        <v>4</v>
      </c>
      <c r="BI6" s="3">
        <v>2</v>
      </c>
      <c r="BJ6" s="3">
        <f t="shared" si="59"/>
        <v>8</v>
      </c>
      <c r="BK6" s="6">
        <v>79</v>
      </c>
      <c r="BL6" s="12" t="str">
        <f t="shared" si="60"/>
        <v>B+</v>
      </c>
      <c r="BM6" s="13">
        <f t="shared" si="61"/>
        <v>3.5</v>
      </c>
      <c r="BN6" s="3">
        <v>2</v>
      </c>
      <c r="BO6" s="3">
        <f t="shared" si="62"/>
        <v>7</v>
      </c>
      <c r="BP6" s="6">
        <v>77</v>
      </c>
      <c r="BQ6" s="12" t="str">
        <f t="shared" si="63"/>
        <v>B+</v>
      </c>
      <c r="BR6" s="13">
        <f t="shared" si="64"/>
        <v>3.5</v>
      </c>
      <c r="BS6" s="3">
        <v>3</v>
      </c>
      <c r="BT6" s="3">
        <f t="shared" si="65"/>
        <v>10.5</v>
      </c>
      <c r="BU6" s="3">
        <v>80</v>
      </c>
      <c r="BV6" s="12" t="str">
        <f t="shared" si="66"/>
        <v>A</v>
      </c>
      <c r="BW6" s="13">
        <f t="shared" si="67"/>
        <v>4</v>
      </c>
      <c r="BX6" s="3">
        <v>2</v>
      </c>
      <c r="BY6" s="3">
        <f t="shared" si="68"/>
        <v>8</v>
      </c>
      <c r="BZ6" s="6">
        <v>80</v>
      </c>
      <c r="CA6" s="12" t="str">
        <f t="shared" si="69"/>
        <v>A</v>
      </c>
      <c r="CB6" s="13">
        <f t="shared" si="70"/>
        <v>4</v>
      </c>
      <c r="CC6" s="3">
        <v>2</v>
      </c>
      <c r="CD6" s="3">
        <f t="shared" si="71"/>
        <v>8</v>
      </c>
      <c r="CE6" s="6">
        <v>80</v>
      </c>
      <c r="CF6" s="12" t="str">
        <f t="shared" si="72"/>
        <v>A</v>
      </c>
      <c r="CG6" s="13">
        <f t="shared" si="73"/>
        <v>4</v>
      </c>
      <c r="CH6" s="3">
        <v>2</v>
      </c>
      <c r="CI6" s="3">
        <f t="shared" si="74"/>
        <v>8</v>
      </c>
      <c r="CJ6" s="6">
        <v>74</v>
      </c>
      <c r="CK6" s="12" t="str">
        <f t="shared" si="75"/>
        <v>B</v>
      </c>
      <c r="CL6" s="13">
        <f t="shared" si="76"/>
        <v>3</v>
      </c>
      <c r="CM6" s="3">
        <v>3</v>
      </c>
      <c r="CN6" s="3">
        <f t="shared" si="77"/>
        <v>9</v>
      </c>
      <c r="CO6" s="6">
        <v>76</v>
      </c>
      <c r="CP6" s="12" t="str">
        <f t="shared" si="78"/>
        <v>B+</v>
      </c>
      <c r="CQ6" s="13">
        <f t="shared" si="79"/>
        <v>3.5</v>
      </c>
      <c r="CR6" s="3">
        <v>2</v>
      </c>
      <c r="CS6" s="3">
        <f t="shared" si="80"/>
        <v>7</v>
      </c>
      <c r="CT6" s="6">
        <v>74</v>
      </c>
      <c r="CU6" s="12" t="str">
        <f t="shared" si="81"/>
        <v>B</v>
      </c>
      <c r="CV6" s="13">
        <f t="shared" si="82"/>
        <v>3</v>
      </c>
      <c r="CW6" s="3">
        <v>3</v>
      </c>
      <c r="CX6" s="3">
        <f t="shared" si="83"/>
        <v>9</v>
      </c>
      <c r="CY6" s="6">
        <v>77</v>
      </c>
      <c r="CZ6" s="12" t="str">
        <f t="shared" si="84"/>
        <v>B+</v>
      </c>
      <c r="DA6" s="13">
        <f t="shared" si="85"/>
        <v>3.5</v>
      </c>
      <c r="DB6" s="3">
        <v>2</v>
      </c>
      <c r="DC6" s="3">
        <f t="shared" si="86"/>
        <v>7</v>
      </c>
      <c r="DD6" s="6">
        <v>79.8</v>
      </c>
      <c r="DE6" s="12" t="str">
        <f t="shared" si="87"/>
        <v>B+</v>
      </c>
      <c r="DF6" s="13">
        <f t="shared" si="88"/>
        <v>3.5</v>
      </c>
      <c r="DG6" s="3">
        <v>2</v>
      </c>
      <c r="DH6" s="3">
        <f t="shared" si="89"/>
        <v>7</v>
      </c>
      <c r="DI6" s="6">
        <v>76.23</v>
      </c>
      <c r="DJ6" s="12" t="str">
        <f t="shared" si="90"/>
        <v>B+</v>
      </c>
      <c r="DK6" s="13">
        <f t="shared" si="91"/>
        <v>3.5</v>
      </c>
      <c r="DL6" s="3">
        <v>3</v>
      </c>
      <c r="DM6" s="3">
        <f t="shared" si="92"/>
        <v>10.5</v>
      </c>
      <c r="DN6" s="6">
        <v>76.8</v>
      </c>
      <c r="DO6" s="12" t="str">
        <f t="shared" si="93"/>
        <v>B+</v>
      </c>
      <c r="DP6" s="13">
        <f t="shared" si="94"/>
        <v>3.5</v>
      </c>
      <c r="DQ6" s="3">
        <v>2</v>
      </c>
      <c r="DR6" s="3">
        <f t="shared" si="95"/>
        <v>7</v>
      </c>
      <c r="DS6" s="6">
        <v>80</v>
      </c>
      <c r="DT6" s="12" t="str">
        <f t="shared" si="96"/>
        <v>A</v>
      </c>
      <c r="DU6" s="13">
        <f t="shared" si="97"/>
        <v>4</v>
      </c>
      <c r="DV6" s="3">
        <v>2</v>
      </c>
      <c r="DW6" s="3">
        <f t="shared" si="98"/>
        <v>8</v>
      </c>
      <c r="DX6" s="6">
        <v>76.73</v>
      </c>
      <c r="DY6" s="12" t="str">
        <f t="shared" si="99"/>
        <v>B+</v>
      </c>
      <c r="DZ6" s="13">
        <f t="shared" si="100"/>
        <v>3.5</v>
      </c>
      <c r="EA6" s="3">
        <v>2</v>
      </c>
      <c r="EB6" s="3">
        <f t="shared" si="101"/>
        <v>7</v>
      </c>
      <c r="EC6" s="6">
        <v>82</v>
      </c>
      <c r="ED6" s="12" t="str">
        <f t="shared" si="102"/>
        <v>A</v>
      </c>
      <c r="EE6" s="13">
        <f t="shared" si="103"/>
        <v>4</v>
      </c>
      <c r="EF6" s="3">
        <v>2</v>
      </c>
      <c r="EG6" s="3">
        <f t="shared" si="104"/>
        <v>8</v>
      </c>
      <c r="EH6" s="6">
        <v>79</v>
      </c>
      <c r="EI6" s="12" t="str">
        <f t="shared" si="105"/>
        <v>B+</v>
      </c>
      <c r="EJ6" s="13">
        <f t="shared" si="106"/>
        <v>3.5</v>
      </c>
      <c r="EK6" s="3">
        <v>3</v>
      </c>
      <c r="EL6" s="3">
        <f t="shared" si="107"/>
        <v>10.5</v>
      </c>
      <c r="EM6" s="6">
        <v>80.8</v>
      </c>
      <c r="EN6" s="12" t="str">
        <f t="shared" si="108"/>
        <v>A</v>
      </c>
      <c r="EO6" s="13">
        <f t="shared" si="109"/>
        <v>4</v>
      </c>
      <c r="EP6" s="3">
        <v>4</v>
      </c>
      <c r="EQ6" s="3">
        <f t="shared" si="110"/>
        <v>16</v>
      </c>
      <c r="ER6" s="6">
        <f t="shared" si="111"/>
        <v>88.5</v>
      </c>
      <c r="ES6" s="6">
        <f t="shared" si="112"/>
        <v>22</v>
      </c>
      <c r="ET6" s="6">
        <f t="shared" si="113"/>
        <v>82.5</v>
      </c>
      <c r="EU6" s="6">
        <f t="shared" si="114"/>
        <v>23</v>
      </c>
      <c r="EV6" s="6">
        <f t="shared" si="115"/>
        <v>81</v>
      </c>
      <c r="EW6" s="6">
        <f t="shared" si="116"/>
        <v>22</v>
      </c>
      <c r="EX6" s="6">
        <f t="shared" si="117"/>
        <v>252</v>
      </c>
      <c r="EY6" s="6">
        <f t="shared" si="118"/>
        <v>67</v>
      </c>
      <c r="EZ6" s="17">
        <f t="shared" si="119"/>
        <v>3.7611940298507465</v>
      </c>
      <c r="FA6" s="7" t="str">
        <f t="shared" si="120"/>
        <v>Cum Laude</v>
      </c>
      <c r="FB6" s="14" t="str">
        <f t="shared" si="121"/>
        <v>Excellent</v>
      </c>
      <c r="FC6" s="6" t="s">
        <v>91</v>
      </c>
    </row>
    <row r="7" spans="1:159" ht="15" x14ac:dyDescent="0.25">
      <c r="A7" s="7">
        <v>5</v>
      </c>
      <c r="B7" s="28" t="s">
        <v>27</v>
      </c>
      <c r="C7" s="7">
        <v>172312008</v>
      </c>
      <c r="D7" s="6" t="s">
        <v>79</v>
      </c>
      <c r="E7" s="15" t="s">
        <v>78</v>
      </c>
      <c r="F7" s="15" t="s">
        <v>99</v>
      </c>
      <c r="G7" s="6"/>
      <c r="H7" s="3">
        <v>73</v>
      </c>
      <c r="I7" s="12" t="str">
        <f t="shared" si="28"/>
        <v>B</v>
      </c>
      <c r="J7" s="13">
        <f t="shared" si="0"/>
        <v>3</v>
      </c>
      <c r="K7" s="3">
        <v>3</v>
      </c>
      <c r="L7" s="3">
        <f t="shared" si="29"/>
        <v>9</v>
      </c>
      <c r="M7" s="3">
        <v>80</v>
      </c>
      <c r="N7" s="12" t="str">
        <f t="shared" si="30"/>
        <v>A</v>
      </c>
      <c r="O7" s="13">
        <f t="shared" si="31"/>
        <v>4</v>
      </c>
      <c r="P7" s="3">
        <v>3</v>
      </c>
      <c r="Q7" s="3">
        <f t="shared" si="32"/>
        <v>12</v>
      </c>
      <c r="R7" s="3">
        <v>80</v>
      </c>
      <c r="S7" s="12" t="str">
        <f t="shared" si="33"/>
        <v>A</v>
      </c>
      <c r="T7" s="13">
        <f t="shared" si="34"/>
        <v>4</v>
      </c>
      <c r="U7" s="3">
        <v>2</v>
      </c>
      <c r="V7" s="3">
        <f t="shared" si="35"/>
        <v>8</v>
      </c>
      <c r="W7" s="3">
        <v>80</v>
      </c>
      <c r="X7" s="12" t="str">
        <f t="shared" si="36"/>
        <v>A</v>
      </c>
      <c r="Y7" s="13">
        <f t="shared" si="37"/>
        <v>4</v>
      </c>
      <c r="Z7" s="3">
        <v>2</v>
      </c>
      <c r="AA7" s="3">
        <f t="shared" si="38"/>
        <v>8</v>
      </c>
      <c r="AB7" s="3">
        <v>73</v>
      </c>
      <c r="AC7" s="12" t="str">
        <f t="shared" si="39"/>
        <v>B</v>
      </c>
      <c r="AD7" s="13">
        <f t="shared" si="40"/>
        <v>3</v>
      </c>
      <c r="AE7" s="3">
        <v>2</v>
      </c>
      <c r="AF7" s="3">
        <f t="shared" si="41"/>
        <v>6</v>
      </c>
      <c r="AG7" s="3">
        <v>75</v>
      </c>
      <c r="AH7" s="12" t="str">
        <f t="shared" si="42"/>
        <v>B+</v>
      </c>
      <c r="AI7" s="13">
        <f t="shared" si="43"/>
        <v>3.5</v>
      </c>
      <c r="AJ7" s="3">
        <v>2</v>
      </c>
      <c r="AK7" s="3">
        <f t="shared" si="44"/>
        <v>7</v>
      </c>
      <c r="AL7" s="3">
        <v>80</v>
      </c>
      <c r="AM7" s="12" t="str">
        <f t="shared" si="45"/>
        <v>A</v>
      </c>
      <c r="AN7" s="13">
        <f t="shared" si="46"/>
        <v>4</v>
      </c>
      <c r="AO7" s="3">
        <v>2</v>
      </c>
      <c r="AP7" s="3">
        <f t="shared" si="47"/>
        <v>8</v>
      </c>
      <c r="AQ7" s="3">
        <v>82</v>
      </c>
      <c r="AR7" s="12" t="str">
        <f t="shared" si="48"/>
        <v>A</v>
      </c>
      <c r="AS7" s="13">
        <f t="shared" si="49"/>
        <v>4</v>
      </c>
      <c r="AT7" s="3">
        <v>3</v>
      </c>
      <c r="AU7" s="3">
        <f t="shared" si="50"/>
        <v>12</v>
      </c>
      <c r="AV7" s="3">
        <v>85</v>
      </c>
      <c r="AW7" s="12" t="str">
        <f t="shared" si="51"/>
        <v>A</v>
      </c>
      <c r="AX7" s="13">
        <f t="shared" si="52"/>
        <v>4</v>
      </c>
      <c r="AY7" s="3">
        <v>3</v>
      </c>
      <c r="AZ7" s="3">
        <f t="shared" si="53"/>
        <v>12</v>
      </c>
      <c r="BA7" s="7">
        <v>81</v>
      </c>
      <c r="BB7" s="12" t="str">
        <f t="shared" si="54"/>
        <v>A</v>
      </c>
      <c r="BC7" s="13">
        <f t="shared" si="55"/>
        <v>4</v>
      </c>
      <c r="BD7" s="3">
        <v>2</v>
      </c>
      <c r="BE7" s="3">
        <f t="shared" si="56"/>
        <v>8</v>
      </c>
      <c r="BF7" s="3">
        <v>81</v>
      </c>
      <c r="BG7" s="12" t="str">
        <f t="shared" si="57"/>
        <v>A</v>
      </c>
      <c r="BH7" s="13">
        <f t="shared" si="58"/>
        <v>4</v>
      </c>
      <c r="BI7" s="3">
        <v>2</v>
      </c>
      <c r="BJ7" s="3">
        <f t="shared" si="59"/>
        <v>8</v>
      </c>
      <c r="BK7" s="6">
        <v>79</v>
      </c>
      <c r="BL7" s="12" t="str">
        <f t="shared" si="60"/>
        <v>B+</v>
      </c>
      <c r="BM7" s="13">
        <f t="shared" si="61"/>
        <v>3.5</v>
      </c>
      <c r="BN7" s="3">
        <v>2</v>
      </c>
      <c r="BO7" s="3">
        <f t="shared" si="62"/>
        <v>7</v>
      </c>
      <c r="BP7" s="6">
        <v>77</v>
      </c>
      <c r="BQ7" s="12" t="str">
        <f t="shared" si="63"/>
        <v>B+</v>
      </c>
      <c r="BR7" s="13">
        <f t="shared" si="64"/>
        <v>3.5</v>
      </c>
      <c r="BS7" s="3">
        <v>3</v>
      </c>
      <c r="BT7" s="3">
        <f t="shared" si="65"/>
        <v>10.5</v>
      </c>
      <c r="BU7" s="3">
        <v>80</v>
      </c>
      <c r="BV7" s="12" t="str">
        <f t="shared" si="66"/>
        <v>A</v>
      </c>
      <c r="BW7" s="13">
        <f t="shared" si="67"/>
        <v>4</v>
      </c>
      <c r="BX7" s="3">
        <v>2</v>
      </c>
      <c r="BY7" s="3">
        <f t="shared" si="68"/>
        <v>8</v>
      </c>
      <c r="BZ7" s="6">
        <v>80</v>
      </c>
      <c r="CA7" s="12" t="str">
        <f t="shared" si="69"/>
        <v>A</v>
      </c>
      <c r="CB7" s="13">
        <f t="shared" si="70"/>
        <v>4</v>
      </c>
      <c r="CC7" s="3">
        <v>2</v>
      </c>
      <c r="CD7" s="3">
        <f t="shared" si="71"/>
        <v>8</v>
      </c>
      <c r="CE7" s="6">
        <v>80</v>
      </c>
      <c r="CF7" s="12" t="str">
        <f t="shared" si="72"/>
        <v>A</v>
      </c>
      <c r="CG7" s="13">
        <f t="shared" si="73"/>
        <v>4</v>
      </c>
      <c r="CH7" s="3">
        <v>2</v>
      </c>
      <c r="CI7" s="3">
        <f t="shared" si="74"/>
        <v>8</v>
      </c>
      <c r="CJ7" s="6">
        <v>75</v>
      </c>
      <c r="CK7" s="12" t="str">
        <f t="shared" si="75"/>
        <v>B+</v>
      </c>
      <c r="CL7" s="13">
        <f t="shared" si="76"/>
        <v>3.5</v>
      </c>
      <c r="CM7" s="3">
        <v>3</v>
      </c>
      <c r="CN7" s="3">
        <f t="shared" si="77"/>
        <v>10.5</v>
      </c>
      <c r="CO7" s="6">
        <v>78</v>
      </c>
      <c r="CP7" s="12" t="str">
        <f t="shared" si="78"/>
        <v>B+</v>
      </c>
      <c r="CQ7" s="13">
        <f t="shared" si="79"/>
        <v>3.5</v>
      </c>
      <c r="CR7" s="3">
        <v>2</v>
      </c>
      <c r="CS7" s="3">
        <f t="shared" si="80"/>
        <v>7</v>
      </c>
      <c r="CT7" s="6">
        <v>72</v>
      </c>
      <c r="CU7" s="12" t="str">
        <f t="shared" si="81"/>
        <v>B</v>
      </c>
      <c r="CV7" s="13">
        <f t="shared" si="82"/>
        <v>3</v>
      </c>
      <c r="CW7" s="3">
        <v>3</v>
      </c>
      <c r="CX7" s="3">
        <f t="shared" si="83"/>
        <v>9</v>
      </c>
      <c r="CY7" s="6">
        <v>78.2</v>
      </c>
      <c r="CZ7" s="12" t="str">
        <f t="shared" si="84"/>
        <v>B+</v>
      </c>
      <c r="DA7" s="13">
        <f t="shared" si="85"/>
        <v>3.5</v>
      </c>
      <c r="DB7" s="3">
        <v>2</v>
      </c>
      <c r="DC7" s="3">
        <f t="shared" si="86"/>
        <v>7</v>
      </c>
      <c r="DD7" s="6">
        <v>79.599999999999994</v>
      </c>
      <c r="DE7" s="12" t="str">
        <f t="shared" si="87"/>
        <v>B+</v>
      </c>
      <c r="DF7" s="13">
        <f t="shared" si="88"/>
        <v>3.5</v>
      </c>
      <c r="DG7" s="3">
        <v>2</v>
      </c>
      <c r="DH7" s="3">
        <f t="shared" si="89"/>
        <v>7</v>
      </c>
      <c r="DI7" s="6">
        <v>71.150000000000006</v>
      </c>
      <c r="DJ7" s="12" t="str">
        <f t="shared" si="90"/>
        <v>B</v>
      </c>
      <c r="DK7" s="13">
        <f t="shared" si="91"/>
        <v>3</v>
      </c>
      <c r="DL7" s="3">
        <v>3</v>
      </c>
      <c r="DM7" s="3">
        <f t="shared" si="92"/>
        <v>9</v>
      </c>
      <c r="DN7" s="6">
        <v>76.8</v>
      </c>
      <c r="DO7" s="12" t="str">
        <f t="shared" si="93"/>
        <v>B+</v>
      </c>
      <c r="DP7" s="13">
        <f t="shared" si="94"/>
        <v>3.5</v>
      </c>
      <c r="DQ7" s="3">
        <v>2</v>
      </c>
      <c r="DR7" s="3">
        <f t="shared" si="95"/>
        <v>7</v>
      </c>
      <c r="DS7" s="6">
        <v>80.2</v>
      </c>
      <c r="DT7" s="12" t="str">
        <f t="shared" si="96"/>
        <v>A</v>
      </c>
      <c r="DU7" s="13">
        <f t="shared" si="97"/>
        <v>4</v>
      </c>
      <c r="DV7" s="3">
        <v>2</v>
      </c>
      <c r="DW7" s="3">
        <f t="shared" si="98"/>
        <v>8</v>
      </c>
      <c r="DX7" s="6">
        <v>74.680000000000007</v>
      </c>
      <c r="DY7" s="12" t="str">
        <f t="shared" si="99"/>
        <v>B</v>
      </c>
      <c r="DZ7" s="13">
        <f t="shared" si="100"/>
        <v>3</v>
      </c>
      <c r="EA7" s="3">
        <v>2</v>
      </c>
      <c r="EB7" s="3">
        <f t="shared" si="101"/>
        <v>6</v>
      </c>
      <c r="EC7" s="6">
        <v>82</v>
      </c>
      <c r="ED7" s="12" t="str">
        <f t="shared" si="102"/>
        <v>A</v>
      </c>
      <c r="EE7" s="13">
        <f t="shared" si="103"/>
        <v>4</v>
      </c>
      <c r="EF7" s="3">
        <v>2</v>
      </c>
      <c r="EG7" s="3">
        <f t="shared" si="104"/>
        <v>8</v>
      </c>
      <c r="EH7" s="6">
        <v>80.8</v>
      </c>
      <c r="EI7" s="12" t="str">
        <f t="shared" si="105"/>
        <v>A</v>
      </c>
      <c r="EJ7" s="13">
        <f t="shared" si="106"/>
        <v>4</v>
      </c>
      <c r="EK7" s="3">
        <v>3</v>
      </c>
      <c r="EL7" s="3">
        <f t="shared" si="107"/>
        <v>12</v>
      </c>
      <c r="EM7" s="6">
        <v>80.8</v>
      </c>
      <c r="EN7" s="12" t="str">
        <f t="shared" si="108"/>
        <v>A</v>
      </c>
      <c r="EO7" s="13">
        <f t="shared" si="109"/>
        <v>4</v>
      </c>
      <c r="EP7" s="3">
        <v>4</v>
      </c>
      <c r="EQ7" s="3">
        <f t="shared" si="110"/>
        <v>16</v>
      </c>
      <c r="ER7" s="6">
        <f t="shared" si="111"/>
        <v>94</v>
      </c>
      <c r="ES7" s="6">
        <f t="shared" si="112"/>
        <v>22</v>
      </c>
      <c r="ET7" s="6">
        <f t="shared" si="113"/>
        <v>84</v>
      </c>
      <c r="EU7" s="6">
        <f t="shared" si="114"/>
        <v>23</v>
      </c>
      <c r="EV7" s="6">
        <f t="shared" si="115"/>
        <v>80</v>
      </c>
      <c r="EW7" s="6">
        <f t="shared" si="116"/>
        <v>22</v>
      </c>
      <c r="EX7" s="6">
        <f t="shared" si="117"/>
        <v>258</v>
      </c>
      <c r="EY7" s="6">
        <f t="shared" si="118"/>
        <v>67</v>
      </c>
      <c r="EZ7" s="17">
        <f t="shared" si="119"/>
        <v>3.8507462686567164</v>
      </c>
      <c r="FA7" s="7" t="str">
        <f t="shared" si="120"/>
        <v>Cum Laude</v>
      </c>
      <c r="FB7" s="14" t="str">
        <f t="shared" si="121"/>
        <v>Excellent</v>
      </c>
      <c r="FC7" s="6"/>
    </row>
    <row r="8" spans="1:159" ht="15" x14ac:dyDescent="0.25">
      <c r="A8" s="7">
        <v>6</v>
      </c>
      <c r="B8" s="6" t="s">
        <v>23</v>
      </c>
      <c r="C8" s="7">
        <v>172312009</v>
      </c>
      <c r="D8" s="18" t="s">
        <v>81</v>
      </c>
      <c r="E8" s="15" t="s">
        <v>80</v>
      </c>
      <c r="F8" s="15" t="s">
        <v>98</v>
      </c>
      <c r="G8" s="6"/>
      <c r="H8" s="3">
        <v>79</v>
      </c>
      <c r="I8" s="12" t="str">
        <f t="shared" si="28"/>
        <v>B+</v>
      </c>
      <c r="J8" s="13">
        <f t="shared" si="0"/>
        <v>3.5</v>
      </c>
      <c r="K8" s="3">
        <v>3</v>
      </c>
      <c r="L8" s="3">
        <f t="shared" si="29"/>
        <v>10.5</v>
      </c>
      <c r="M8" s="3">
        <v>77</v>
      </c>
      <c r="N8" s="12" t="str">
        <f t="shared" si="30"/>
        <v>B+</v>
      </c>
      <c r="O8" s="13">
        <f t="shared" si="31"/>
        <v>3.5</v>
      </c>
      <c r="P8" s="3">
        <v>3</v>
      </c>
      <c r="Q8" s="3">
        <f t="shared" si="32"/>
        <v>10.5</v>
      </c>
      <c r="R8" s="3">
        <v>80</v>
      </c>
      <c r="S8" s="12" t="str">
        <f t="shared" si="33"/>
        <v>A</v>
      </c>
      <c r="T8" s="13">
        <f t="shared" si="34"/>
        <v>4</v>
      </c>
      <c r="U8" s="3">
        <v>2</v>
      </c>
      <c r="V8" s="3">
        <f t="shared" si="35"/>
        <v>8</v>
      </c>
      <c r="W8" s="3">
        <v>82</v>
      </c>
      <c r="X8" s="12" t="str">
        <f t="shared" si="36"/>
        <v>A</v>
      </c>
      <c r="Y8" s="13">
        <f t="shared" si="37"/>
        <v>4</v>
      </c>
      <c r="Z8" s="3">
        <v>2</v>
      </c>
      <c r="AA8" s="3">
        <f t="shared" si="38"/>
        <v>8</v>
      </c>
      <c r="AB8" s="3">
        <v>78</v>
      </c>
      <c r="AC8" s="12" t="str">
        <f t="shared" si="39"/>
        <v>B+</v>
      </c>
      <c r="AD8" s="13">
        <f t="shared" si="40"/>
        <v>3.5</v>
      </c>
      <c r="AE8" s="3">
        <v>2</v>
      </c>
      <c r="AF8" s="3">
        <f t="shared" si="41"/>
        <v>7</v>
      </c>
      <c r="AG8" s="3">
        <v>78</v>
      </c>
      <c r="AH8" s="12" t="str">
        <f t="shared" si="42"/>
        <v>B+</v>
      </c>
      <c r="AI8" s="13">
        <f t="shared" si="43"/>
        <v>3.5</v>
      </c>
      <c r="AJ8" s="3">
        <v>2</v>
      </c>
      <c r="AK8" s="3">
        <f t="shared" si="44"/>
        <v>7</v>
      </c>
      <c r="AL8" s="3">
        <v>78</v>
      </c>
      <c r="AM8" s="12" t="str">
        <f t="shared" si="45"/>
        <v>B+</v>
      </c>
      <c r="AN8" s="13">
        <f t="shared" si="46"/>
        <v>3.5</v>
      </c>
      <c r="AO8" s="3">
        <v>2</v>
      </c>
      <c r="AP8" s="3">
        <f t="shared" si="47"/>
        <v>7</v>
      </c>
      <c r="AQ8" s="3">
        <v>79</v>
      </c>
      <c r="AR8" s="12" t="str">
        <f t="shared" si="48"/>
        <v>B+</v>
      </c>
      <c r="AS8" s="13">
        <f t="shared" si="49"/>
        <v>3.5</v>
      </c>
      <c r="AT8" s="3">
        <v>3</v>
      </c>
      <c r="AU8" s="3">
        <f t="shared" si="50"/>
        <v>10.5</v>
      </c>
      <c r="AV8" s="3">
        <v>80</v>
      </c>
      <c r="AW8" s="12" t="str">
        <f t="shared" si="51"/>
        <v>A</v>
      </c>
      <c r="AX8" s="13">
        <f t="shared" si="52"/>
        <v>4</v>
      </c>
      <c r="AY8" s="3">
        <v>3</v>
      </c>
      <c r="AZ8" s="3">
        <f t="shared" si="53"/>
        <v>12</v>
      </c>
      <c r="BA8" s="7">
        <v>81</v>
      </c>
      <c r="BB8" s="12" t="str">
        <f t="shared" si="54"/>
        <v>A</v>
      </c>
      <c r="BC8" s="13">
        <f t="shared" si="55"/>
        <v>4</v>
      </c>
      <c r="BD8" s="3">
        <v>2</v>
      </c>
      <c r="BE8" s="3">
        <f t="shared" si="56"/>
        <v>8</v>
      </c>
      <c r="BF8" s="3">
        <v>81</v>
      </c>
      <c r="BG8" s="12" t="str">
        <f t="shared" si="57"/>
        <v>A</v>
      </c>
      <c r="BH8" s="13">
        <f t="shared" si="58"/>
        <v>4</v>
      </c>
      <c r="BI8" s="3">
        <v>2</v>
      </c>
      <c r="BJ8" s="3">
        <f t="shared" si="59"/>
        <v>8</v>
      </c>
      <c r="BK8" s="6">
        <v>80</v>
      </c>
      <c r="BL8" s="12" t="str">
        <f t="shared" si="60"/>
        <v>A</v>
      </c>
      <c r="BM8" s="13">
        <f t="shared" si="61"/>
        <v>4</v>
      </c>
      <c r="BN8" s="3">
        <v>2</v>
      </c>
      <c r="BO8" s="3">
        <f t="shared" si="62"/>
        <v>8</v>
      </c>
      <c r="BP8" s="6">
        <v>77</v>
      </c>
      <c r="BQ8" s="12" t="str">
        <f t="shared" si="63"/>
        <v>B+</v>
      </c>
      <c r="BR8" s="13">
        <f t="shared" si="64"/>
        <v>3.5</v>
      </c>
      <c r="BS8" s="3">
        <v>3</v>
      </c>
      <c r="BT8" s="3">
        <f t="shared" si="65"/>
        <v>10.5</v>
      </c>
      <c r="BU8" s="3">
        <v>80</v>
      </c>
      <c r="BV8" s="12" t="str">
        <f t="shared" si="66"/>
        <v>A</v>
      </c>
      <c r="BW8" s="13">
        <f t="shared" si="67"/>
        <v>4</v>
      </c>
      <c r="BX8" s="3">
        <v>2</v>
      </c>
      <c r="BY8" s="3">
        <f t="shared" si="68"/>
        <v>8</v>
      </c>
      <c r="BZ8" s="6">
        <v>80</v>
      </c>
      <c r="CA8" s="12" t="str">
        <f t="shared" si="69"/>
        <v>A</v>
      </c>
      <c r="CB8" s="13">
        <f t="shared" si="70"/>
        <v>4</v>
      </c>
      <c r="CC8" s="3">
        <v>2</v>
      </c>
      <c r="CD8" s="3">
        <f t="shared" si="71"/>
        <v>8</v>
      </c>
      <c r="CE8" s="6">
        <v>76</v>
      </c>
      <c r="CF8" s="12" t="str">
        <f t="shared" si="72"/>
        <v>B+</v>
      </c>
      <c r="CG8" s="13">
        <f t="shared" si="73"/>
        <v>3.5</v>
      </c>
      <c r="CH8" s="3">
        <v>2</v>
      </c>
      <c r="CI8" s="3">
        <f t="shared" si="74"/>
        <v>7</v>
      </c>
      <c r="CJ8" s="6">
        <v>75</v>
      </c>
      <c r="CK8" s="12" t="str">
        <f t="shared" si="75"/>
        <v>B+</v>
      </c>
      <c r="CL8" s="13">
        <f t="shared" si="76"/>
        <v>3.5</v>
      </c>
      <c r="CM8" s="3">
        <v>3</v>
      </c>
      <c r="CN8" s="3">
        <f t="shared" si="77"/>
        <v>10.5</v>
      </c>
      <c r="CO8" s="6">
        <v>69</v>
      </c>
      <c r="CP8" s="12" t="str">
        <f t="shared" si="78"/>
        <v>C+</v>
      </c>
      <c r="CQ8" s="13">
        <f t="shared" si="79"/>
        <v>2.5</v>
      </c>
      <c r="CR8" s="3">
        <v>2</v>
      </c>
      <c r="CS8" s="3">
        <f t="shared" si="80"/>
        <v>5</v>
      </c>
      <c r="CT8" s="6">
        <v>70</v>
      </c>
      <c r="CU8" s="12" t="str">
        <f t="shared" si="81"/>
        <v>B</v>
      </c>
      <c r="CV8" s="13">
        <f t="shared" si="82"/>
        <v>3</v>
      </c>
      <c r="CW8" s="3">
        <v>3</v>
      </c>
      <c r="CX8" s="3">
        <f t="shared" si="83"/>
        <v>9</v>
      </c>
      <c r="CY8" s="6">
        <v>77</v>
      </c>
      <c r="CZ8" s="12" t="str">
        <f t="shared" si="84"/>
        <v>B+</v>
      </c>
      <c r="DA8" s="13">
        <f t="shared" si="85"/>
        <v>3.5</v>
      </c>
      <c r="DB8" s="3">
        <v>2</v>
      </c>
      <c r="DC8" s="3">
        <f t="shared" si="86"/>
        <v>7</v>
      </c>
      <c r="DD8" s="6">
        <v>79.8</v>
      </c>
      <c r="DE8" s="12" t="str">
        <f t="shared" si="87"/>
        <v>B+</v>
      </c>
      <c r="DF8" s="13">
        <f t="shared" si="88"/>
        <v>3.5</v>
      </c>
      <c r="DG8" s="3">
        <v>2</v>
      </c>
      <c r="DH8" s="3">
        <f t="shared" si="89"/>
        <v>7</v>
      </c>
      <c r="DI8" s="6">
        <v>72.95</v>
      </c>
      <c r="DJ8" s="12" t="str">
        <f t="shared" si="90"/>
        <v>B</v>
      </c>
      <c r="DK8" s="13">
        <f t="shared" si="91"/>
        <v>3</v>
      </c>
      <c r="DL8" s="3">
        <v>3</v>
      </c>
      <c r="DM8" s="3">
        <f t="shared" si="92"/>
        <v>9</v>
      </c>
      <c r="DN8" s="6">
        <v>76.8</v>
      </c>
      <c r="DO8" s="12" t="str">
        <f t="shared" si="93"/>
        <v>B+</v>
      </c>
      <c r="DP8" s="13">
        <f t="shared" si="94"/>
        <v>3.5</v>
      </c>
      <c r="DQ8" s="3">
        <v>2</v>
      </c>
      <c r="DR8" s="3">
        <f t="shared" si="95"/>
        <v>7</v>
      </c>
      <c r="DS8" s="6">
        <v>80</v>
      </c>
      <c r="DT8" s="12" t="str">
        <f t="shared" si="96"/>
        <v>A</v>
      </c>
      <c r="DU8" s="13">
        <f t="shared" si="97"/>
        <v>4</v>
      </c>
      <c r="DV8" s="3">
        <v>2</v>
      </c>
      <c r="DW8" s="3">
        <f t="shared" si="98"/>
        <v>8</v>
      </c>
      <c r="DX8" s="6">
        <v>74.8</v>
      </c>
      <c r="DY8" s="12" t="str">
        <f t="shared" si="99"/>
        <v>B</v>
      </c>
      <c r="DZ8" s="13">
        <f t="shared" si="100"/>
        <v>3</v>
      </c>
      <c r="EA8" s="3">
        <v>2</v>
      </c>
      <c r="EB8" s="3">
        <f t="shared" si="101"/>
        <v>6</v>
      </c>
      <c r="EC8" s="6">
        <v>78</v>
      </c>
      <c r="ED8" s="12" t="str">
        <f t="shared" si="102"/>
        <v>B+</v>
      </c>
      <c r="EE8" s="13">
        <f t="shared" si="103"/>
        <v>3.5</v>
      </c>
      <c r="EF8" s="3">
        <v>2</v>
      </c>
      <c r="EG8" s="3">
        <f t="shared" si="104"/>
        <v>7</v>
      </c>
      <c r="EH8" s="6">
        <v>73.5</v>
      </c>
      <c r="EI8" s="12" t="str">
        <f t="shared" si="105"/>
        <v>B</v>
      </c>
      <c r="EJ8" s="13">
        <f t="shared" si="106"/>
        <v>3</v>
      </c>
      <c r="EK8" s="3">
        <v>3</v>
      </c>
      <c r="EL8" s="3">
        <f t="shared" si="107"/>
        <v>9</v>
      </c>
      <c r="EM8" s="6">
        <v>80.2</v>
      </c>
      <c r="EN8" s="12" t="str">
        <f t="shared" si="108"/>
        <v>A</v>
      </c>
      <c r="EO8" s="13">
        <f t="shared" si="109"/>
        <v>4</v>
      </c>
      <c r="EP8" s="3">
        <v>4</v>
      </c>
      <c r="EQ8" s="3">
        <f t="shared" si="110"/>
        <v>16</v>
      </c>
      <c r="ER8" s="6">
        <f t="shared" si="111"/>
        <v>91</v>
      </c>
      <c r="ES8" s="6">
        <f t="shared" si="112"/>
        <v>22</v>
      </c>
      <c r="ET8" s="6">
        <f t="shared" si="113"/>
        <v>82</v>
      </c>
      <c r="EU8" s="6">
        <f t="shared" si="114"/>
        <v>23</v>
      </c>
      <c r="EV8" s="6">
        <f t="shared" si="115"/>
        <v>76</v>
      </c>
      <c r="EW8" s="6">
        <f t="shared" si="116"/>
        <v>22</v>
      </c>
      <c r="EX8" s="6">
        <f t="shared" si="117"/>
        <v>249</v>
      </c>
      <c r="EY8" s="6">
        <f t="shared" si="118"/>
        <v>67</v>
      </c>
      <c r="EZ8" s="17">
        <f t="shared" si="119"/>
        <v>3.716417910447761</v>
      </c>
      <c r="FA8" s="7" t="str">
        <f t="shared" si="120"/>
        <v>Cum Laude</v>
      </c>
      <c r="FB8" s="14" t="str">
        <f t="shared" si="121"/>
        <v>Excellent</v>
      </c>
      <c r="FC8" s="6" t="s">
        <v>92</v>
      </c>
    </row>
    <row r="9" spans="1:159" ht="15" x14ac:dyDescent="0.25">
      <c r="A9" s="7">
        <v>7</v>
      </c>
      <c r="B9" s="6" t="s">
        <v>28</v>
      </c>
      <c r="C9" s="7">
        <v>172312010</v>
      </c>
      <c r="D9" s="6"/>
      <c r="E9" s="15"/>
      <c r="F9" s="15" t="s">
        <v>99</v>
      </c>
      <c r="G9" s="6"/>
      <c r="H9" s="3">
        <v>78</v>
      </c>
      <c r="I9" s="12" t="str">
        <f t="shared" si="28"/>
        <v>B+</v>
      </c>
      <c r="J9" s="13">
        <f t="shared" si="0"/>
        <v>3.5</v>
      </c>
      <c r="K9" s="3">
        <v>3</v>
      </c>
      <c r="L9" s="3">
        <f t="shared" si="29"/>
        <v>10.5</v>
      </c>
      <c r="M9" s="3">
        <v>77</v>
      </c>
      <c r="N9" s="12" t="str">
        <f t="shared" si="30"/>
        <v>B+</v>
      </c>
      <c r="O9" s="13">
        <f t="shared" si="31"/>
        <v>3.5</v>
      </c>
      <c r="P9" s="3">
        <v>3</v>
      </c>
      <c r="Q9" s="3">
        <f t="shared" si="32"/>
        <v>10.5</v>
      </c>
      <c r="R9" s="3">
        <v>81</v>
      </c>
      <c r="S9" s="12" t="str">
        <f t="shared" si="33"/>
        <v>A</v>
      </c>
      <c r="T9" s="13">
        <f t="shared" si="34"/>
        <v>4</v>
      </c>
      <c r="U9" s="3">
        <v>2</v>
      </c>
      <c r="V9" s="3">
        <f t="shared" si="35"/>
        <v>8</v>
      </c>
      <c r="W9" s="3">
        <v>80</v>
      </c>
      <c r="X9" s="12" t="str">
        <f t="shared" si="36"/>
        <v>A</v>
      </c>
      <c r="Y9" s="13">
        <f t="shared" si="37"/>
        <v>4</v>
      </c>
      <c r="Z9" s="3">
        <v>2</v>
      </c>
      <c r="AA9" s="3">
        <f t="shared" si="38"/>
        <v>8</v>
      </c>
      <c r="AB9" s="3">
        <v>76</v>
      </c>
      <c r="AC9" s="12" t="str">
        <f t="shared" si="39"/>
        <v>B+</v>
      </c>
      <c r="AD9" s="13">
        <f t="shared" si="40"/>
        <v>3.5</v>
      </c>
      <c r="AE9" s="3">
        <v>2</v>
      </c>
      <c r="AF9" s="3">
        <f t="shared" si="41"/>
        <v>7</v>
      </c>
      <c r="AG9" s="3">
        <v>76</v>
      </c>
      <c r="AH9" s="12" t="str">
        <f t="shared" si="42"/>
        <v>B+</v>
      </c>
      <c r="AI9" s="13">
        <f t="shared" si="43"/>
        <v>3.5</v>
      </c>
      <c r="AJ9" s="3">
        <v>2</v>
      </c>
      <c r="AK9" s="3">
        <f t="shared" si="44"/>
        <v>7</v>
      </c>
      <c r="AL9" s="3">
        <v>80</v>
      </c>
      <c r="AM9" s="12" t="str">
        <f t="shared" si="45"/>
        <v>A</v>
      </c>
      <c r="AN9" s="13">
        <f t="shared" si="46"/>
        <v>4</v>
      </c>
      <c r="AO9" s="3">
        <v>2</v>
      </c>
      <c r="AP9" s="3">
        <f t="shared" si="47"/>
        <v>8</v>
      </c>
      <c r="AQ9" s="3">
        <v>79</v>
      </c>
      <c r="AR9" s="12" t="str">
        <f t="shared" si="48"/>
        <v>B+</v>
      </c>
      <c r="AS9" s="13">
        <f t="shared" si="49"/>
        <v>3.5</v>
      </c>
      <c r="AT9" s="3">
        <v>3</v>
      </c>
      <c r="AU9" s="3">
        <f t="shared" si="50"/>
        <v>10.5</v>
      </c>
      <c r="AV9" s="3">
        <v>76</v>
      </c>
      <c r="AW9" s="12" t="str">
        <f t="shared" si="51"/>
        <v>B+</v>
      </c>
      <c r="AX9" s="13">
        <f t="shared" si="52"/>
        <v>3.5</v>
      </c>
      <c r="AY9" s="3">
        <v>3</v>
      </c>
      <c r="AZ9" s="3">
        <f t="shared" si="53"/>
        <v>10.5</v>
      </c>
      <c r="BA9" s="7">
        <v>81</v>
      </c>
      <c r="BB9" s="12" t="str">
        <f t="shared" si="54"/>
        <v>A</v>
      </c>
      <c r="BC9" s="13">
        <f t="shared" si="55"/>
        <v>4</v>
      </c>
      <c r="BD9" s="3">
        <v>2</v>
      </c>
      <c r="BE9" s="3">
        <f t="shared" si="56"/>
        <v>8</v>
      </c>
      <c r="BF9" s="3">
        <v>81</v>
      </c>
      <c r="BG9" s="12" t="str">
        <f t="shared" si="57"/>
        <v>A</v>
      </c>
      <c r="BH9" s="13">
        <f t="shared" si="58"/>
        <v>4</v>
      </c>
      <c r="BI9" s="3">
        <v>2</v>
      </c>
      <c r="BJ9" s="3">
        <f t="shared" si="59"/>
        <v>8</v>
      </c>
      <c r="BK9" s="6">
        <v>78</v>
      </c>
      <c r="BL9" s="12" t="str">
        <f t="shared" si="60"/>
        <v>B+</v>
      </c>
      <c r="BM9" s="13">
        <f t="shared" si="61"/>
        <v>3.5</v>
      </c>
      <c r="BN9" s="3">
        <v>2</v>
      </c>
      <c r="BO9" s="3">
        <f t="shared" si="62"/>
        <v>7</v>
      </c>
      <c r="BP9" s="6">
        <v>77</v>
      </c>
      <c r="BQ9" s="12" t="str">
        <f t="shared" si="63"/>
        <v>B+</v>
      </c>
      <c r="BR9" s="13">
        <f t="shared" si="64"/>
        <v>3.5</v>
      </c>
      <c r="BS9" s="3">
        <v>3</v>
      </c>
      <c r="BT9" s="3">
        <f t="shared" si="65"/>
        <v>10.5</v>
      </c>
      <c r="BU9" s="3">
        <v>80</v>
      </c>
      <c r="BV9" s="12" t="str">
        <f t="shared" si="66"/>
        <v>A</v>
      </c>
      <c r="BW9" s="13">
        <f t="shared" si="67"/>
        <v>4</v>
      </c>
      <c r="BX9" s="3">
        <v>2</v>
      </c>
      <c r="BY9" s="3">
        <f t="shared" si="68"/>
        <v>8</v>
      </c>
      <c r="BZ9" s="6">
        <v>80</v>
      </c>
      <c r="CA9" s="12" t="str">
        <f t="shared" si="69"/>
        <v>A</v>
      </c>
      <c r="CB9" s="13">
        <f t="shared" si="70"/>
        <v>4</v>
      </c>
      <c r="CC9" s="3">
        <v>2</v>
      </c>
      <c r="CD9" s="3">
        <f t="shared" si="71"/>
        <v>8</v>
      </c>
      <c r="CE9" s="6">
        <v>80</v>
      </c>
      <c r="CF9" s="12" t="str">
        <f t="shared" si="72"/>
        <v>A</v>
      </c>
      <c r="CG9" s="13">
        <f t="shared" si="73"/>
        <v>4</v>
      </c>
      <c r="CH9" s="3">
        <v>2</v>
      </c>
      <c r="CI9" s="3">
        <f t="shared" si="74"/>
        <v>8</v>
      </c>
      <c r="CJ9" s="6">
        <v>75</v>
      </c>
      <c r="CK9" s="12" t="str">
        <f t="shared" si="75"/>
        <v>B+</v>
      </c>
      <c r="CL9" s="13">
        <f t="shared" si="76"/>
        <v>3.5</v>
      </c>
      <c r="CM9" s="3">
        <v>3</v>
      </c>
      <c r="CN9" s="3">
        <f t="shared" si="77"/>
        <v>10.5</v>
      </c>
      <c r="CO9" s="6">
        <v>69</v>
      </c>
      <c r="CP9" s="12" t="str">
        <f t="shared" si="78"/>
        <v>C+</v>
      </c>
      <c r="CQ9" s="13">
        <f t="shared" si="79"/>
        <v>2.5</v>
      </c>
      <c r="CR9" s="3">
        <v>2</v>
      </c>
      <c r="CS9" s="3">
        <f t="shared" si="80"/>
        <v>5</v>
      </c>
      <c r="CT9" s="6">
        <v>71</v>
      </c>
      <c r="CU9" s="12" t="str">
        <f t="shared" si="81"/>
        <v>B</v>
      </c>
      <c r="CV9" s="13">
        <f t="shared" si="82"/>
        <v>3</v>
      </c>
      <c r="CW9" s="3">
        <v>3</v>
      </c>
      <c r="CX9" s="3">
        <f t="shared" si="83"/>
        <v>9</v>
      </c>
      <c r="CY9" s="6">
        <v>77.599999999999994</v>
      </c>
      <c r="CZ9" s="12" t="str">
        <f t="shared" si="84"/>
        <v>B+</v>
      </c>
      <c r="DA9" s="13">
        <f t="shared" si="85"/>
        <v>3.5</v>
      </c>
      <c r="DB9" s="3">
        <v>2</v>
      </c>
      <c r="DC9" s="3">
        <f t="shared" si="86"/>
        <v>7</v>
      </c>
      <c r="DD9" s="6">
        <v>71.400000000000006</v>
      </c>
      <c r="DE9" s="12" t="str">
        <f t="shared" si="87"/>
        <v>B</v>
      </c>
      <c r="DF9" s="13">
        <f t="shared" si="88"/>
        <v>3</v>
      </c>
      <c r="DG9" s="3">
        <v>2</v>
      </c>
      <c r="DH9" s="3">
        <f t="shared" si="89"/>
        <v>6</v>
      </c>
      <c r="DI9" s="6">
        <v>73.75</v>
      </c>
      <c r="DJ9" s="12" t="str">
        <f t="shared" si="90"/>
        <v>B</v>
      </c>
      <c r="DK9" s="13">
        <f t="shared" si="91"/>
        <v>3</v>
      </c>
      <c r="DL9" s="3">
        <v>3</v>
      </c>
      <c r="DM9" s="3">
        <f t="shared" si="92"/>
        <v>9</v>
      </c>
      <c r="DN9" s="6">
        <v>70.599999999999994</v>
      </c>
      <c r="DO9" s="12" t="str">
        <f t="shared" si="93"/>
        <v>B</v>
      </c>
      <c r="DP9" s="13">
        <f t="shared" si="94"/>
        <v>3</v>
      </c>
      <c r="DQ9" s="3">
        <v>2</v>
      </c>
      <c r="DR9" s="3">
        <f t="shared" si="95"/>
        <v>6</v>
      </c>
      <c r="DS9" s="6">
        <v>80.599999999999994</v>
      </c>
      <c r="DT9" s="12" t="str">
        <f t="shared" si="96"/>
        <v>A</v>
      </c>
      <c r="DU9" s="13">
        <f t="shared" si="97"/>
        <v>4</v>
      </c>
      <c r="DV9" s="3">
        <v>2</v>
      </c>
      <c r="DW9" s="3">
        <f t="shared" si="98"/>
        <v>8</v>
      </c>
      <c r="DX9" s="6">
        <v>66</v>
      </c>
      <c r="DY9" s="12" t="str">
        <f t="shared" si="99"/>
        <v>C+</v>
      </c>
      <c r="DZ9" s="13">
        <f t="shared" si="100"/>
        <v>2.5</v>
      </c>
      <c r="EA9" s="3">
        <v>2</v>
      </c>
      <c r="EB9" s="3">
        <f t="shared" si="101"/>
        <v>5</v>
      </c>
      <c r="EC9" s="6">
        <v>78</v>
      </c>
      <c r="ED9" s="12" t="str">
        <f t="shared" si="102"/>
        <v>B+</v>
      </c>
      <c r="EE9" s="13">
        <f t="shared" si="103"/>
        <v>3.5</v>
      </c>
      <c r="EF9" s="3">
        <v>2</v>
      </c>
      <c r="EG9" s="3">
        <f t="shared" si="104"/>
        <v>7</v>
      </c>
      <c r="EH9" s="6">
        <v>73.099999999999994</v>
      </c>
      <c r="EI9" s="12" t="str">
        <f t="shared" si="105"/>
        <v>B</v>
      </c>
      <c r="EJ9" s="13">
        <f t="shared" si="106"/>
        <v>3</v>
      </c>
      <c r="EK9" s="3">
        <v>3</v>
      </c>
      <c r="EL9" s="3">
        <f t="shared" si="107"/>
        <v>9</v>
      </c>
      <c r="EM9" s="6">
        <v>79</v>
      </c>
      <c r="EN9" s="12" t="str">
        <f t="shared" si="108"/>
        <v>B+</v>
      </c>
      <c r="EO9" s="13">
        <f t="shared" si="109"/>
        <v>3.5</v>
      </c>
      <c r="EP9" s="3">
        <v>4</v>
      </c>
      <c r="EQ9" s="3">
        <f t="shared" si="110"/>
        <v>14</v>
      </c>
      <c r="ER9" s="6">
        <f t="shared" si="111"/>
        <v>90.5</v>
      </c>
      <c r="ES9" s="6">
        <f t="shared" si="112"/>
        <v>22</v>
      </c>
      <c r="ET9" s="6">
        <f t="shared" si="113"/>
        <v>82</v>
      </c>
      <c r="EU9" s="6">
        <f t="shared" si="114"/>
        <v>23</v>
      </c>
      <c r="EV9" s="6">
        <f t="shared" si="115"/>
        <v>71</v>
      </c>
      <c r="EW9" s="6">
        <f t="shared" si="116"/>
        <v>22</v>
      </c>
      <c r="EX9" s="6">
        <f t="shared" si="117"/>
        <v>243.5</v>
      </c>
      <c r="EY9" s="6">
        <f t="shared" si="118"/>
        <v>67</v>
      </c>
      <c r="EZ9" s="17">
        <f t="shared" si="119"/>
        <v>3.6343283582089554</v>
      </c>
      <c r="FA9" s="7" t="str">
        <f t="shared" si="120"/>
        <v>Cum Laude</v>
      </c>
      <c r="FB9" s="14" t="str">
        <f t="shared" si="121"/>
        <v>Excellent</v>
      </c>
      <c r="FC9" s="6" t="s">
        <v>93</v>
      </c>
    </row>
    <row r="10" spans="1:159" ht="15" x14ac:dyDescent="0.25">
      <c r="A10" s="7">
        <v>8</v>
      </c>
      <c r="B10" s="28" t="s">
        <v>29</v>
      </c>
      <c r="C10" s="7">
        <v>172312011</v>
      </c>
      <c r="D10" s="6" t="s">
        <v>83</v>
      </c>
      <c r="E10" s="15" t="s">
        <v>82</v>
      </c>
      <c r="F10" s="15" t="s">
        <v>99</v>
      </c>
      <c r="G10" s="6"/>
      <c r="H10" s="3">
        <v>78</v>
      </c>
      <c r="I10" s="12" t="str">
        <f t="shared" si="28"/>
        <v>B+</v>
      </c>
      <c r="J10" s="13">
        <f t="shared" si="0"/>
        <v>3.5</v>
      </c>
      <c r="K10" s="3">
        <v>3</v>
      </c>
      <c r="L10" s="3">
        <f t="shared" si="29"/>
        <v>10.5</v>
      </c>
      <c r="M10" s="3">
        <v>74</v>
      </c>
      <c r="N10" s="12" t="str">
        <f t="shared" si="30"/>
        <v>B</v>
      </c>
      <c r="O10" s="13">
        <f t="shared" si="31"/>
        <v>3</v>
      </c>
      <c r="P10" s="3">
        <v>3</v>
      </c>
      <c r="Q10" s="3">
        <f t="shared" si="32"/>
        <v>9</v>
      </c>
      <c r="R10" s="3">
        <v>80</v>
      </c>
      <c r="S10" s="12" t="str">
        <f t="shared" si="33"/>
        <v>A</v>
      </c>
      <c r="T10" s="13">
        <f t="shared" si="34"/>
        <v>4</v>
      </c>
      <c r="U10" s="3">
        <v>2</v>
      </c>
      <c r="V10" s="3">
        <f t="shared" si="35"/>
        <v>8</v>
      </c>
      <c r="W10" s="3">
        <v>78</v>
      </c>
      <c r="X10" s="12" t="str">
        <f t="shared" si="36"/>
        <v>B+</v>
      </c>
      <c r="Y10" s="13">
        <f t="shared" si="37"/>
        <v>3.5</v>
      </c>
      <c r="Z10" s="3">
        <v>2</v>
      </c>
      <c r="AA10" s="3">
        <f t="shared" si="38"/>
        <v>7</v>
      </c>
      <c r="AB10" s="3">
        <v>75</v>
      </c>
      <c r="AC10" s="12" t="str">
        <f t="shared" si="39"/>
        <v>B+</v>
      </c>
      <c r="AD10" s="13">
        <f t="shared" si="40"/>
        <v>3.5</v>
      </c>
      <c r="AE10" s="3">
        <v>2</v>
      </c>
      <c r="AF10" s="3">
        <f t="shared" si="41"/>
        <v>7</v>
      </c>
      <c r="AG10" s="3">
        <v>75</v>
      </c>
      <c r="AH10" s="12" t="str">
        <f t="shared" si="42"/>
        <v>B+</v>
      </c>
      <c r="AI10" s="13">
        <f t="shared" si="43"/>
        <v>3.5</v>
      </c>
      <c r="AJ10" s="3">
        <v>2</v>
      </c>
      <c r="AK10" s="3">
        <f t="shared" si="44"/>
        <v>7</v>
      </c>
      <c r="AL10" s="3">
        <v>78</v>
      </c>
      <c r="AM10" s="12" t="str">
        <f t="shared" si="45"/>
        <v>B+</v>
      </c>
      <c r="AN10" s="13">
        <f t="shared" si="46"/>
        <v>3.5</v>
      </c>
      <c r="AO10" s="3">
        <v>2</v>
      </c>
      <c r="AP10" s="3">
        <f t="shared" si="47"/>
        <v>7</v>
      </c>
      <c r="AQ10" s="3">
        <v>79</v>
      </c>
      <c r="AR10" s="12" t="str">
        <f t="shared" si="48"/>
        <v>B+</v>
      </c>
      <c r="AS10" s="13">
        <f t="shared" si="49"/>
        <v>3.5</v>
      </c>
      <c r="AT10" s="3">
        <v>3</v>
      </c>
      <c r="AU10" s="3">
        <f t="shared" si="50"/>
        <v>10.5</v>
      </c>
      <c r="AV10" s="3">
        <v>81</v>
      </c>
      <c r="AW10" s="12" t="str">
        <f t="shared" si="51"/>
        <v>A</v>
      </c>
      <c r="AX10" s="13">
        <f t="shared" si="52"/>
        <v>4</v>
      </c>
      <c r="AY10" s="3">
        <v>3</v>
      </c>
      <c r="AZ10" s="3">
        <f t="shared" si="53"/>
        <v>12</v>
      </c>
      <c r="BA10" s="7">
        <v>81</v>
      </c>
      <c r="BB10" s="12" t="str">
        <f t="shared" si="54"/>
        <v>A</v>
      </c>
      <c r="BC10" s="13">
        <f t="shared" si="55"/>
        <v>4</v>
      </c>
      <c r="BD10" s="3">
        <v>2</v>
      </c>
      <c r="BE10" s="3">
        <f t="shared" si="56"/>
        <v>8</v>
      </c>
      <c r="BF10" s="3">
        <v>81</v>
      </c>
      <c r="BG10" s="12" t="str">
        <f t="shared" si="57"/>
        <v>A</v>
      </c>
      <c r="BH10" s="13">
        <f t="shared" si="58"/>
        <v>4</v>
      </c>
      <c r="BI10" s="3">
        <v>2</v>
      </c>
      <c r="BJ10" s="3">
        <f t="shared" si="59"/>
        <v>8</v>
      </c>
      <c r="BK10" s="6">
        <v>79</v>
      </c>
      <c r="BL10" s="12" t="str">
        <f t="shared" si="60"/>
        <v>B+</v>
      </c>
      <c r="BM10" s="13">
        <f t="shared" si="61"/>
        <v>3.5</v>
      </c>
      <c r="BN10" s="3">
        <v>2</v>
      </c>
      <c r="BO10" s="3">
        <f t="shared" si="62"/>
        <v>7</v>
      </c>
      <c r="BP10" s="6">
        <v>77</v>
      </c>
      <c r="BQ10" s="12" t="str">
        <f t="shared" si="63"/>
        <v>B+</v>
      </c>
      <c r="BR10" s="13">
        <f t="shared" si="64"/>
        <v>3.5</v>
      </c>
      <c r="BS10" s="3">
        <v>3</v>
      </c>
      <c r="BT10" s="3">
        <f t="shared" si="65"/>
        <v>10.5</v>
      </c>
      <c r="BU10" s="3">
        <v>80</v>
      </c>
      <c r="BV10" s="12" t="str">
        <f t="shared" si="66"/>
        <v>A</v>
      </c>
      <c r="BW10" s="13">
        <f t="shared" si="67"/>
        <v>4</v>
      </c>
      <c r="BX10" s="3">
        <v>2</v>
      </c>
      <c r="BY10" s="3">
        <f t="shared" si="68"/>
        <v>8</v>
      </c>
      <c r="BZ10" s="6">
        <v>76</v>
      </c>
      <c r="CA10" s="12" t="str">
        <f t="shared" si="69"/>
        <v>B+</v>
      </c>
      <c r="CB10" s="13">
        <f t="shared" si="70"/>
        <v>3.5</v>
      </c>
      <c r="CC10" s="3">
        <v>2</v>
      </c>
      <c r="CD10" s="3">
        <f t="shared" si="71"/>
        <v>7</v>
      </c>
      <c r="CE10" s="6">
        <v>76</v>
      </c>
      <c r="CF10" s="12" t="str">
        <f t="shared" si="72"/>
        <v>B+</v>
      </c>
      <c r="CG10" s="13">
        <f t="shared" si="73"/>
        <v>3.5</v>
      </c>
      <c r="CH10" s="3">
        <v>2</v>
      </c>
      <c r="CI10" s="3">
        <f t="shared" si="74"/>
        <v>7</v>
      </c>
      <c r="CJ10" s="6">
        <v>75</v>
      </c>
      <c r="CK10" s="12" t="str">
        <f t="shared" si="75"/>
        <v>B+</v>
      </c>
      <c r="CL10" s="13">
        <f t="shared" si="76"/>
        <v>3.5</v>
      </c>
      <c r="CM10" s="3">
        <v>3</v>
      </c>
      <c r="CN10" s="3">
        <f t="shared" si="77"/>
        <v>10.5</v>
      </c>
      <c r="CO10" s="6">
        <v>71</v>
      </c>
      <c r="CP10" s="12" t="str">
        <f t="shared" si="78"/>
        <v>B</v>
      </c>
      <c r="CQ10" s="13">
        <f t="shared" si="79"/>
        <v>3</v>
      </c>
      <c r="CR10" s="3">
        <v>2</v>
      </c>
      <c r="CS10" s="3">
        <f t="shared" si="80"/>
        <v>6</v>
      </c>
      <c r="CT10" s="6">
        <v>71</v>
      </c>
      <c r="CU10" s="12" t="str">
        <f t="shared" si="81"/>
        <v>B</v>
      </c>
      <c r="CV10" s="13">
        <f t="shared" si="82"/>
        <v>3</v>
      </c>
      <c r="CW10" s="3">
        <v>3</v>
      </c>
      <c r="CX10" s="3">
        <f t="shared" si="83"/>
        <v>9</v>
      </c>
      <c r="CY10" s="6">
        <v>75.72</v>
      </c>
      <c r="CZ10" s="12" t="str">
        <f t="shared" si="84"/>
        <v>B+</v>
      </c>
      <c r="DA10" s="13">
        <f t="shared" si="85"/>
        <v>3.5</v>
      </c>
      <c r="DB10" s="3">
        <v>2</v>
      </c>
      <c r="DC10" s="3">
        <f t="shared" si="86"/>
        <v>7</v>
      </c>
      <c r="DD10" s="6">
        <v>76.8</v>
      </c>
      <c r="DE10" s="12" t="str">
        <f t="shared" si="87"/>
        <v>B+</v>
      </c>
      <c r="DF10" s="13">
        <f t="shared" si="88"/>
        <v>3.5</v>
      </c>
      <c r="DG10" s="3">
        <v>2</v>
      </c>
      <c r="DH10" s="3">
        <f t="shared" si="89"/>
        <v>7</v>
      </c>
      <c r="DI10" s="6">
        <v>67.55</v>
      </c>
      <c r="DJ10" s="12" t="str">
        <f t="shared" si="90"/>
        <v>C+</v>
      </c>
      <c r="DK10" s="13">
        <f t="shared" si="91"/>
        <v>2.5</v>
      </c>
      <c r="DL10" s="3">
        <v>3</v>
      </c>
      <c r="DM10" s="3">
        <f t="shared" si="92"/>
        <v>7.5</v>
      </c>
      <c r="DN10" s="6">
        <v>70</v>
      </c>
      <c r="DO10" s="12" t="str">
        <f t="shared" si="93"/>
        <v>B</v>
      </c>
      <c r="DP10" s="13">
        <f t="shared" si="94"/>
        <v>3</v>
      </c>
      <c r="DQ10" s="3">
        <v>2</v>
      </c>
      <c r="DR10" s="3">
        <f t="shared" si="95"/>
        <v>6</v>
      </c>
      <c r="DS10" s="6">
        <v>80.2</v>
      </c>
      <c r="DT10" s="12" t="str">
        <f t="shared" si="96"/>
        <v>A</v>
      </c>
      <c r="DU10" s="13">
        <f t="shared" si="97"/>
        <v>4</v>
      </c>
      <c r="DV10" s="3">
        <v>2</v>
      </c>
      <c r="DW10" s="3">
        <f t="shared" si="98"/>
        <v>8</v>
      </c>
      <c r="DX10" s="6">
        <v>72.98</v>
      </c>
      <c r="DY10" s="12" t="str">
        <f t="shared" si="99"/>
        <v>B</v>
      </c>
      <c r="DZ10" s="13">
        <f t="shared" si="100"/>
        <v>3</v>
      </c>
      <c r="EA10" s="3">
        <v>2</v>
      </c>
      <c r="EB10" s="3">
        <f t="shared" si="101"/>
        <v>6</v>
      </c>
      <c r="EC10" s="6">
        <v>77</v>
      </c>
      <c r="ED10" s="12" t="str">
        <f t="shared" si="102"/>
        <v>B+</v>
      </c>
      <c r="EE10" s="13">
        <f t="shared" si="103"/>
        <v>3.5</v>
      </c>
      <c r="EF10" s="3">
        <v>2</v>
      </c>
      <c r="EG10" s="3">
        <f t="shared" si="104"/>
        <v>7</v>
      </c>
      <c r="EH10" s="6">
        <v>75.099999999999994</v>
      </c>
      <c r="EI10" s="12" t="str">
        <f t="shared" si="105"/>
        <v>B+</v>
      </c>
      <c r="EJ10" s="13">
        <f t="shared" si="106"/>
        <v>3.5</v>
      </c>
      <c r="EK10" s="3">
        <v>3</v>
      </c>
      <c r="EL10" s="3">
        <f t="shared" si="107"/>
        <v>10.5</v>
      </c>
      <c r="EM10" s="6">
        <v>79</v>
      </c>
      <c r="EN10" s="12" t="str">
        <f t="shared" si="108"/>
        <v>B+</v>
      </c>
      <c r="EO10" s="13">
        <f t="shared" si="109"/>
        <v>3.5</v>
      </c>
      <c r="EP10" s="3">
        <v>4</v>
      </c>
      <c r="EQ10" s="3">
        <f t="shared" si="110"/>
        <v>14</v>
      </c>
      <c r="ER10" s="6">
        <f t="shared" si="111"/>
        <v>88.5</v>
      </c>
      <c r="ES10" s="6">
        <f t="shared" si="112"/>
        <v>22</v>
      </c>
      <c r="ET10" s="6">
        <f t="shared" si="113"/>
        <v>81</v>
      </c>
      <c r="EU10" s="6">
        <f t="shared" si="114"/>
        <v>23</v>
      </c>
      <c r="EV10" s="6">
        <f t="shared" si="115"/>
        <v>73</v>
      </c>
      <c r="EW10" s="6">
        <f t="shared" si="116"/>
        <v>22</v>
      </c>
      <c r="EX10" s="6">
        <f t="shared" si="117"/>
        <v>242.5</v>
      </c>
      <c r="EY10" s="6">
        <f t="shared" si="118"/>
        <v>67</v>
      </c>
      <c r="EZ10" s="17">
        <f t="shared" si="119"/>
        <v>3.6194029850746268</v>
      </c>
      <c r="FA10" s="7" t="str">
        <f t="shared" si="120"/>
        <v>Cum Laude</v>
      </c>
      <c r="FB10" s="14" t="str">
        <f t="shared" si="121"/>
        <v>Excellent</v>
      </c>
      <c r="FC10" s="6"/>
    </row>
    <row r="11" spans="1:159" ht="15" x14ac:dyDescent="0.25">
      <c r="A11" s="7">
        <v>9</v>
      </c>
      <c r="B11" s="28" t="s">
        <v>24</v>
      </c>
      <c r="C11" s="7">
        <v>172312012</v>
      </c>
      <c r="D11" s="6"/>
      <c r="E11" s="15"/>
      <c r="F11" s="15" t="s">
        <v>98</v>
      </c>
      <c r="G11" s="6"/>
      <c r="H11" s="3">
        <v>78</v>
      </c>
      <c r="I11" s="12" t="str">
        <f t="shared" si="28"/>
        <v>B+</v>
      </c>
      <c r="J11" s="13">
        <f t="shared" si="0"/>
        <v>3.5</v>
      </c>
      <c r="K11" s="3">
        <v>3</v>
      </c>
      <c r="L11" s="3">
        <f t="shared" si="29"/>
        <v>10.5</v>
      </c>
      <c r="M11" s="3">
        <v>81</v>
      </c>
      <c r="N11" s="12" t="str">
        <f t="shared" si="30"/>
        <v>A</v>
      </c>
      <c r="O11" s="13">
        <f t="shared" si="31"/>
        <v>4</v>
      </c>
      <c r="P11" s="3">
        <v>3</v>
      </c>
      <c r="Q11" s="3">
        <f t="shared" si="32"/>
        <v>12</v>
      </c>
      <c r="R11" s="3">
        <v>80</v>
      </c>
      <c r="S11" s="12" t="str">
        <f t="shared" si="33"/>
        <v>A</v>
      </c>
      <c r="T11" s="13">
        <f t="shared" si="34"/>
        <v>4</v>
      </c>
      <c r="U11" s="3">
        <v>2</v>
      </c>
      <c r="V11" s="3">
        <f t="shared" si="35"/>
        <v>8</v>
      </c>
      <c r="W11" s="3">
        <v>70</v>
      </c>
      <c r="X11" s="12" t="str">
        <f t="shared" si="36"/>
        <v>B</v>
      </c>
      <c r="Y11" s="13">
        <f t="shared" si="37"/>
        <v>3</v>
      </c>
      <c r="Z11" s="3">
        <v>2</v>
      </c>
      <c r="AA11" s="3">
        <f t="shared" si="38"/>
        <v>6</v>
      </c>
      <c r="AB11" s="3">
        <v>73</v>
      </c>
      <c r="AC11" s="12" t="str">
        <f t="shared" si="39"/>
        <v>B</v>
      </c>
      <c r="AD11" s="13">
        <f t="shared" si="40"/>
        <v>3</v>
      </c>
      <c r="AE11" s="3">
        <v>2</v>
      </c>
      <c r="AF11" s="3">
        <f t="shared" si="41"/>
        <v>6</v>
      </c>
      <c r="AG11" s="3">
        <v>75</v>
      </c>
      <c r="AH11" s="12" t="str">
        <f t="shared" si="42"/>
        <v>B+</v>
      </c>
      <c r="AI11" s="13">
        <f t="shared" si="43"/>
        <v>3.5</v>
      </c>
      <c r="AJ11" s="3">
        <v>2</v>
      </c>
      <c r="AK11" s="3">
        <f t="shared" si="44"/>
        <v>7</v>
      </c>
      <c r="AL11" s="3">
        <v>76</v>
      </c>
      <c r="AM11" s="12" t="str">
        <f t="shared" si="45"/>
        <v>B+</v>
      </c>
      <c r="AN11" s="13">
        <f t="shared" si="46"/>
        <v>3.5</v>
      </c>
      <c r="AO11" s="3">
        <v>2</v>
      </c>
      <c r="AP11" s="3">
        <f t="shared" si="47"/>
        <v>7</v>
      </c>
      <c r="AQ11" s="3">
        <v>79</v>
      </c>
      <c r="AR11" s="12" t="str">
        <f t="shared" si="48"/>
        <v>B+</v>
      </c>
      <c r="AS11" s="13">
        <f t="shared" si="49"/>
        <v>3.5</v>
      </c>
      <c r="AT11" s="3">
        <v>3</v>
      </c>
      <c r="AU11" s="3">
        <f t="shared" si="50"/>
        <v>10.5</v>
      </c>
      <c r="AV11" s="3">
        <v>79</v>
      </c>
      <c r="AW11" s="12" t="str">
        <f t="shared" si="51"/>
        <v>B+</v>
      </c>
      <c r="AX11" s="13">
        <f t="shared" si="52"/>
        <v>3.5</v>
      </c>
      <c r="AY11" s="3">
        <v>3</v>
      </c>
      <c r="AZ11" s="3">
        <f t="shared" si="53"/>
        <v>10.5</v>
      </c>
      <c r="BA11" s="7">
        <v>81</v>
      </c>
      <c r="BB11" s="12" t="str">
        <f t="shared" si="54"/>
        <v>A</v>
      </c>
      <c r="BC11" s="13">
        <f t="shared" si="55"/>
        <v>4</v>
      </c>
      <c r="BD11" s="3">
        <v>2</v>
      </c>
      <c r="BE11" s="3">
        <f t="shared" si="56"/>
        <v>8</v>
      </c>
      <c r="BF11" s="3">
        <v>81</v>
      </c>
      <c r="BG11" s="12" t="str">
        <f t="shared" si="57"/>
        <v>A</v>
      </c>
      <c r="BH11" s="13">
        <f t="shared" si="58"/>
        <v>4</v>
      </c>
      <c r="BI11" s="3">
        <v>2</v>
      </c>
      <c r="BJ11" s="3">
        <f t="shared" si="59"/>
        <v>8</v>
      </c>
      <c r="BK11" s="6">
        <v>77</v>
      </c>
      <c r="BL11" s="12" t="str">
        <f t="shared" si="60"/>
        <v>B+</v>
      </c>
      <c r="BM11" s="13">
        <f t="shared" si="61"/>
        <v>3.5</v>
      </c>
      <c r="BN11" s="3">
        <v>2</v>
      </c>
      <c r="BO11" s="3">
        <f t="shared" si="62"/>
        <v>7</v>
      </c>
      <c r="BP11" s="6">
        <v>77</v>
      </c>
      <c r="BQ11" s="12" t="str">
        <f t="shared" si="63"/>
        <v>B+</v>
      </c>
      <c r="BR11" s="13">
        <f t="shared" si="64"/>
        <v>3.5</v>
      </c>
      <c r="BS11" s="3">
        <v>3</v>
      </c>
      <c r="BT11" s="3">
        <f t="shared" si="65"/>
        <v>10.5</v>
      </c>
      <c r="BU11" s="3">
        <v>80</v>
      </c>
      <c r="BV11" s="12" t="str">
        <f t="shared" si="66"/>
        <v>A</v>
      </c>
      <c r="BW11" s="13">
        <f t="shared" si="67"/>
        <v>4</v>
      </c>
      <c r="BX11" s="3">
        <v>2</v>
      </c>
      <c r="BY11" s="3">
        <f t="shared" si="68"/>
        <v>8</v>
      </c>
      <c r="BZ11" s="6">
        <v>80</v>
      </c>
      <c r="CA11" s="12" t="str">
        <f t="shared" si="69"/>
        <v>A</v>
      </c>
      <c r="CB11" s="13">
        <f t="shared" si="70"/>
        <v>4</v>
      </c>
      <c r="CC11" s="3">
        <v>2</v>
      </c>
      <c r="CD11" s="3">
        <f t="shared" si="71"/>
        <v>8</v>
      </c>
      <c r="CE11" s="6">
        <v>78</v>
      </c>
      <c r="CF11" s="12" t="str">
        <f t="shared" si="72"/>
        <v>B+</v>
      </c>
      <c r="CG11" s="13">
        <f t="shared" si="73"/>
        <v>3.5</v>
      </c>
      <c r="CH11" s="3">
        <v>2</v>
      </c>
      <c r="CI11" s="3">
        <f t="shared" si="74"/>
        <v>7</v>
      </c>
      <c r="CJ11" s="6">
        <v>73</v>
      </c>
      <c r="CK11" s="12" t="str">
        <f t="shared" si="75"/>
        <v>B</v>
      </c>
      <c r="CL11" s="13">
        <f t="shared" si="76"/>
        <v>3</v>
      </c>
      <c r="CM11" s="3">
        <v>3</v>
      </c>
      <c r="CN11" s="3">
        <f t="shared" si="77"/>
        <v>9</v>
      </c>
      <c r="CO11" s="6">
        <v>69</v>
      </c>
      <c r="CP11" s="12" t="str">
        <f t="shared" si="78"/>
        <v>C+</v>
      </c>
      <c r="CQ11" s="13">
        <f t="shared" si="79"/>
        <v>2.5</v>
      </c>
      <c r="CR11" s="3">
        <v>2</v>
      </c>
      <c r="CS11" s="3">
        <f t="shared" si="80"/>
        <v>5</v>
      </c>
      <c r="CT11" s="6">
        <v>71</v>
      </c>
      <c r="CU11" s="12" t="str">
        <f t="shared" si="81"/>
        <v>B</v>
      </c>
      <c r="CV11" s="13">
        <f t="shared" si="82"/>
        <v>3</v>
      </c>
      <c r="CW11" s="3">
        <v>3</v>
      </c>
      <c r="CX11" s="3">
        <f t="shared" si="83"/>
        <v>9</v>
      </c>
      <c r="CY11" s="6">
        <v>78</v>
      </c>
      <c r="CZ11" s="12" t="str">
        <f t="shared" si="84"/>
        <v>B+</v>
      </c>
      <c r="DA11" s="13">
        <f t="shared" si="85"/>
        <v>3.5</v>
      </c>
      <c r="DB11" s="3">
        <v>2</v>
      </c>
      <c r="DC11" s="3">
        <f t="shared" si="86"/>
        <v>7</v>
      </c>
      <c r="DD11" s="6">
        <v>75.599999999999994</v>
      </c>
      <c r="DE11" s="12" t="str">
        <f t="shared" si="87"/>
        <v>B+</v>
      </c>
      <c r="DF11" s="13">
        <f t="shared" si="88"/>
        <v>3.5</v>
      </c>
      <c r="DG11" s="3">
        <v>2</v>
      </c>
      <c r="DH11" s="3">
        <f t="shared" si="89"/>
        <v>7</v>
      </c>
      <c r="DI11" s="6">
        <v>68.7</v>
      </c>
      <c r="DJ11" s="12" t="str">
        <f t="shared" si="90"/>
        <v>C+</v>
      </c>
      <c r="DK11" s="13">
        <f t="shared" si="91"/>
        <v>2.5</v>
      </c>
      <c r="DL11" s="3">
        <v>3</v>
      </c>
      <c r="DM11" s="3">
        <f t="shared" si="92"/>
        <v>7.5</v>
      </c>
      <c r="DN11" s="6">
        <v>80</v>
      </c>
      <c r="DO11" s="12" t="str">
        <f t="shared" si="93"/>
        <v>A</v>
      </c>
      <c r="DP11" s="13">
        <f t="shared" si="94"/>
        <v>4</v>
      </c>
      <c r="DQ11" s="3">
        <v>2</v>
      </c>
      <c r="DR11" s="3">
        <f t="shared" si="95"/>
        <v>8</v>
      </c>
      <c r="DS11" s="6">
        <v>79.349999999999994</v>
      </c>
      <c r="DT11" s="12" t="str">
        <f t="shared" si="96"/>
        <v>B+</v>
      </c>
      <c r="DU11" s="13">
        <f t="shared" si="97"/>
        <v>3.5</v>
      </c>
      <c r="DV11" s="3">
        <v>2</v>
      </c>
      <c r="DW11" s="3">
        <f t="shared" si="98"/>
        <v>7</v>
      </c>
      <c r="DX11" s="6">
        <v>73.45</v>
      </c>
      <c r="DY11" s="12" t="str">
        <f t="shared" si="99"/>
        <v>B</v>
      </c>
      <c r="DZ11" s="13">
        <f t="shared" si="100"/>
        <v>3</v>
      </c>
      <c r="EA11" s="3">
        <v>2</v>
      </c>
      <c r="EB11" s="3">
        <f t="shared" si="101"/>
        <v>6</v>
      </c>
      <c r="EC11" s="6">
        <v>70.2</v>
      </c>
      <c r="ED11" s="12" t="str">
        <f t="shared" si="102"/>
        <v>B</v>
      </c>
      <c r="EE11" s="13">
        <f t="shared" si="103"/>
        <v>3</v>
      </c>
      <c r="EF11" s="3">
        <v>2</v>
      </c>
      <c r="EG11" s="3">
        <f t="shared" si="104"/>
        <v>6</v>
      </c>
      <c r="EH11" s="6">
        <v>74.099999999999994</v>
      </c>
      <c r="EI11" s="12" t="str">
        <f t="shared" si="105"/>
        <v>B</v>
      </c>
      <c r="EJ11" s="13">
        <f t="shared" si="106"/>
        <v>3</v>
      </c>
      <c r="EK11" s="3">
        <v>3</v>
      </c>
      <c r="EL11" s="3">
        <f t="shared" si="107"/>
        <v>9</v>
      </c>
      <c r="EM11" s="6">
        <v>79</v>
      </c>
      <c r="EN11" s="12" t="str">
        <f t="shared" si="108"/>
        <v>B+</v>
      </c>
      <c r="EO11" s="13">
        <f t="shared" si="109"/>
        <v>3.5</v>
      </c>
      <c r="EP11" s="3">
        <v>4</v>
      </c>
      <c r="EQ11" s="3">
        <f t="shared" si="110"/>
        <v>14</v>
      </c>
      <c r="ER11" s="6">
        <f t="shared" si="111"/>
        <v>88</v>
      </c>
      <c r="ES11" s="6">
        <f t="shared" si="112"/>
        <v>22</v>
      </c>
      <c r="ET11" s="6">
        <f t="shared" si="113"/>
        <v>79.5</v>
      </c>
      <c r="EU11" s="6">
        <f t="shared" si="114"/>
        <v>23</v>
      </c>
      <c r="EV11" s="6">
        <f t="shared" si="115"/>
        <v>71.5</v>
      </c>
      <c r="EW11" s="6">
        <f t="shared" si="116"/>
        <v>22</v>
      </c>
      <c r="EX11" s="6">
        <f t="shared" si="117"/>
        <v>239</v>
      </c>
      <c r="EY11" s="6">
        <f t="shared" si="118"/>
        <v>67</v>
      </c>
      <c r="EZ11" s="17">
        <f t="shared" si="119"/>
        <v>3.5671641791044775</v>
      </c>
      <c r="FA11" s="7" t="str">
        <f t="shared" si="120"/>
        <v>Cum Laude</v>
      </c>
      <c r="FB11" s="14" t="str">
        <f t="shared" si="121"/>
        <v>Excellent</v>
      </c>
      <c r="FC11" s="6"/>
    </row>
    <row r="12" spans="1:159" ht="15" x14ac:dyDescent="0.25">
      <c r="A12" s="7">
        <v>10</v>
      </c>
      <c r="B12" s="6" t="s">
        <v>25</v>
      </c>
      <c r="C12" s="7">
        <v>172312014</v>
      </c>
      <c r="D12" s="6" t="s">
        <v>74</v>
      </c>
      <c r="E12" s="15" t="s">
        <v>75</v>
      </c>
      <c r="F12" s="15" t="s">
        <v>98</v>
      </c>
      <c r="G12" s="6"/>
      <c r="H12" s="3">
        <v>78</v>
      </c>
      <c r="I12" s="12" t="str">
        <f t="shared" si="28"/>
        <v>B+</v>
      </c>
      <c r="J12" s="13">
        <f t="shared" si="0"/>
        <v>3.5</v>
      </c>
      <c r="K12" s="3">
        <v>3</v>
      </c>
      <c r="L12" s="3">
        <f t="shared" si="29"/>
        <v>10.5</v>
      </c>
      <c r="M12" s="3">
        <v>78</v>
      </c>
      <c r="N12" s="12" t="str">
        <f t="shared" si="30"/>
        <v>B+</v>
      </c>
      <c r="O12" s="13">
        <f t="shared" si="31"/>
        <v>3.5</v>
      </c>
      <c r="P12" s="3">
        <v>3</v>
      </c>
      <c r="Q12" s="3">
        <f t="shared" si="32"/>
        <v>10.5</v>
      </c>
      <c r="R12" s="3">
        <v>80</v>
      </c>
      <c r="S12" s="12" t="str">
        <f t="shared" si="33"/>
        <v>A</v>
      </c>
      <c r="T12" s="13">
        <f t="shared" si="34"/>
        <v>4</v>
      </c>
      <c r="U12" s="3">
        <v>2</v>
      </c>
      <c r="V12" s="3">
        <f t="shared" si="35"/>
        <v>8</v>
      </c>
      <c r="W12" s="3">
        <v>80</v>
      </c>
      <c r="X12" s="12" t="str">
        <f t="shared" si="36"/>
        <v>A</v>
      </c>
      <c r="Y12" s="13">
        <f t="shared" si="37"/>
        <v>4</v>
      </c>
      <c r="Z12" s="3">
        <v>2</v>
      </c>
      <c r="AA12" s="3">
        <f t="shared" si="38"/>
        <v>8</v>
      </c>
      <c r="AB12" s="3">
        <v>74</v>
      </c>
      <c r="AC12" s="12" t="str">
        <f t="shared" si="39"/>
        <v>B</v>
      </c>
      <c r="AD12" s="13">
        <f t="shared" si="40"/>
        <v>3</v>
      </c>
      <c r="AE12" s="3">
        <v>2</v>
      </c>
      <c r="AF12" s="3">
        <f t="shared" si="41"/>
        <v>6</v>
      </c>
      <c r="AG12" s="3">
        <v>76</v>
      </c>
      <c r="AH12" s="12" t="str">
        <f t="shared" si="42"/>
        <v>B+</v>
      </c>
      <c r="AI12" s="13">
        <f t="shared" si="43"/>
        <v>3.5</v>
      </c>
      <c r="AJ12" s="3">
        <v>2</v>
      </c>
      <c r="AK12" s="3">
        <f t="shared" si="44"/>
        <v>7</v>
      </c>
      <c r="AL12" s="3">
        <v>77</v>
      </c>
      <c r="AM12" s="12" t="str">
        <f t="shared" si="45"/>
        <v>B+</v>
      </c>
      <c r="AN12" s="13">
        <f t="shared" si="46"/>
        <v>3.5</v>
      </c>
      <c r="AO12" s="3">
        <v>2</v>
      </c>
      <c r="AP12" s="3">
        <f t="shared" si="47"/>
        <v>7</v>
      </c>
      <c r="AQ12" s="3">
        <v>79</v>
      </c>
      <c r="AR12" s="12" t="str">
        <f t="shared" si="48"/>
        <v>B+</v>
      </c>
      <c r="AS12" s="13">
        <f t="shared" si="49"/>
        <v>3.5</v>
      </c>
      <c r="AT12" s="3">
        <v>3</v>
      </c>
      <c r="AU12" s="3">
        <f t="shared" si="50"/>
        <v>10.5</v>
      </c>
      <c r="AV12" s="3">
        <v>83</v>
      </c>
      <c r="AW12" s="12" t="str">
        <f t="shared" si="51"/>
        <v>A</v>
      </c>
      <c r="AX12" s="13">
        <f t="shared" si="52"/>
        <v>4</v>
      </c>
      <c r="AY12" s="3">
        <v>3</v>
      </c>
      <c r="AZ12" s="3">
        <f t="shared" si="53"/>
        <v>12</v>
      </c>
      <c r="BA12" s="7">
        <v>81</v>
      </c>
      <c r="BB12" s="12" t="str">
        <f t="shared" si="54"/>
        <v>A</v>
      </c>
      <c r="BC12" s="13">
        <f t="shared" si="55"/>
        <v>4</v>
      </c>
      <c r="BD12" s="3">
        <v>2</v>
      </c>
      <c r="BE12" s="3">
        <f t="shared" si="56"/>
        <v>8</v>
      </c>
      <c r="BF12" s="3">
        <v>81</v>
      </c>
      <c r="BG12" s="12" t="str">
        <f t="shared" si="57"/>
        <v>A</v>
      </c>
      <c r="BH12" s="13">
        <f t="shared" si="58"/>
        <v>4</v>
      </c>
      <c r="BI12" s="3">
        <v>2</v>
      </c>
      <c r="BJ12" s="3">
        <f t="shared" si="59"/>
        <v>8</v>
      </c>
      <c r="BK12" s="6">
        <v>77</v>
      </c>
      <c r="BL12" s="12" t="str">
        <f t="shared" si="60"/>
        <v>B+</v>
      </c>
      <c r="BM12" s="13">
        <f t="shared" si="61"/>
        <v>3.5</v>
      </c>
      <c r="BN12" s="3">
        <v>2</v>
      </c>
      <c r="BO12" s="3">
        <f t="shared" si="62"/>
        <v>7</v>
      </c>
      <c r="BP12" s="6">
        <v>77</v>
      </c>
      <c r="BQ12" s="12" t="str">
        <f t="shared" si="63"/>
        <v>B+</v>
      </c>
      <c r="BR12" s="13">
        <f t="shared" si="64"/>
        <v>3.5</v>
      </c>
      <c r="BS12" s="3">
        <v>3</v>
      </c>
      <c r="BT12" s="3">
        <f t="shared" si="65"/>
        <v>10.5</v>
      </c>
      <c r="BU12" s="3">
        <v>79</v>
      </c>
      <c r="BV12" s="12" t="str">
        <f t="shared" si="66"/>
        <v>B+</v>
      </c>
      <c r="BW12" s="13">
        <f t="shared" si="67"/>
        <v>3.5</v>
      </c>
      <c r="BX12" s="3">
        <v>2</v>
      </c>
      <c r="BY12" s="3">
        <f t="shared" si="68"/>
        <v>7</v>
      </c>
      <c r="BZ12" s="6">
        <v>79</v>
      </c>
      <c r="CA12" s="12" t="str">
        <f t="shared" si="69"/>
        <v>B+</v>
      </c>
      <c r="CB12" s="13">
        <f t="shared" si="70"/>
        <v>3.5</v>
      </c>
      <c r="CC12" s="3">
        <v>2</v>
      </c>
      <c r="CD12" s="3">
        <f t="shared" si="71"/>
        <v>7</v>
      </c>
      <c r="CE12" s="6">
        <v>71</v>
      </c>
      <c r="CF12" s="12" t="str">
        <f t="shared" si="72"/>
        <v>B</v>
      </c>
      <c r="CG12" s="13">
        <f t="shared" si="73"/>
        <v>3</v>
      </c>
      <c r="CH12" s="3">
        <v>2</v>
      </c>
      <c r="CI12" s="3">
        <f t="shared" si="74"/>
        <v>6</v>
      </c>
      <c r="CJ12" s="6">
        <v>73</v>
      </c>
      <c r="CK12" s="12" t="str">
        <f t="shared" si="75"/>
        <v>B</v>
      </c>
      <c r="CL12" s="13">
        <f t="shared" si="76"/>
        <v>3</v>
      </c>
      <c r="CM12" s="3">
        <v>3</v>
      </c>
      <c r="CN12" s="3">
        <f t="shared" si="77"/>
        <v>9</v>
      </c>
      <c r="CO12" s="6">
        <v>71</v>
      </c>
      <c r="CP12" s="12" t="str">
        <f t="shared" si="78"/>
        <v>B</v>
      </c>
      <c r="CQ12" s="13">
        <f t="shared" si="79"/>
        <v>3</v>
      </c>
      <c r="CR12" s="3">
        <v>2</v>
      </c>
      <c r="CS12" s="3">
        <f t="shared" si="80"/>
        <v>6</v>
      </c>
      <c r="CT12" s="6">
        <v>71</v>
      </c>
      <c r="CU12" s="12" t="str">
        <f t="shared" si="81"/>
        <v>B</v>
      </c>
      <c r="CV12" s="13">
        <f t="shared" si="82"/>
        <v>3</v>
      </c>
      <c r="CW12" s="3">
        <v>3</v>
      </c>
      <c r="CX12" s="3">
        <f t="shared" si="83"/>
        <v>9</v>
      </c>
      <c r="CY12" s="6">
        <v>79.400000000000006</v>
      </c>
      <c r="CZ12" s="12" t="str">
        <f t="shared" si="84"/>
        <v>B+</v>
      </c>
      <c r="DA12" s="13">
        <f t="shared" si="85"/>
        <v>3.5</v>
      </c>
      <c r="DB12" s="3">
        <v>2</v>
      </c>
      <c r="DC12" s="3">
        <f t="shared" si="86"/>
        <v>7</v>
      </c>
      <c r="DD12" s="6">
        <v>72</v>
      </c>
      <c r="DE12" s="12" t="str">
        <f t="shared" si="87"/>
        <v>B</v>
      </c>
      <c r="DF12" s="13">
        <f t="shared" si="88"/>
        <v>3</v>
      </c>
      <c r="DG12" s="3">
        <v>2</v>
      </c>
      <c r="DH12" s="3">
        <f t="shared" si="89"/>
        <v>6</v>
      </c>
      <c r="DI12" s="6">
        <v>70.900000000000006</v>
      </c>
      <c r="DJ12" s="12" t="str">
        <f t="shared" si="90"/>
        <v>B</v>
      </c>
      <c r="DK12" s="13">
        <f t="shared" si="91"/>
        <v>3</v>
      </c>
      <c r="DL12" s="3">
        <v>3</v>
      </c>
      <c r="DM12" s="3">
        <f t="shared" si="92"/>
        <v>9</v>
      </c>
      <c r="DN12" s="6">
        <v>73.599999999999994</v>
      </c>
      <c r="DO12" s="12" t="str">
        <f t="shared" si="93"/>
        <v>B</v>
      </c>
      <c r="DP12" s="13">
        <f t="shared" si="94"/>
        <v>3</v>
      </c>
      <c r="DQ12" s="3">
        <v>2</v>
      </c>
      <c r="DR12" s="3">
        <f t="shared" si="95"/>
        <v>6</v>
      </c>
      <c r="DS12" s="6">
        <v>78.349999999999994</v>
      </c>
      <c r="DT12" s="12" t="str">
        <f t="shared" si="96"/>
        <v>B+</v>
      </c>
      <c r="DU12" s="13">
        <f t="shared" si="97"/>
        <v>3.5</v>
      </c>
      <c r="DV12" s="3">
        <v>2</v>
      </c>
      <c r="DW12" s="3">
        <f t="shared" si="98"/>
        <v>7</v>
      </c>
      <c r="DX12" s="6">
        <v>68.849999999999994</v>
      </c>
      <c r="DY12" s="12" t="str">
        <f t="shared" si="99"/>
        <v>C+</v>
      </c>
      <c r="DZ12" s="13">
        <f t="shared" si="100"/>
        <v>2.5</v>
      </c>
      <c r="EA12" s="3">
        <v>2</v>
      </c>
      <c r="EB12" s="3">
        <f t="shared" si="101"/>
        <v>5</v>
      </c>
      <c r="EC12" s="6">
        <v>78</v>
      </c>
      <c r="ED12" s="12" t="str">
        <f t="shared" si="102"/>
        <v>B+</v>
      </c>
      <c r="EE12" s="13">
        <f t="shared" si="103"/>
        <v>3.5</v>
      </c>
      <c r="EF12" s="3">
        <v>2</v>
      </c>
      <c r="EG12" s="3">
        <f t="shared" si="104"/>
        <v>7</v>
      </c>
      <c r="EH12" s="6">
        <v>74.900000000000006</v>
      </c>
      <c r="EI12" s="12" t="str">
        <f t="shared" si="105"/>
        <v>B</v>
      </c>
      <c r="EJ12" s="13">
        <f t="shared" si="106"/>
        <v>3</v>
      </c>
      <c r="EK12" s="3">
        <v>3</v>
      </c>
      <c r="EL12" s="3">
        <f t="shared" si="107"/>
        <v>9</v>
      </c>
      <c r="EM12" s="6">
        <v>79.3</v>
      </c>
      <c r="EN12" s="12" t="str">
        <f t="shared" si="108"/>
        <v>B+</v>
      </c>
      <c r="EO12" s="13">
        <f t="shared" si="109"/>
        <v>3.5</v>
      </c>
      <c r="EP12" s="3">
        <v>4</v>
      </c>
      <c r="EQ12" s="3">
        <f t="shared" si="110"/>
        <v>14</v>
      </c>
      <c r="ER12" s="6">
        <f t="shared" si="111"/>
        <v>90</v>
      </c>
      <c r="ES12" s="6">
        <f t="shared" si="112"/>
        <v>22</v>
      </c>
      <c r="ET12" s="6">
        <f t="shared" si="113"/>
        <v>77.5</v>
      </c>
      <c r="EU12" s="6">
        <f t="shared" si="114"/>
        <v>23</v>
      </c>
      <c r="EV12" s="6">
        <f t="shared" si="115"/>
        <v>70</v>
      </c>
      <c r="EW12" s="6">
        <f t="shared" si="116"/>
        <v>22</v>
      </c>
      <c r="EX12" s="6">
        <f t="shared" si="117"/>
        <v>237.5</v>
      </c>
      <c r="EY12" s="6">
        <f t="shared" si="118"/>
        <v>67</v>
      </c>
      <c r="EZ12" s="17">
        <f t="shared" si="119"/>
        <v>3.544776119402985</v>
      </c>
      <c r="FA12" s="7" t="str">
        <f t="shared" si="120"/>
        <v>Cum Laude</v>
      </c>
      <c r="FB12" s="14" t="str">
        <f t="shared" si="121"/>
        <v>Excellent</v>
      </c>
      <c r="FC12" s="6" t="s">
        <v>94</v>
      </c>
    </row>
    <row r="13" spans="1:159" ht="15" x14ac:dyDescent="0.25">
      <c r="A13" s="7">
        <v>11</v>
      </c>
      <c r="B13" s="28" t="s">
        <v>30</v>
      </c>
      <c r="C13" s="7">
        <v>172312015</v>
      </c>
      <c r="D13" s="6" t="s">
        <v>85</v>
      </c>
      <c r="E13" s="15" t="s">
        <v>84</v>
      </c>
      <c r="F13" s="15" t="s">
        <v>99</v>
      </c>
      <c r="G13" s="6"/>
      <c r="H13" s="3">
        <v>78</v>
      </c>
      <c r="I13" s="12" t="str">
        <f t="shared" si="28"/>
        <v>B+</v>
      </c>
      <c r="J13" s="13">
        <f t="shared" si="0"/>
        <v>3.5</v>
      </c>
      <c r="K13" s="3">
        <v>3</v>
      </c>
      <c r="L13" s="3">
        <f t="shared" si="29"/>
        <v>10.5</v>
      </c>
      <c r="M13" s="3">
        <v>75</v>
      </c>
      <c r="N13" s="12" t="str">
        <f t="shared" si="30"/>
        <v>B+</v>
      </c>
      <c r="O13" s="13">
        <f t="shared" si="31"/>
        <v>3.5</v>
      </c>
      <c r="P13" s="3">
        <v>3</v>
      </c>
      <c r="Q13" s="3">
        <f t="shared" si="32"/>
        <v>10.5</v>
      </c>
      <c r="R13" s="3">
        <v>80</v>
      </c>
      <c r="S13" s="12" t="str">
        <f t="shared" si="33"/>
        <v>A</v>
      </c>
      <c r="T13" s="13">
        <f t="shared" si="34"/>
        <v>4</v>
      </c>
      <c r="U13" s="3">
        <v>2</v>
      </c>
      <c r="V13" s="3">
        <f t="shared" si="35"/>
        <v>8</v>
      </c>
      <c r="W13" s="3">
        <v>80</v>
      </c>
      <c r="X13" s="12" t="str">
        <f t="shared" si="36"/>
        <v>A</v>
      </c>
      <c r="Y13" s="13">
        <f t="shared" si="37"/>
        <v>4</v>
      </c>
      <c r="Z13" s="3">
        <v>2</v>
      </c>
      <c r="AA13" s="3">
        <f t="shared" si="38"/>
        <v>8</v>
      </c>
      <c r="AB13" s="3">
        <v>71</v>
      </c>
      <c r="AC13" s="12" t="str">
        <f t="shared" si="39"/>
        <v>B</v>
      </c>
      <c r="AD13" s="13">
        <f t="shared" si="40"/>
        <v>3</v>
      </c>
      <c r="AE13" s="3">
        <v>2</v>
      </c>
      <c r="AF13" s="3">
        <f t="shared" si="41"/>
        <v>6</v>
      </c>
      <c r="AG13" s="3">
        <v>73</v>
      </c>
      <c r="AH13" s="12" t="str">
        <f t="shared" si="42"/>
        <v>B</v>
      </c>
      <c r="AI13" s="13">
        <f t="shared" si="43"/>
        <v>3</v>
      </c>
      <c r="AJ13" s="3">
        <v>2</v>
      </c>
      <c r="AK13" s="3">
        <f t="shared" si="44"/>
        <v>6</v>
      </c>
      <c r="AL13" s="3">
        <v>78</v>
      </c>
      <c r="AM13" s="12" t="str">
        <f t="shared" si="45"/>
        <v>B+</v>
      </c>
      <c r="AN13" s="13">
        <f t="shared" si="46"/>
        <v>3.5</v>
      </c>
      <c r="AO13" s="3">
        <v>2</v>
      </c>
      <c r="AP13" s="3">
        <f t="shared" si="47"/>
        <v>7</v>
      </c>
      <c r="AQ13" s="3">
        <v>79</v>
      </c>
      <c r="AR13" s="12" t="str">
        <f t="shared" si="48"/>
        <v>B+</v>
      </c>
      <c r="AS13" s="13">
        <f t="shared" si="49"/>
        <v>3.5</v>
      </c>
      <c r="AT13" s="3">
        <v>3</v>
      </c>
      <c r="AU13" s="3">
        <f t="shared" si="50"/>
        <v>10.5</v>
      </c>
      <c r="AV13" s="3">
        <v>78</v>
      </c>
      <c r="AW13" s="12" t="str">
        <f t="shared" si="51"/>
        <v>B+</v>
      </c>
      <c r="AX13" s="13">
        <f t="shared" si="52"/>
        <v>3.5</v>
      </c>
      <c r="AY13" s="3">
        <v>3</v>
      </c>
      <c r="AZ13" s="3">
        <f t="shared" si="53"/>
        <v>10.5</v>
      </c>
      <c r="BA13" s="7">
        <v>81</v>
      </c>
      <c r="BB13" s="12" t="str">
        <f t="shared" si="54"/>
        <v>A</v>
      </c>
      <c r="BC13" s="13">
        <f t="shared" si="55"/>
        <v>4</v>
      </c>
      <c r="BD13" s="3">
        <v>2</v>
      </c>
      <c r="BE13" s="3">
        <f t="shared" si="56"/>
        <v>8</v>
      </c>
      <c r="BF13" s="3">
        <v>81</v>
      </c>
      <c r="BG13" s="12" t="str">
        <f t="shared" si="57"/>
        <v>A</v>
      </c>
      <c r="BH13" s="13">
        <f t="shared" si="58"/>
        <v>4</v>
      </c>
      <c r="BI13" s="3">
        <v>2</v>
      </c>
      <c r="BJ13" s="3">
        <f t="shared" si="59"/>
        <v>8</v>
      </c>
      <c r="BK13" s="6">
        <v>80</v>
      </c>
      <c r="BL13" s="12" t="str">
        <f t="shared" si="60"/>
        <v>A</v>
      </c>
      <c r="BM13" s="13">
        <f t="shared" si="61"/>
        <v>4</v>
      </c>
      <c r="BN13" s="3">
        <v>2</v>
      </c>
      <c r="BO13" s="3">
        <f t="shared" si="62"/>
        <v>8</v>
      </c>
      <c r="BP13" s="6">
        <v>77</v>
      </c>
      <c r="BQ13" s="12" t="str">
        <f t="shared" si="63"/>
        <v>B+</v>
      </c>
      <c r="BR13" s="13">
        <f t="shared" si="64"/>
        <v>3.5</v>
      </c>
      <c r="BS13" s="3">
        <v>3</v>
      </c>
      <c r="BT13" s="3">
        <f t="shared" si="65"/>
        <v>10.5</v>
      </c>
      <c r="BU13" s="3">
        <v>79</v>
      </c>
      <c r="BV13" s="12" t="str">
        <f t="shared" si="66"/>
        <v>B+</v>
      </c>
      <c r="BW13" s="13">
        <f t="shared" si="67"/>
        <v>3.5</v>
      </c>
      <c r="BX13" s="3">
        <v>2</v>
      </c>
      <c r="BY13" s="3">
        <f t="shared" si="68"/>
        <v>7</v>
      </c>
      <c r="BZ13" s="6">
        <v>79</v>
      </c>
      <c r="CA13" s="12" t="str">
        <f t="shared" si="69"/>
        <v>B+</v>
      </c>
      <c r="CB13" s="13">
        <f t="shared" si="70"/>
        <v>3.5</v>
      </c>
      <c r="CC13" s="3">
        <v>2</v>
      </c>
      <c r="CD13" s="3">
        <f t="shared" si="71"/>
        <v>7</v>
      </c>
      <c r="CE13" s="6">
        <v>76</v>
      </c>
      <c r="CF13" s="12" t="str">
        <f t="shared" si="72"/>
        <v>B+</v>
      </c>
      <c r="CG13" s="13">
        <f t="shared" si="73"/>
        <v>3.5</v>
      </c>
      <c r="CH13" s="3">
        <v>2</v>
      </c>
      <c r="CI13" s="3">
        <f t="shared" si="74"/>
        <v>7</v>
      </c>
      <c r="CJ13" s="6">
        <v>72</v>
      </c>
      <c r="CK13" s="12" t="str">
        <f t="shared" si="75"/>
        <v>B</v>
      </c>
      <c r="CL13" s="13">
        <f t="shared" si="76"/>
        <v>3</v>
      </c>
      <c r="CM13" s="3">
        <v>3</v>
      </c>
      <c r="CN13" s="3">
        <f t="shared" si="77"/>
        <v>9</v>
      </c>
      <c r="CO13" s="6">
        <v>73</v>
      </c>
      <c r="CP13" s="12" t="str">
        <f t="shared" si="78"/>
        <v>B</v>
      </c>
      <c r="CQ13" s="13">
        <f t="shared" si="79"/>
        <v>3</v>
      </c>
      <c r="CR13" s="3">
        <v>2</v>
      </c>
      <c r="CS13" s="3">
        <f t="shared" si="80"/>
        <v>6</v>
      </c>
      <c r="CT13" s="6">
        <v>71</v>
      </c>
      <c r="CU13" s="12" t="str">
        <f t="shared" si="81"/>
        <v>B</v>
      </c>
      <c r="CV13" s="13">
        <f t="shared" si="82"/>
        <v>3</v>
      </c>
      <c r="CW13" s="3">
        <v>3</v>
      </c>
      <c r="CX13" s="3">
        <f t="shared" si="83"/>
        <v>9</v>
      </c>
      <c r="CY13" s="6">
        <v>78.8</v>
      </c>
      <c r="CZ13" s="12" t="str">
        <f t="shared" si="84"/>
        <v>B+</v>
      </c>
      <c r="DA13" s="13">
        <f t="shared" si="85"/>
        <v>3.5</v>
      </c>
      <c r="DB13" s="3">
        <v>2</v>
      </c>
      <c r="DC13" s="3">
        <f t="shared" si="86"/>
        <v>7</v>
      </c>
      <c r="DD13" s="6">
        <v>72.8</v>
      </c>
      <c r="DE13" s="12" t="str">
        <f t="shared" si="87"/>
        <v>B</v>
      </c>
      <c r="DF13" s="13">
        <f t="shared" si="88"/>
        <v>3</v>
      </c>
      <c r="DG13" s="3">
        <v>2</v>
      </c>
      <c r="DH13" s="3">
        <f t="shared" si="89"/>
        <v>6</v>
      </c>
      <c r="DI13" s="6">
        <v>71.180000000000007</v>
      </c>
      <c r="DJ13" s="12" t="str">
        <f t="shared" si="90"/>
        <v>B</v>
      </c>
      <c r="DK13" s="13">
        <f t="shared" si="91"/>
        <v>3</v>
      </c>
      <c r="DL13" s="3">
        <v>3</v>
      </c>
      <c r="DM13" s="3">
        <f t="shared" si="92"/>
        <v>9</v>
      </c>
      <c r="DN13" s="6">
        <v>75.2</v>
      </c>
      <c r="DO13" s="12" t="str">
        <f t="shared" si="93"/>
        <v>B+</v>
      </c>
      <c r="DP13" s="13">
        <f t="shared" si="94"/>
        <v>3.5</v>
      </c>
      <c r="DQ13" s="3">
        <v>2</v>
      </c>
      <c r="DR13" s="3">
        <f t="shared" si="95"/>
        <v>7</v>
      </c>
      <c r="DS13" s="6">
        <v>81.599999999999994</v>
      </c>
      <c r="DT13" s="12" t="str">
        <f t="shared" si="96"/>
        <v>A</v>
      </c>
      <c r="DU13" s="13">
        <f t="shared" si="97"/>
        <v>4</v>
      </c>
      <c r="DV13" s="3">
        <v>2</v>
      </c>
      <c r="DW13" s="3">
        <f t="shared" si="98"/>
        <v>8</v>
      </c>
      <c r="DX13" s="6">
        <v>74.400000000000006</v>
      </c>
      <c r="DY13" s="12" t="str">
        <f t="shared" si="99"/>
        <v>B</v>
      </c>
      <c r="DZ13" s="13">
        <f t="shared" si="100"/>
        <v>3</v>
      </c>
      <c r="EA13" s="3">
        <v>2</v>
      </c>
      <c r="EB13" s="3">
        <f t="shared" si="101"/>
        <v>6</v>
      </c>
      <c r="EC13" s="6">
        <v>78</v>
      </c>
      <c r="ED13" s="12" t="str">
        <f t="shared" si="102"/>
        <v>B+</v>
      </c>
      <c r="EE13" s="13">
        <f t="shared" si="103"/>
        <v>3.5</v>
      </c>
      <c r="EF13" s="3">
        <v>2</v>
      </c>
      <c r="EG13" s="3">
        <f t="shared" si="104"/>
        <v>7</v>
      </c>
      <c r="EH13" s="6">
        <v>76.900000000000006</v>
      </c>
      <c r="EI13" s="12" t="str">
        <f t="shared" si="105"/>
        <v>B+</v>
      </c>
      <c r="EJ13" s="13">
        <f t="shared" si="106"/>
        <v>3.5</v>
      </c>
      <c r="EK13" s="3">
        <v>3</v>
      </c>
      <c r="EL13" s="3">
        <f t="shared" si="107"/>
        <v>10.5</v>
      </c>
      <c r="EM13" s="6">
        <v>79</v>
      </c>
      <c r="EN13" s="12" t="str">
        <f t="shared" si="108"/>
        <v>B+</v>
      </c>
      <c r="EO13" s="13">
        <f t="shared" si="109"/>
        <v>3.5</v>
      </c>
      <c r="EP13" s="3">
        <v>4</v>
      </c>
      <c r="EQ13" s="3">
        <f t="shared" si="110"/>
        <v>14</v>
      </c>
      <c r="ER13" s="6">
        <f t="shared" si="111"/>
        <v>87.5</v>
      </c>
      <c r="ES13" s="6">
        <f t="shared" si="112"/>
        <v>22</v>
      </c>
      <c r="ET13" s="6">
        <f t="shared" si="113"/>
        <v>79.5</v>
      </c>
      <c r="EU13" s="6">
        <f t="shared" si="114"/>
        <v>23</v>
      </c>
      <c r="EV13" s="6">
        <f t="shared" si="115"/>
        <v>74.5</v>
      </c>
      <c r="EW13" s="6">
        <f t="shared" si="116"/>
        <v>22</v>
      </c>
      <c r="EX13" s="6">
        <f t="shared" si="117"/>
        <v>241.5</v>
      </c>
      <c r="EY13" s="6">
        <f t="shared" si="118"/>
        <v>67</v>
      </c>
      <c r="EZ13" s="17">
        <f t="shared" si="119"/>
        <v>3.6044776119402986</v>
      </c>
      <c r="FA13" s="7" t="str">
        <f t="shared" si="120"/>
        <v>Cum Laude</v>
      </c>
      <c r="FB13" s="14" t="str">
        <f t="shared" si="121"/>
        <v>Excellent</v>
      </c>
      <c r="FC13" s="6"/>
    </row>
    <row r="14" spans="1:159" ht="15" x14ac:dyDescent="0.25">
      <c r="A14" s="7">
        <v>12</v>
      </c>
      <c r="B14" s="28" t="s">
        <v>31</v>
      </c>
      <c r="C14" s="7">
        <v>172312016</v>
      </c>
      <c r="D14" s="6"/>
      <c r="E14" s="15"/>
      <c r="F14" s="15" t="s">
        <v>99</v>
      </c>
      <c r="G14" s="6"/>
      <c r="H14" s="3">
        <v>73</v>
      </c>
      <c r="I14" s="12" t="str">
        <f t="shared" si="28"/>
        <v>B</v>
      </c>
      <c r="J14" s="13">
        <f t="shared" si="0"/>
        <v>3</v>
      </c>
      <c r="K14" s="3">
        <v>3</v>
      </c>
      <c r="L14" s="3">
        <f t="shared" si="29"/>
        <v>9</v>
      </c>
      <c r="M14" s="3">
        <v>75</v>
      </c>
      <c r="N14" s="12" t="str">
        <f t="shared" si="30"/>
        <v>B+</v>
      </c>
      <c r="O14" s="13">
        <f t="shared" si="31"/>
        <v>3.5</v>
      </c>
      <c r="P14" s="3">
        <v>3</v>
      </c>
      <c r="Q14" s="3">
        <f t="shared" si="32"/>
        <v>10.5</v>
      </c>
      <c r="R14" s="3">
        <v>80</v>
      </c>
      <c r="S14" s="12" t="str">
        <f t="shared" si="33"/>
        <v>A</v>
      </c>
      <c r="T14" s="13">
        <f t="shared" si="34"/>
        <v>4</v>
      </c>
      <c r="U14" s="3">
        <v>2</v>
      </c>
      <c r="V14" s="3">
        <f t="shared" si="35"/>
        <v>8</v>
      </c>
      <c r="W14" s="3">
        <v>70</v>
      </c>
      <c r="X14" s="12" t="str">
        <f t="shared" si="36"/>
        <v>B</v>
      </c>
      <c r="Y14" s="13">
        <f t="shared" si="37"/>
        <v>3</v>
      </c>
      <c r="Z14" s="3">
        <v>2</v>
      </c>
      <c r="AA14" s="3">
        <f t="shared" si="38"/>
        <v>6</v>
      </c>
      <c r="AB14" s="3">
        <v>73</v>
      </c>
      <c r="AC14" s="12" t="str">
        <f t="shared" si="39"/>
        <v>B</v>
      </c>
      <c r="AD14" s="13">
        <f t="shared" si="40"/>
        <v>3</v>
      </c>
      <c r="AE14" s="3">
        <v>2</v>
      </c>
      <c r="AF14" s="3">
        <f t="shared" si="41"/>
        <v>6</v>
      </c>
      <c r="AG14" s="3">
        <v>75</v>
      </c>
      <c r="AH14" s="12" t="str">
        <f t="shared" si="42"/>
        <v>B+</v>
      </c>
      <c r="AI14" s="13">
        <f t="shared" si="43"/>
        <v>3.5</v>
      </c>
      <c r="AJ14" s="3">
        <v>2</v>
      </c>
      <c r="AK14" s="3">
        <f t="shared" si="44"/>
        <v>7</v>
      </c>
      <c r="AL14" s="3">
        <v>79</v>
      </c>
      <c r="AM14" s="12" t="str">
        <f t="shared" si="45"/>
        <v>B+</v>
      </c>
      <c r="AN14" s="13">
        <f t="shared" si="46"/>
        <v>3.5</v>
      </c>
      <c r="AO14" s="3">
        <v>2</v>
      </c>
      <c r="AP14" s="3">
        <f t="shared" si="47"/>
        <v>7</v>
      </c>
      <c r="AQ14" s="3">
        <v>79</v>
      </c>
      <c r="AR14" s="12" t="str">
        <f t="shared" si="48"/>
        <v>B+</v>
      </c>
      <c r="AS14" s="13">
        <f t="shared" si="49"/>
        <v>3.5</v>
      </c>
      <c r="AT14" s="3">
        <v>3</v>
      </c>
      <c r="AU14" s="3">
        <f t="shared" si="50"/>
        <v>10.5</v>
      </c>
      <c r="AV14" s="3">
        <v>84</v>
      </c>
      <c r="AW14" s="12" t="str">
        <f t="shared" si="51"/>
        <v>A</v>
      </c>
      <c r="AX14" s="13">
        <f t="shared" si="52"/>
        <v>4</v>
      </c>
      <c r="AY14" s="3">
        <v>3</v>
      </c>
      <c r="AZ14" s="3">
        <f t="shared" si="53"/>
        <v>12</v>
      </c>
      <c r="BA14" s="7">
        <v>81</v>
      </c>
      <c r="BB14" s="12" t="str">
        <f t="shared" si="54"/>
        <v>A</v>
      </c>
      <c r="BC14" s="13">
        <f t="shared" si="55"/>
        <v>4</v>
      </c>
      <c r="BD14" s="3">
        <v>2</v>
      </c>
      <c r="BE14" s="3">
        <f t="shared" si="56"/>
        <v>8</v>
      </c>
      <c r="BF14" s="3">
        <v>81</v>
      </c>
      <c r="BG14" s="12" t="str">
        <f t="shared" si="57"/>
        <v>A</v>
      </c>
      <c r="BH14" s="13">
        <f t="shared" si="58"/>
        <v>4</v>
      </c>
      <c r="BI14" s="3">
        <v>2</v>
      </c>
      <c r="BJ14" s="3">
        <f t="shared" si="59"/>
        <v>8</v>
      </c>
      <c r="BK14" s="6">
        <v>74</v>
      </c>
      <c r="BL14" s="12" t="str">
        <f t="shared" si="60"/>
        <v>B</v>
      </c>
      <c r="BM14" s="13">
        <f t="shared" si="61"/>
        <v>3</v>
      </c>
      <c r="BN14" s="3">
        <v>2</v>
      </c>
      <c r="BO14" s="3">
        <f t="shared" si="62"/>
        <v>6</v>
      </c>
      <c r="BP14" s="6">
        <v>77</v>
      </c>
      <c r="BQ14" s="12" t="str">
        <f t="shared" si="63"/>
        <v>B+</v>
      </c>
      <c r="BR14" s="13">
        <f t="shared" si="64"/>
        <v>3.5</v>
      </c>
      <c r="BS14" s="3">
        <v>3</v>
      </c>
      <c r="BT14" s="3">
        <f t="shared" si="65"/>
        <v>10.5</v>
      </c>
      <c r="BU14" s="3">
        <v>80</v>
      </c>
      <c r="BV14" s="12" t="str">
        <f t="shared" si="66"/>
        <v>A</v>
      </c>
      <c r="BW14" s="13">
        <f t="shared" si="67"/>
        <v>4</v>
      </c>
      <c r="BX14" s="3">
        <v>2</v>
      </c>
      <c r="BY14" s="3">
        <f t="shared" si="68"/>
        <v>8</v>
      </c>
      <c r="BZ14" s="6">
        <v>80</v>
      </c>
      <c r="CA14" s="12" t="str">
        <f t="shared" si="69"/>
        <v>A</v>
      </c>
      <c r="CB14" s="13">
        <f t="shared" si="70"/>
        <v>4</v>
      </c>
      <c r="CC14" s="3">
        <v>2</v>
      </c>
      <c r="CD14" s="3">
        <f t="shared" si="71"/>
        <v>8</v>
      </c>
      <c r="CE14" s="6">
        <v>76</v>
      </c>
      <c r="CF14" s="12" t="str">
        <f t="shared" si="72"/>
        <v>B+</v>
      </c>
      <c r="CG14" s="13">
        <f t="shared" si="73"/>
        <v>3.5</v>
      </c>
      <c r="CH14" s="3">
        <v>2</v>
      </c>
      <c r="CI14" s="3">
        <f t="shared" si="74"/>
        <v>7</v>
      </c>
      <c r="CJ14" s="6">
        <v>73</v>
      </c>
      <c r="CK14" s="12" t="str">
        <f t="shared" si="75"/>
        <v>B</v>
      </c>
      <c r="CL14" s="13">
        <f t="shared" si="76"/>
        <v>3</v>
      </c>
      <c r="CM14" s="3">
        <v>3</v>
      </c>
      <c r="CN14" s="3">
        <f t="shared" si="77"/>
        <v>9</v>
      </c>
      <c r="CO14" s="6">
        <v>69</v>
      </c>
      <c r="CP14" s="12" t="str">
        <f t="shared" si="78"/>
        <v>C+</v>
      </c>
      <c r="CQ14" s="13">
        <f t="shared" si="79"/>
        <v>2.5</v>
      </c>
      <c r="CR14" s="3">
        <v>2</v>
      </c>
      <c r="CS14" s="3">
        <f t="shared" si="80"/>
        <v>5</v>
      </c>
      <c r="CT14" s="6">
        <v>71</v>
      </c>
      <c r="CU14" s="12" t="str">
        <f t="shared" si="81"/>
        <v>B</v>
      </c>
      <c r="CV14" s="13">
        <f t="shared" si="82"/>
        <v>3</v>
      </c>
      <c r="CW14" s="3">
        <v>3</v>
      </c>
      <c r="CX14" s="3">
        <f t="shared" si="83"/>
        <v>9</v>
      </c>
      <c r="CY14" s="6">
        <v>79.2</v>
      </c>
      <c r="CZ14" s="12" t="str">
        <f t="shared" si="84"/>
        <v>B+</v>
      </c>
      <c r="DA14" s="13">
        <f t="shared" si="85"/>
        <v>3.5</v>
      </c>
      <c r="DB14" s="3">
        <v>2</v>
      </c>
      <c r="DC14" s="3">
        <f t="shared" si="86"/>
        <v>7</v>
      </c>
      <c r="DD14" s="6">
        <v>70.599999999999994</v>
      </c>
      <c r="DE14" s="12" t="str">
        <f t="shared" si="87"/>
        <v>B</v>
      </c>
      <c r="DF14" s="13">
        <f t="shared" si="88"/>
        <v>3</v>
      </c>
      <c r="DG14" s="3">
        <v>2</v>
      </c>
      <c r="DH14" s="3">
        <f t="shared" si="89"/>
        <v>6</v>
      </c>
      <c r="DI14" s="6">
        <v>71.349999999999994</v>
      </c>
      <c r="DJ14" s="12" t="str">
        <f t="shared" si="90"/>
        <v>B</v>
      </c>
      <c r="DK14" s="13">
        <f t="shared" si="91"/>
        <v>3</v>
      </c>
      <c r="DL14" s="3">
        <v>3</v>
      </c>
      <c r="DM14" s="3">
        <f t="shared" si="92"/>
        <v>9</v>
      </c>
      <c r="DN14" s="6">
        <v>70</v>
      </c>
      <c r="DO14" s="12" t="str">
        <f t="shared" si="93"/>
        <v>B</v>
      </c>
      <c r="DP14" s="13">
        <f t="shared" si="94"/>
        <v>3</v>
      </c>
      <c r="DQ14" s="3">
        <v>2</v>
      </c>
      <c r="DR14" s="3">
        <f t="shared" si="95"/>
        <v>6</v>
      </c>
      <c r="DS14" s="6">
        <v>77.95</v>
      </c>
      <c r="DT14" s="12" t="str">
        <f t="shared" si="96"/>
        <v>B+</v>
      </c>
      <c r="DU14" s="13">
        <f t="shared" si="97"/>
        <v>3.5</v>
      </c>
      <c r="DV14" s="3">
        <v>2</v>
      </c>
      <c r="DW14" s="3">
        <f t="shared" si="98"/>
        <v>7</v>
      </c>
      <c r="DX14" s="6">
        <v>75.099999999999994</v>
      </c>
      <c r="DY14" s="12" t="str">
        <f t="shared" si="99"/>
        <v>B+</v>
      </c>
      <c r="DZ14" s="13">
        <f t="shared" si="100"/>
        <v>3.5</v>
      </c>
      <c r="EA14" s="3">
        <v>2</v>
      </c>
      <c r="EB14" s="3">
        <f t="shared" si="101"/>
        <v>7</v>
      </c>
      <c r="EC14" s="6">
        <v>78</v>
      </c>
      <c r="ED14" s="12" t="str">
        <f t="shared" si="102"/>
        <v>B+</v>
      </c>
      <c r="EE14" s="13">
        <f t="shared" si="103"/>
        <v>3.5</v>
      </c>
      <c r="EF14" s="3">
        <v>2</v>
      </c>
      <c r="EG14" s="3">
        <f t="shared" si="104"/>
        <v>7</v>
      </c>
      <c r="EH14" s="6">
        <v>72.5</v>
      </c>
      <c r="EI14" s="12" t="str">
        <f t="shared" si="105"/>
        <v>B</v>
      </c>
      <c r="EJ14" s="13">
        <f t="shared" si="106"/>
        <v>3</v>
      </c>
      <c r="EK14" s="3">
        <v>3</v>
      </c>
      <c r="EL14" s="3">
        <f t="shared" si="107"/>
        <v>9</v>
      </c>
      <c r="EM14" s="6">
        <v>79</v>
      </c>
      <c r="EN14" s="12" t="str">
        <f t="shared" si="108"/>
        <v>B+</v>
      </c>
      <c r="EO14" s="13">
        <f t="shared" si="109"/>
        <v>3.5</v>
      </c>
      <c r="EP14" s="3">
        <v>4</v>
      </c>
      <c r="EQ14" s="3">
        <f t="shared" si="110"/>
        <v>14</v>
      </c>
      <c r="ER14" s="6">
        <f t="shared" si="111"/>
        <v>86.5</v>
      </c>
      <c r="ES14" s="6">
        <f t="shared" si="112"/>
        <v>22</v>
      </c>
      <c r="ET14" s="6">
        <f t="shared" si="113"/>
        <v>78.5</v>
      </c>
      <c r="EU14" s="6">
        <f t="shared" si="114"/>
        <v>23</v>
      </c>
      <c r="EV14" s="6">
        <f t="shared" si="115"/>
        <v>72</v>
      </c>
      <c r="EW14" s="6">
        <f t="shared" si="116"/>
        <v>22</v>
      </c>
      <c r="EX14" s="6">
        <f t="shared" si="117"/>
        <v>237</v>
      </c>
      <c r="EY14" s="6">
        <f t="shared" si="118"/>
        <v>67</v>
      </c>
      <c r="EZ14" s="17">
        <f t="shared" si="119"/>
        <v>3.5373134328358211</v>
      </c>
      <c r="FA14" s="7" t="str">
        <f t="shared" si="120"/>
        <v>Cum Laude</v>
      </c>
      <c r="FB14" s="14" t="str">
        <f t="shared" si="121"/>
        <v>Excellent</v>
      </c>
      <c r="FC14" s="6"/>
    </row>
    <row r="15" spans="1:159" ht="15" x14ac:dyDescent="0.25">
      <c r="A15" s="7">
        <v>13</v>
      </c>
      <c r="B15" s="28" t="s">
        <v>32</v>
      </c>
      <c r="C15" s="7">
        <v>172312017</v>
      </c>
      <c r="D15" s="6" t="s">
        <v>87</v>
      </c>
      <c r="E15" s="15" t="s">
        <v>86</v>
      </c>
      <c r="F15" s="15" t="s">
        <v>99</v>
      </c>
      <c r="G15" s="6"/>
      <c r="H15" s="3">
        <v>79</v>
      </c>
      <c r="I15" s="12" t="str">
        <f t="shared" si="28"/>
        <v>B+</v>
      </c>
      <c r="J15" s="13">
        <f t="shared" si="0"/>
        <v>3.5</v>
      </c>
      <c r="K15" s="3">
        <v>3</v>
      </c>
      <c r="L15" s="3">
        <f t="shared" si="29"/>
        <v>10.5</v>
      </c>
      <c r="M15" s="3">
        <v>77</v>
      </c>
      <c r="N15" s="12" t="str">
        <f t="shared" si="30"/>
        <v>B+</v>
      </c>
      <c r="O15" s="13">
        <f t="shared" si="31"/>
        <v>3.5</v>
      </c>
      <c r="P15" s="3">
        <v>3</v>
      </c>
      <c r="Q15" s="3">
        <f t="shared" si="32"/>
        <v>10.5</v>
      </c>
      <c r="R15" s="3">
        <v>81</v>
      </c>
      <c r="S15" s="12" t="str">
        <f t="shared" si="33"/>
        <v>A</v>
      </c>
      <c r="T15" s="13">
        <f t="shared" si="34"/>
        <v>4</v>
      </c>
      <c r="U15" s="3">
        <v>2</v>
      </c>
      <c r="V15" s="3">
        <f t="shared" si="35"/>
        <v>8</v>
      </c>
      <c r="W15" s="3">
        <v>79</v>
      </c>
      <c r="X15" s="12" t="str">
        <f t="shared" si="36"/>
        <v>B+</v>
      </c>
      <c r="Y15" s="13">
        <f t="shared" si="37"/>
        <v>3.5</v>
      </c>
      <c r="Z15" s="3">
        <v>2</v>
      </c>
      <c r="AA15" s="3">
        <f t="shared" si="38"/>
        <v>7</v>
      </c>
      <c r="AB15" s="3">
        <v>75</v>
      </c>
      <c r="AC15" s="12" t="str">
        <f t="shared" si="39"/>
        <v>B+</v>
      </c>
      <c r="AD15" s="13">
        <f t="shared" si="40"/>
        <v>3.5</v>
      </c>
      <c r="AE15" s="3">
        <v>2</v>
      </c>
      <c r="AF15" s="3">
        <f t="shared" si="41"/>
        <v>7</v>
      </c>
      <c r="AG15" s="3">
        <v>77</v>
      </c>
      <c r="AH15" s="12" t="str">
        <f t="shared" si="42"/>
        <v>B+</v>
      </c>
      <c r="AI15" s="13">
        <f t="shared" si="43"/>
        <v>3.5</v>
      </c>
      <c r="AJ15" s="3">
        <v>2</v>
      </c>
      <c r="AK15" s="3">
        <f t="shared" si="44"/>
        <v>7</v>
      </c>
      <c r="AL15" s="3">
        <v>75</v>
      </c>
      <c r="AM15" s="12" t="str">
        <f t="shared" si="45"/>
        <v>B+</v>
      </c>
      <c r="AN15" s="13">
        <f t="shared" si="46"/>
        <v>3.5</v>
      </c>
      <c r="AO15" s="3">
        <v>2</v>
      </c>
      <c r="AP15" s="3">
        <f t="shared" si="47"/>
        <v>7</v>
      </c>
      <c r="AQ15" s="3">
        <v>79</v>
      </c>
      <c r="AR15" s="12" t="str">
        <f t="shared" si="48"/>
        <v>B+</v>
      </c>
      <c r="AS15" s="13">
        <f t="shared" si="49"/>
        <v>3.5</v>
      </c>
      <c r="AT15" s="3">
        <v>3</v>
      </c>
      <c r="AU15" s="3">
        <f t="shared" si="50"/>
        <v>10.5</v>
      </c>
      <c r="AV15" s="3">
        <v>84</v>
      </c>
      <c r="AW15" s="12" t="str">
        <f t="shared" si="51"/>
        <v>A</v>
      </c>
      <c r="AX15" s="13">
        <f t="shared" si="52"/>
        <v>4</v>
      </c>
      <c r="AY15" s="3">
        <v>3</v>
      </c>
      <c r="AZ15" s="3">
        <f t="shared" si="53"/>
        <v>12</v>
      </c>
      <c r="BA15" s="7">
        <v>81</v>
      </c>
      <c r="BB15" s="12" t="str">
        <f t="shared" si="54"/>
        <v>A</v>
      </c>
      <c r="BC15" s="13">
        <f t="shared" si="55"/>
        <v>4</v>
      </c>
      <c r="BD15" s="3">
        <v>2</v>
      </c>
      <c r="BE15" s="3">
        <f t="shared" si="56"/>
        <v>8</v>
      </c>
      <c r="BF15" s="3">
        <v>81</v>
      </c>
      <c r="BG15" s="12" t="str">
        <f t="shared" si="57"/>
        <v>A</v>
      </c>
      <c r="BH15" s="13">
        <f t="shared" si="58"/>
        <v>4</v>
      </c>
      <c r="BI15" s="3">
        <v>2</v>
      </c>
      <c r="BJ15" s="3">
        <f t="shared" si="59"/>
        <v>8</v>
      </c>
      <c r="BK15" s="6">
        <v>74</v>
      </c>
      <c r="BL15" s="12" t="str">
        <f t="shared" si="60"/>
        <v>B</v>
      </c>
      <c r="BM15" s="13">
        <f t="shared" si="61"/>
        <v>3</v>
      </c>
      <c r="BN15" s="3">
        <v>2</v>
      </c>
      <c r="BO15" s="3">
        <f t="shared" si="62"/>
        <v>6</v>
      </c>
      <c r="BP15" s="6">
        <v>77</v>
      </c>
      <c r="BQ15" s="12" t="str">
        <f t="shared" si="63"/>
        <v>B+</v>
      </c>
      <c r="BR15" s="13">
        <f t="shared" si="64"/>
        <v>3.5</v>
      </c>
      <c r="BS15" s="3">
        <v>3</v>
      </c>
      <c r="BT15" s="3">
        <f t="shared" si="65"/>
        <v>10.5</v>
      </c>
      <c r="BU15" s="3">
        <v>80</v>
      </c>
      <c r="BV15" s="12" t="str">
        <f t="shared" si="66"/>
        <v>A</v>
      </c>
      <c r="BW15" s="13">
        <f t="shared" si="67"/>
        <v>4</v>
      </c>
      <c r="BX15" s="3">
        <v>2</v>
      </c>
      <c r="BY15" s="3">
        <f t="shared" si="68"/>
        <v>8</v>
      </c>
      <c r="BZ15" s="6">
        <v>80</v>
      </c>
      <c r="CA15" s="12" t="str">
        <f t="shared" si="69"/>
        <v>A</v>
      </c>
      <c r="CB15" s="13">
        <f t="shared" si="70"/>
        <v>4</v>
      </c>
      <c r="CC15" s="3">
        <v>2</v>
      </c>
      <c r="CD15" s="3">
        <f t="shared" si="71"/>
        <v>8</v>
      </c>
      <c r="CE15" s="6">
        <v>75</v>
      </c>
      <c r="CF15" s="12" t="str">
        <f t="shared" si="72"/>
        <v>B+</v>
      </c>
      <c r="CG15" s="13">
        <f t="shared" si="73"/>
        <v>3.5</v>
      </c>
      <c r="CH15" s="3">
        <v>2</v>
      </c>
      <c r="CI15" s="3">
        <f t="shared" si="74"/>
        <v>7</v>
      </c>
      <c r="CJ15" s="6">
        <v>75</v>
      </c>
      <c r="CK15" s="12" t="str">
        <f t="shared" si="75"/>
        <v>B+</v>
      </c>
      <c r="CL15" s="13">
        <f t="shared" si="76"/>
        <v>3.5</v>
      </c>
      <c r="CM15" s="3">
        <v>3</v>
      </c>
      <c r="CN15" s="3">
        <f t="shared" si="77"/>
        <v>10.5</v>
      </c>
      <c r="CO15" s="6">
        <v>68</v>
      </c>
      <c r="CP15" s="12" t="str">
        <f t="shared" si="78"/>
        <v>C+</v>
      </c>
      <c r="CQ15" s="13">
        <f t="shared" si="79"/>
        <v>2.5</v>
      </c>
      <c r="CR15" s="3">
        <v>2</v>
      </c>
      <c r="CS15" s="3">
        <f t="shared" si="80"/>
        <v>5</v>
      </c>
      <c r="CT15" s="6">
        <v>71</v>
      </c>
      <c r="CU15" s="12" t="str">
        <f t="shared" si="81"/>
        <v>B</v>
      </c>
      <c r="CV15" s="13">
        <f t="shared" si="82"/>
        <v>3</v>
      </c>
      <c r="CW15" s="3">
        <v>3</v>
      </c>
      <c r="CX15" s="3">
        <f t="shared" si="83"/>
        <v>9</v>
      </c>
      <c r="CY15" s="6">
        <v>79.2</v>
      </c>
      <c r="CZ15" s="12" t="str">
        <f t="shared" si="84"/>
        <v>B+</v>
      </c>
      <c r="DA15" s="13">
        <f t="shared" si="85"/>
        <v>3.5</v>
      </c>
      <c r="DB15" s="3">
        <v>2</v>
      </c>
      <c r="DC15" s="3">
        <f t="shared" si="86"/>
        <v>7</v>
      </c>
      <c r="DD15" s="6">
        <v>73</v>
      </c>
      <c r="DE15" s="12" t="str">
        <f t="shared" si="87"/>
        <v>B</v>
      </c>
      <c r="DF15" s="13">
        <f t="shared" si="88"/>
        <v>3</v>
      </c>
      <c r="DG15" s="3">
        <v>2</v>
      </c>
      <c r="DH15" s="3">
        <f t="shared" si="89"/>
        <v>6</v>
      </c>
      <c r="DI15" s="6">
        <v>67.98</v>
      </c>
      <c r="DJ15" s="12" t="str">
        <f t="shared" si="90"/>
        <v>C+</v>
      </c>
      <c r="DK15" s="13">
        <f t="shared" si="91"/>
        <v>2.5</v>
      </c>
      <c r="DL15" s="3">
        <v>3</v>
      </c>
      <c r="DM15" s="3">
        <f t="shared" si="92"/>
        <v>7.5</v>
      </c>
      <c r="DN15" s="6">
        <v>70</v>
      </c>
      <c r="DO15" s="12" t="str">
        <f t="shared" si="93"/>
        <v>B</v>
      </c>
      <c r="DP15" s="13">
        <f t="shared" si="94"/>
        <v>3</v>
      </c>
      <c r="DQ15" s="3">
        <v>2</v>
      </c>
      <c r="DR15" s="3">
        <f t="shared" si="95"/>
        <v>6</v>
      </c>
      <c r="DS15" s="6">
        <v>80.2</v>
      </c>
      <c r="DT15" s="12" t="str">
        <f t="shared" si="96"/>
        <v>A</v>
      </c>
      <c r="DU15" s="13">
        <f t="shared" si="97"/>
        <v>4</v>
      </c>
      <c r="DV15" s="3">
        <v>2</v>
      </c>
      <c r="DW15" s="3">
        <f t="shared" si="98"/>
        <v>8</v>
      </c>
      <c r="DX15" s="6">
        <v>74.13</v>
      </c>
      <c r="DY15" s="12" t="str">
        <f t="shared" si="99"/>
        <v>B</v>
      </c>
      <c r="DZ15" s="13">
        <f t="shared" si="100"/>
        <v>3</v>
      </c>
      <c r="EA15" s="3">
        <v>2</v>
      </c>
      <c r="EB15" s="3">
        <f t="shared" si="101"/>
        <v>6</v>
      </c>
      <c r="EC15" s="6">
        <v>77</v>
      </c>
      <c r="ED15" s="12" t="str">
        <f t="shared" si="102"/>
        <v>B+</v>
      </c>
      <c r="EE15" s="13">
        <f t="shared" si="103"/>
        <v>3.5</v>
      </c>
      <c r="EF15" s="3">
        <v>2</v>
      </c>
      <c r="EG15" s="3">
        <f t="shared" si="104"/>
        <v>7</v>
      </c>
      <c r="EH15" s="6">
        <v>71.900000000000006</v>
      </c>
      <c r="EI15" s="12" t="str">
        <f t="shared" si="105"/>
        <v>B</v>
      </c>
      <c r="EJ15" s="13">
        <f t="shared" si="106"/>
        <v>3</v>
      </c>
      <c r="EK15" s="3">
        <v>3</v>
      </c>
      <c r="EL15" s="3">
        <f t="shared" si="107"/>
        <v>9</v>
      </c>
      <c r="EM15" s="6">
        <v>79</v>
      </c>
      <c r="EN15" s="12" t="str">
        <f t="shared" si="108"/>
        <v>B+</v>
      </c>
      <c r="EO15" s="13">
        <f t="shared" si="109"/>
        <v>3.5</v>
      </c>
      <c r="EP15" s="3">
        <v>4</v>
      </c>
      <c r="EQ15" s="3">
        <f t="shared" si="110"/>
        <v>14</v>
      </c>
      <c r="ER15" s="6">
        <f t="shared" si="111"/>
        <v>90</v>
      </c>
      <c r="ES15" s="6">
        <f t="shared" si="112"/>
        <v>22</v>
      </c>
      <c r="ET15" s="6">
        <f t="shared" si="113"/>
        <v>80</v>
      </c>
      <c r="EU15" s="6">
        <f t="shared" si="114"/>
        <v>23</v>
      </c>
      <c r="EV15" s="6">
        <f t="shared" si="115"/>
        <v>70.5</v>
      </c>
      <c r="EW15" s="6">
        <f t="shared" si="116"/>
        <v>22</v>
      </c>
      <c r="EX15" s="6">
        <f t="shared" si="117"/>
        <v>240.5</v>
      </c>
      <c r="EY15" s="6">
        <f t="shared" si="118"/>
        <v>67</v>
      </c>
      <c r="EZ15" s="17">
        <f t="shared" si="119"/>
        <v>3.58955223880597</v>
      </c>
      <c r="FA15" s="7" t="str">
        <f t="shared" si="120"/>
        <v>Cum Laude</v>
      </c>
      <c r="FB15" s="14" t="str">
        <f t="shared" si="121"/>
        <v>Excellent</v>
      </c>
      <c r="FC15" s="6"/>
    </row>
    <row r="16" spans="1:159" ht="15" x14ac:dyDescent="0.25">
      <c r="A16" s="7">
        <v>14</v>
      </c>
      <c r="B16" s="6" t="s">
        <v>26</v>
      </c>
      <c r="C16" s="7">
        <v>172312018</v>
      </c>
      <c r="D16" s="6" t="s">
        <v>76</v>
      </c>
      <c r="E16" s="15" t="s">
        <v>77</v>
      </c>
      <c r="F16" s="15" t="s">
        <v>98</v>
      </c>
      <c r="G16" s="6"/>
      <c r="H16" s="3">
        <v>78</v>
      </c>
      <c r="I16" s="12" t="str">
        <f t="shared" si="28"/>
        <v>B+</v>
      </c>
      <c r="J16" s="13">
        <f t="shared" si="0"/>
        <v>3.5</v>
      </c>
      <c r="K16" s="3">
        <v>3</v>
      </c>
      <c r="L16" s="3">
        <f t="shared" si="29"/>
        <v>10.5</v>
      </c>
      <c r="M16" s="3">
        <v>80</v>
      </c>
      <c r="N16" s="12" t="str">
        <f t="shared" si="30"/>
        <v>A</v>
      </c>
      <c r="O16" s="13">
        <f t="shared" si="31"/>
        <v>4</v>
      </c>
      <c r="P16" s="3">
        <v>3</v>
      </c>
      <c r="Q16" s="3">
        <f t="shared" si="32"/>
        <v>12</v>
      </c>
      <c r="R16" s="3">
        <v>77</v>
      </c>
      <c r="S16" s="12" t="str">
        <f t="shared" si="33"/>
        <v>B+</v>
      </c>
      <c r="T16" s="13">
        <f t="shared" si="34"/>
        <v>3.5</v>
      </c>
      <c r="U16" s="3">
        <v>2</v>
      </c>
      <c r="V16" s="3">
        <f t="shared" si="35"/>
        <v>7</v>
      </c>
      <c r="W16" s="3">
        <v>78</v>
      </c>
      <c r="X16" s="12" t="str">
        <f t="shared" si="36"/>
        <v>B+</v>
      </c>
      <c r="Y16" s="13">
        <f t="shared" si="37"/>
        <v>3.5</v>
      </c>
      <c r="Z16" s="3">
        <v>2</v>
      </c>
      <c r="AA16" s="3">
        <f t="shared" si="38"/>
        <v>7</v>
      </c>
      <c r="AB16" s="3">
        <v>72</v>
      </c>
      <c r="AC16" s="12" t="str">
        <f t="shared" si="39"/>
        <v>B</v>
      </c>
      <c r="AD16" s="13">
        <f t="shared" si="40"/>
        <v>3</v>
      </c>
      <c r="AE16" s="3">
        <v>2</v>
      </c>
      <c r="AF16" s="3">
        <f t="shared" si="41"/>
        <v>6</v>
      </c>
      <c r="AG16" s="3">
        <v>74</v>
      </c>
      <c r="AH16" s="12" t="str">
        <f t="shared" si="42"/>
        <v>B</v>
      </c>
      <c r="AI16" s="13">
        <f t="shared" si="43"/>
        <v>3</v>
      </c>
      <c r="AJ16" s="3">
        <v>2</v>
      </c>
      <c r="AK16" s="3">
        <f t="shared" si="44"/>
        <v>6</v>
      </c>
      <c r="AL16" s="3">
        <v>76</v>
      </c>
      <c r="AM16" s="12" t="str">
        <f t="shared" si="45"/>
        <v>B+</v>
      </c>
      <c r="AN16" s="13">
        <f t="shared" si="46"/>
        <v>3.5</v>
      </c>
      <c r="AO16" s="3">
        <v>2</v>
      </c>
      <c r="AP16" s="3">
        <f t="shared" si="47"/>
        <v>7</v>
      </c>
      <c r="AQ16" s="3">
        <v>79</v>
      </c>
      <c r="AR16" s="12" t="str">
        <f t="shared" si="48"/>
        <v>B+</v>
      </c>
      <c r="AS16" s="13">
        <f t="shared" si="49"/>
        <v>3.5</v>
      </c>
      <c r="AT16" s="3">
        <v>3</v>
      </c>
      <c r="AU16" s="3">
        <f t="shared" si="50"/>
        <v>10.5</v>
      </c>
      <c r="AV16" s="3">
        <v>77</v>
      </c>
      <c r="AW16" s="12" t="str">
        <f t="shared" si="51"/>
        <v>B+</v>
      </c>
      <c r="AX16" s="13">
        <f t="shared" si="52"/>
        <v>3.5</v>
      </c>
      <c r="AY16" s="3">
        <v>3</v>
      </c>
      <c r="AZ16" s="3">
        <f t="shared" si="53"/>
        <v>10.5</v>
      </c>
      <c r="BA16" s="7">
        <v>81</v>
      </c>
      <c r="BB16" s="12" t="str">
        <f t="shared" si="54"/>
        <v>A</v>
      </c>
      <c r="BC16" s="13">
        <f t="shared" si="55"/>
        <v>4</v>
      </c>
      <c r="BD16" s="3">
        <v>2</v>
      </c>
      <c r="BE16" s="3">
        <f t="shared" si="56"/>
        <v>8</v>
      </c>
      <c r="BF16" s="3">
        <v>81</v>
      </c>
      <c r="BG16" s="12" t="str">
        <f t="shared" si="57"/>
        <v>A</v>
      </c>
      <c r="BH16" s="13">
        <f t="shared" si="58"/>
        <v>4</v>
      </c>
      <c r="BI16" s="3">
        <v>2</v>
      </c>
      <c r="BJ16" s="3">
        <f t="shared" si="59"/>
        <v>8</v>
      </c>
      <c r="BK16" s="6">
        <v>74</v>
      </c>
      <c r="BL16" s="12" t="str">
        <f t="shared" si="60"/>
        <v>B</v>
      </c>
      <c r="BM16" s="13">
        <f t="shared" si="61"/>
        <v>3</v>
      </c>
      <c r="BN16" s="3">
        <v>2</v>
      </c>
      <c r="BO16" s="3">
        <f t="shared" si="62"/>
        <v>6</v>
      </c>
      <c r="BP16" s="6">
        <v>77</v>
      </c>
      <c r="BQ16" s="12" t="str">
        <f t="shared" si="63"/>
        <v>B+</v>
      </c>
      <c r="BR16" s="13">
        <f t="shared" si="64"/>
        <v>3.5</v>
      </c>
      <c r="BS16" s="3">
        <v>3</v>
      </c>
      <c r="BT16" s="3">
        <f t="shared" si="65"/>
        <v>10.5</v>
      </c>
      <c r="BU16" s="3">
        <v>80</v>
      </c>
      <c r="BV16" s="12" t="str">
        <f t="shared" si="66"/>
        <v>A</v>
      </c>
      <c r="BW16" s="13">
        <f t="shared" si="67"/>
        <v>4</v>
      </c>
      <c r="BX16" s="3">
        <v>2</v>
      </c>
      <c r="BY16" s="3">
        <f t="shared" si="68"/>
        <v>8</v>
      </c>
      <c r="BZ16" s="6">
        <v>80</v>
      </c>
      <c r="CA16" s="12" t="str">
        <f t="shared" si="69"/>
        <v>A</v>
      </c>
      <c r="CB16" s="13">
        <f t="shared" si="70"/>
        <v>4</v>
      </c>
      <c r="CC16" s="3">
        <v>2</v>
      </c>
      <c r="CD16" s="3">
        <f t="shared" si="71"/>
        <v>8</v>
      </c>
      <c r="CE16" s="6">
        <v>78</v>
      </c>
      <c r="CF16" s="12" t="str">
        <f t="shared" si="72"/>
        <v>B+</v>
      </c>
      <c r="CG16" s="13">
        <f t="shared" si="73"/>
        <v>3.5</v>
      </c>
      <c r="CH16" s="3">
        <v>2</v>
      </c>
      <c r="CI16" s="3">
        <f t="shared" si="74"/>
        <v>7</v>
      </c>
      <c r="CJ16" s="6">
        <v>75</v>
      </c>
      <c r="CK16" s="12" t="str">
        <f t="shared" si="75"/>
        <v>B+</v>
      </c>
      <c r="CL16" s="13">
        <f t="shared" si="76"/>
        <v>3.5</v>
      </c>
      <c r="CM16" s="3">
        <v>3</v>
      </c>
      <c r="CN16" s="3">
        <f t="shared" si="77"/>
        <v>10.5</v>
      </c>
      <c r="CO16" s="6">
        <v>81</v>
      </c>
      <c r="CP16" s="12" t="str">
        <f t="shared" si="78"/>
        <v>A</v>
      </c>
      <c r="CQ16" s="13">
        <f t="shared" si="79"/>
        <v>4</v>
      </c>
      <c r="CR16" s="3">
        <v>2</v>
      </c>
      <c r="CS16" s="3">
        <f t="shared" si="80"/>
        <v>8</v>
      </c>
      <c r="CT16" s="6">
        <v>71</v>
      </c>
      <c r="CU16" s="12" t="str">
        <f t="shared" si="81"/>
        <v>B</v>
      </c>
      <c r="CV16" s="13">
        <f t="shared" si="82"/>
        <v>3</v>
      </c>
      <c r="CW16" s="3">
        <v>3</v>
      </c>
      <c r="CX16" s="3">
        <f t="shared" si="83"/>
        <v>9</v>
      </c>
      <c r="CY16" s="6">
        <v>79</v>
      </c>
      <c r="CZ16" s="12" t="str">
        <f t="shared" si="84"/>
        <v>B+</v>
      </c>
      <c r="DA16" s="13">
        <f t="shared" si="85"/>
        <v>3.5</v>
      </c>
      <c r="DB16" s="3">
        <v>2</v>
      </c>
      <c r="DC16" s="3">
        <f t="shared" si="86"/>
        <v>7</v>
      </c>
      <c r="DD16" s="6">
        <v>76.8</v>
      </c>
      <c r="DE16" s="12" t="str">
        <f t="shared" si="87"/>
        <v>B+</v>
      </c>
      <c r="DF16" s="13">
        <f t="shared" si="88"/>
        <v>3.5</v>
      </c>
      <c r="DG16" s="3">
        <v>2</v>
      </c>
      <c r="DH16" s="3">
        <f t="shared" si="89"/>
        <v>7</v>
      </c>
      <c r="DI16" s="6">
        <v>70.55</v>
      </c>
      <c r="DJ16" s="12" t="str">
        <f t="shared" si="90"/>
        <v>B</v>
      </c>
      <c r="DK16" s="13">
        <f t="shared" si="91"/>
        <v>3</v>
      </c>
      <c r="DL16" s="3">
        <v>3</v>
      </c>
      <c r="DM16" s="3">
        <f t="shared" si="92"/>
        <v>9</v>
      </c>
      <c r="DN16" s="6">
        <v>76.8</v>
      </c>
      <c r="DO16" s="12" t="str">
        <f t="shared" si="93"/>
        <v>B+</v>
      </c>
      <c r="DP16" s="13">
        <f t="shared" si="94"/>
        <v>3.5</v>
      </c>
      <c r="DQ16" s="3">
        <v>2</v>
      </c>
      <c r="DR16" s="3">
        <f t="shared" si="95"/>
        <v>7</v>
      </c>
      <c r="DS16" s="6">
        <v>80</v>
      </c>
      <c r="DT16" s="12" t="str">
        <f t="shared" si="96"/>
        <v>A</v>
      </c>
      <c r="DU16" s="13">
        <f t="shared" si="97"/>
        <v>4</v>
      </c>
      <c r="DV16" s="3">
        <v>2</v>
      </c>
      <c r="DW16" s="3">
        <f t="shared" si="98"/>
        <v>8</v>
      </c>
      <c r="DX16" s="6">
        <v>74</v>
      </c>
      <c r="DY16" s="12" t="str">
        <f t="shared" si="99"/>
        <v>B</v>
      </c>
      <c r="DZ16" s="13">
        <f t="shared" si="100"/>
        <v>3</v>
      </c>
      <c r="EA16" s="3">
        <v>2</v>
      </c>
      <c r="EB16" s="3">
        <f t="shared" si="101"/>
        <v>6</v>
      </c>
      <c r="EC16" s="6">
        <v>83</v>
      </c>
      <c r="ED16" s="12" t="str">
        <f t="shared" si="102"/>
        <v>A</v>
      </c>
      <c r="EE16" s="13">
        <f t="shared" si="103"/>
        <v>4</v>
      </c>
      <c r="EF16" s="3">
        <v>2</v>
      </c>
      <c r="EG16" s="3">
        <f t="shared" si="104"/>
        <v>8</v>
      </c>
      <c r="EH16" s="6">
        <v>79.150000000000006</v>
      </c>
      <c r="EI16" s="12" t="str">
        <f t="shared" si="105"/>
        <v>B+</v>
      </c>
      <c r="EJ16" s="13">
        <f t="shared" si="106"/>
        <v>3.5</v>
      </c>
      <c r="EK16" s="3">
        <v>3</v>
      </c>
      <c r="EL16" s="3">
        <f t="shared" si="107"/>
        <v>10.5</v>
      </c>
      <c r="EM16" s="6">
        <v>80.2</v>
      </c>
      <c r="EN16" s="12" t="str">
        <f t="shared" si="108"/>
        <v>A</v>
      </c>
      <c r="EO16" s="13">
        <f t="shared" si="109"/>
        <v>4</v>
      </c>
      <c r="EP16" s="3">
        <v>4</v>
      </c>
      <c r="EQ16" s="3">
        <f t="shared" si="110"/>
        <v>16</v>
      </c>
      <c r="ER16" s="6">
        <f t="shared" si="111"/>
        <v>87</v>
      </c>
      <c r="ES16" s="6">
        <f t="shared" si="112"/>
        <v>22</v>
      </c>
      <c r="ET16" s="6">
        <f t="shared" si="113"/>
        <v>83</v>
      </c>
      <c r="EU16" s="6">
        <f t="shared" si="114"/>
        <v>23</v>
      </c>
      <c r="EV16" s="6">
        <f t="shared" si="115"/>
        <v>78.5</v>
      </c>
      <c r="EW16" s="6">
        <f t="shared" si="116"/>
        <v>22</v>
      </c>
      <c r="EX16" s="6">
        <f t="shared" si="117"/>
        <v>248.5</v>
      </c>
      <c r="EY16" s="6">
        <f t="shared" si="118"/>
        <v>67</v>
      </c>
      <c r="EZ16" s="17">
        <f t="shared" si="119"/>
        <v>3.7089552238805972</v>
      </c>
      <c r="FA16" s="7" t="str">
        <f t="shared" si="120"/>
        <v>Cum Laude</v>
      </c>
      <c r="FB16" s="14" t="str">
        <f t="shared" si="121"/>
        <v>Excellent</v>
      </c>
      <c r="FC16" s="6" t="s">
        <v>95</v>
      </c>
    </row>
    <row r="17" spans="41:41" x14ac:dyDescent="0.2">
      <c r="AO17" s="11"/>
    </row>
  </sheetData>
  <mergeCells count="44">
    <mergeCell ref="AQ1:AU1"/>
    <mergeCell ref="AV1:AZ1"/>
    <mergeCell ref="A1:A2"/>
    <mergeCell ref="B1:B2"/>
    <mergeCell ref="C1:C2"/>
    <mergeCell ref="D1:D2"/>
    <mergeCell ref="E1:E2"/>
    <mergeCell ref="G1:G2"/>
    <mergeCell ref="AB1:AF1"/>
    <mergeCell ref="H1:L1"/>
    <mergeCell ref="M1:Q1"/>
    <mergeCell ref="R1:V1"/>
    <mergeCell ref="W1:AA1"/>
    <mergeCell ref="AG1:AK1"/>
    <mergeCell ref="AL1:AP1"/>
    <mergeCell ref="F1:F2"/>
    <mergeCell ref="DD1:DH1"/>
    <mergeCell ref="BA1:BE1"/>
    <mergeCell ref="BF1:BJ1"/>
    <mergeCell ref="BK1:BO1"/>
    <mergeCell ref="BP1:BT1"/>
    <mergeCell ref="BU1:BY1"/>
    <mergeCell ref="BZ1:CD1"/>
    <mergeCell ref="CE1:CI1"/>
    <mergeCell ref="CJ1:CN1"/>
    <mergeCell ref="CO1:CS1"/>
    <mergeCell ref="CT1:CX1"/>
    <mergeCell ref="CY1:DC1"/>
    <mergeCell ref="EM1:EQ1"/>
    <mergeCell ref="DI1:DM1"/>
    <mergeCell ref="ER1:ES1"/>
    <mergeCell ref="DN1:DR1"/>
    <mergeCell ref="DS1:DW1"/>
    <mergeCell ref="DX1:EB1"/>
    <mergeCell ref="EC1:EG1"/>
    <mergeCell ref="EH1:EL1"/>
    <mergeCell ref="FB1:FB2"/>
    <mergeCell ref="FC1:FC2"/>
    <mergeCell ref="ET1:EU1"/>
    <mergeCell ref="EV1:EW1"/>
    <mergeCell ref="EX1:EX2"/>
    <mergeCell ref="EY1:EY2"/>
    <mergeCell ref="EZ1:EZ2"/>
    <mergeCell ref="FA1:F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Transkip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2025-11-27T07:41:11Z</dcterms:created>
  <dcterms:modified xsi:type="dcterms:W3CDTF">2025-11-29T14:01:34Z</dcterms:modified>
</cp:coreProperties>
</file>