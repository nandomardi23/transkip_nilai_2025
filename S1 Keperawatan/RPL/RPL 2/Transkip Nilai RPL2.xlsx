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050090E0-A24E-462B-9E60-E2C5364B6F05}" xr6:coauthVersionLast="47" xr6:coauthVersionMax="47" xr10:uidLastSave="{00000000-0000-0000-0000-000000000000}"/>
  <bookViews>
    <workbookView xWindow="-120" yWindow="-120" windowWidth="29040" windowHeight="1572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3" i="1"/>
  <c r="DJ4" i="1"/>
  <c r="DK4" i="1" s="1"/>
  <c r="DJ5" i="1"/>
  <c r="DK5" i="1"/>
  <c r="DJ6" i="1"/>
  <c r="DK6" i="1" s="1"/>
  <c r="DJ7" i="1"/>
  <c r="DK7" i="1"/>
  <c r="DJ8" i="1"/>
  <c r="DK8" i="1" s="1"/>
  <c r="DJ9" i="1"/>
  <c r="DK9" i="1"/>
  <c r="DJ10" i="1"/>
  <c r="DK10" i="1" s="1"/>
  <c r="DJ11" i="1"/>
  <c r="DK11" i="1"/>
  <c r="DJ12" i="1"/>
  <c r="DK12" i="1"/>
  <c r="DJ13" i="1"/>
  <c r="DK13" i="1"/>
  <c r="DJ14" i="1"/>
  <c r="DK14" i="1"/>
  <c r="DJ15" i="1"/>
  <c r="DK15" i="1" s="1"/>
  <c r="DJ16" i="1"/>
  <c r="DK16" i="1"/>
  <c r="DJ17" i="1"/>
  <c r="DK17" i="1" s="1"/>
  <c r="DJ18" i="1"/>
  <c r="DK18" i="1"/>
  <c r="DJ19" i="1"/>
  <c r="DK19" i="1" s="1"/>
  <c r="DJ20" i="1"/>
  <c r="DK20" i="1"/>
  <c r="DJ21" i="1"/>
  <c r="DK21" i="1"/>
  <c r="DJ22" i="1"/>
  <c r="DK22" i="1"/>
  <c r="DJ23" i="1"/>
  <c r="DK23" i="1"/>
  <c r="DJ24" i="1"/>
  <c r="DK24" i="1" s="1"/>
  <c r="DJ25" i="1"/>
  <c r="DK25" i="1"/>
  <c r="DJ26" i="1"/>
  <c r="DK26" i="1" s="1"/>
  <c r="DJ27" i="1"/>
  <c r="DK27" i="1"/>
  <c r="DJ28" i="1"/>
  <c r="DK28" i="1" s="1"/>
  <c r="DJ29" i="1"/>
  <c r="DK29" i="1"/>
  <c r="DJ30" i="1"/>
  <c r="DK30" i="1"/>
  <c r="DJ31" i="1"/>
  <c r="DK31" i="1"/>
  <c r="DJ32" i="1"/>
  <c r="DK32" i="1"/>
  <c r="DJ33" i="1"/>
  <c r="DK33" i="1" s="1"/>
  <c r="DJ34" i="1"/>
  <c r="DK34" i="1"/>
  <c r="DJ35" i="1"/>
  <c r="DK35" i="1" s="1"/>
  <c r="DJ36" i="1"/>
  <c r="DK36" i="1"/>
  <c r="DJ37" i="1"/>
  <c r="DK37" i="1" s="1"/>
  <c r="DJ38" i="1"/>
  <c r="DK38" i="1"/>
  <c r="DJ39" i="1"/>
  <c r="DK39" i="1"/>
  <c r="DJ40" i="1"/>
  <c r="DK40" i="1"/>
  <c r="DJ41" i="1"/>
  <c r="DK41" i="1"/>
  <c r="DJ3" i="1"/>
  <c r="DK3" i="1" s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3" i="1"/>
  <c r="DE4" i="1"/>
  <c r="DF4" i="1"/>
  <c r="DE5" i="1"/>
  <c r="DF5" i="1" s="1"/>
  <c r="DE6" i="1"/>
  <c r="DF6" i="1" s="1"/>
  <c r="DE7" i="1"/>
  <c r="DF7" i="1"/>
  <c r="DE8" i="1"/>
  <c r="DF8" i="1" s="1"/>
  <c r="DE9" i="1"/>
  <c r="DF9" i="1"/>
  <c r="DE10" i="1"/>
  <c r="DF10" i="1"/>
  <c r="DE11" i="1"/>
  <c r="DF11" i="1"/>
  <c r="DE12" i="1"/>
  <c r="DF12" i="1"/>
  <c r="DE13" i="1"/>
  <c r="DF13" i="1"/>
  <c r="DE14" i="1"/>
  <c r="DF14" i="1" s="1"/>
  <c r="DE15" i="1"/>
  <c r="DF15" i="1" s="1"/>
  <c r="DE16" i="1"/>
  <c r="DF16" i="1"/>
  <c r="DE17" i="1"/>
  <c r="DF17" i="1" s="1"/>
  <c r="DE18" i="1"/>
  <c r="DF18" i="1"/>
  <c r="DE19" i="1"/>
  <c r="DF19" i="1"/>
  <c r="DE20" i="1"/>
  <c r="DF20" i="1"/>
  <c r="DE21" i="1"/>
  <c r="DF21" i="1"/>
  <c r="DE22" i="1"/>
  <c r="DF22" i="1"/>
  <c r="DE23" i="1"/>
  <c r="DF23" i="1" s="1"/>
  <c r="DE24" i="1"/>
  <c r="DF24" i="1" s="1"/>
  <c r="DE25" i="1"/>
  <c r="DF25" i="1"/>
  <c r="DE26" i="1"/>
  <c r="DF26" i="1" s="1"/>
  <c r="DE27" i="1"/>
  <c r="DF27" i="1"/>
  <c r="DE28" i="1"/>
  <c r="DF28" i="1" s="1"/>
  <c r="DE29" i="1"/>
  <c r="DF29" i="1"/>
  <c r="DE30" i="1"/>
  <c r="DF30" i="1"/>
  <c r="DE31" i="1"/>
  <c r="DF31" i="1"/>
  <c r="DE32" i="1"/>
  <c r="DF32" i="1" s="1"/>
  <c r="DE33" i="1"/>
  <c r="DF33" i="1" s="1"/>
  <c r="DE34" i="1"/>
  <c r="DF34" i="1"/>
  <c r="DE35" i="1"/>
  <c r="DF35" i="1" s="1"/>
  <c r="DE36" i="1"/>
  <c r="DF36" i="1"/>
  <c r="DE37" i="1"/>
  <c r="DF37" i="1"/>
  <c r="DE38" i="1"/>
  <c r="DF38" i="1"/>
  <c r="DE39" i="1"/>
  <c r="DF39" i="1"/>
  <c r="DE40" i="1"/>
  <c r="DF40" i="1"/>
  <c r="DE41" i="1"/>
  <c r="DF41" i="1" s="1"/>
  <c r="DE3" i="1"/>
  <c r="DF3" i="1" s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3" i="1"/>
  <c r="CZ4" i="1"/>
  <c r="DA4" i="1" s="1"/>
  <c r="CZ5" i="1"/>
  <c r="DA5" i="1" s="1"/>
  <c r="CZ6" i="1"/>
  <c r="DA6" i="1" s="1"/>
  <c r="CZ7" i="1"/>
  <c r="DA7" i="1"/>
  <c r="CZ8" i="1"/>
  <c r="DA8" i="1"/>
  <c r="CZ9" i="1"/>
  <c r="DA9" i="1"/>
  <c r="CZ10" i="1"/>
  <c r="DA10" i="1"/>
  <c r="CZ11" i="1"/>
  <c r="DA11" i="1"/>
  <c r="CZ12" i="1"/>
  <c r="DA12" i="1"/>
  <c r="CZ13" i="1"/>
  <c r="DA13" i="1" s="1"/>
  <c r="CZ14" i="1"/>
  <c r="DA14" i="1" s="1"/>
  <c r="CZ15" i="1"/>
  <c r="DA15" i="1" s="1"/>
  <c r="CZ16" i="1"/>
  <c r="DA16" i="1"/>
  <c r="CZ17" i="1"/>
  <c r="DA17" i="1"/>
  <c r="CZ18" i="1"/>
  <c r="DA18" i="1"/>
  <c r="CZ19" i="1"/>
  <c r="DA19" i="1"/>
  <c r="CZ20" i="1"/>
  <c r="DA20" i="1"/>
  <c r="CZ21" i="1"/>
  <c r="DA21" i="1"/>
  <c r="CZ22" i="1"/>
  <c r="DA22" i="1" s="1"/>
  <c r="CZ23" i="1"/>
  <c r="DA23" i="1" s="1"/>
  <c r="CZ24" i="1"/>
  <c r="DA24" i="1" s="1"/>
  <c r="CZ25" i="1"/>
  <c r="DA25" i="1"/>
  <c r="CZ26" i="1"/>
  <c r="DA26" i="1"/>
  <c r="CZ27" i="1"/>
  <c r="DA27" i="1"/>
  <c r="CZ28" i="1"/>
  <c r="DA28" i="1"/>
  <c r="CZ29" i="1"/>
  <c r="DA29" i="1"/>
  <c r="CZ30" i="1"/>
  <c r="DA30" i="1"/>
  <c r="CZ31" i="1"/>
  <c r="DA31" i="1" s="1"/>
  <c r="CZ32" i="1"/>
  <c r="DA32" i="1" s="1"/>
  <c r="CZ33" i="1"/>
  <c r="DA33" i="1" s="1"/>
  <c r="CZ34" i="1"/>
  <c r="DA34" i="1"/>
  <c r="CZ35" i="1"/>
  <c r="DA35" i="1"/>
  <c r="CZ36" i="1"/>
  <c r="DA36" i="1"/>
  <c r="CZ37" i="1"/>
  <c r="DA37" i="1"/>
  <c r="CZ38" i="1"/>
  <c r="DA38" i="1"/>
  <c r="CZ39" i="1"/>
  <c r="DA39" i="1"/>
  <c r="CZ40" i="1"/>
  <c r="DA40" i="1" s="1"/>
  <c r="CZ41" i="1"/>
  <c r="DA41" i="1" s="1"/>
  <c r="CZ3" i="1"/>
  <c r="DA3" i="1" s="1"/>
  <c r="CX4" i="1"/>
  <c r="CX5" i="1"/>
  <c r="CX6" i="1"/>
  <c r="CX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3" i="1"/>
  <c r="CU4" i="1"/>
  <c r="CV4" i="1" s="1"/>
  <c r="CU5" i="1"/>
  <c r="CV5" i="1"/>
  <c r="CU6" i="1"/>
  <c r="CV6" i="1" s="1"/>
  <c r="CU7" i="1"/>
  <c r="CV7" i="1" s="1"/>
  <c r="CU8" i="1"/>
  <c r="CV8" i="1"/>
  <c r="CU9" i="1"/>
  <c r="CV9" i="1"/>
  <c r="CU10" i="1"/>
  <c r="CV10" i="1"/>
  <c r="CU11" i="1"/>
  <c r="CV11" i="1"/>
  <c r="CU12" i="1"/>
  <c r="CV12" i="1"/>
  <c r="CU13" i="1"/>
  <c r="CV13" i="1" s="1"/>
  <c r="CU14" i="1"/>
  <c r="CV14" i="1"/>
  <c r="CU15" i="1"/>
  <c r="CV15" i="1" s="1"/>
  <c r="CU16" i="1"/>
  <c r="CV16" i="1" s="1"/>
  <c r="CU17" i="1"/>
  <c r="CV17" i="1"/>
  <c r="CU18" i="1"/>
  <c r="CV18" i="1"/>
  <c r="CU19" i="1"/>
  <c r="CV19" i="1"/>
  <c r="CU20" i="1"/>
  <c r="CV20" i="1"/>
  <c r="CU21" i="1"/>
  <c r="CV21" i="1"/>
  <c r="CU22" i="1"/>
  <c r="CV22" i="1" s="1"/>
  <c r="CU23" i="1"/>
  <c r="CV23" i="1"/>
  <c r="CU24" i="1"/>
  <c r="CV24" i="1" s="1"/>
  <c r="CU25" i="1"/>
  <c r="CV25" i="1" s="1"/>
  <c r="CU26" i="1"/>
  <c r="CV26" i="1"/>
  <c r="CU27" i="1"/>
  <c r="CV27" i="1"/>
  <c r="CU28" i="1"/>
  <c r="CV28" i="1"/>
  <c r="CU29" i="1"/>
  <c r="CV29" i="1"/>
  <c r="CU30" i="1"/>
  <c r="CV30" i="1"/>
  <c r="CU31" i="1"/>
  <c r="CV31" i="1" s="1"/>
  <c r="CU32" i="1"/>
  <c r="CV32" i="1"/>
  <c r="CU33" i="1"/>
  <c r="CV33" i="1" s="1"/>
  <c r="CU34" i="1"/>
  <c r="CV34" i="1" s="1"/>
  <c r="CU35" i="1"/>
  <c r="CV35" i="1"/>
  <c r="CU36" i="1"/>
  <c r="CV36" i="1"/>
  <c r="CU37" i="1"/>
  <c r="CV37" i="1"/>
  <c r="CU38" i="1"/>
  <c r="CV38" i="1"/>
  <c r="CU39" i="1"/>
  <c r="CV39" i="1"/>
  <c r="CU40" i="1"/>
  <c r="CV40" i="1" s="1"/>
  <c r="CU41" i="1"/>
  <c r="CV41" i="1"/>
  <c r="CU3" i="1"/>
  <c r="CV3" i="1" s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3" i="1"/>
  <c r="CP3" i="1"/>
  <c r="CQ3" i="1" s="1"/>
  <c r="CP4" i="1"/>
  <c r="CQ4" i="1"/>
  <c r="CP5" i="1"/>
  <c r="CQ5" i="1"/>
  <c r="CP6" i="1"/>
  <c r="CQ6" i="1" s="1"/>
  <c r="CP7" i="1"/>
  <c r="CQ7" i="1" s="1"/>
  <c r="CP8" i="1"/>
  <c r="CQ8" i="1"/>
  <c r="CP9" i="1"/>
  <c r="CQ9" i="1" s="1"/>
  <c r="CP10" i="1"/>
  <c r="CQ10" i="1"/>
  <c r="CP11" i="1"/>
  <c r="CQ11" i="1"/>
  <c r="CP12" i="1"/>
  <c r="CQ12" i="1" s="1"/>
  <c r="CP13" i="1"/>
  <c r="CQ13" i="1"/>
  <c r="CP14" i="1"/>
  <c r="CQ14" i="1" s="1"/>
  <c r="CP16" i="1"/>
  <c r="CQ16" i="1" s="1"/>
  <c r="CP17" i="1"/>
  <c r="CQ17" i="1" s="1"/>
  <c r="CP18" i="1"/>
  <c r="CQ18" i="1"/>
  <c r="CP19" i="1"/>
  <c r="CQ19" i="1"/>
  <c r="CP20" i="1"/>
  <c r="CQ20" i="1"/>
  <c r="CP21" i="1"/>
  <c r="CQ21" i="1"/>
  <c r="CP22" i="1"/>
  <c r="CQ22" i="1"/>
  <c r="CP23" i="1"/>
  <c r="CQ23" i="1"/>
  <c r="CP24" i="1"/>
  <c r="CQ24" i="1"/>
  <c r="CP25" i="1"/>
  <c r="CQ25" i="1" s="1"/>
  <c r="CP26" i="1"/>
  <c r="CQ26" i="1" s="1"/>
  <c r="CP27" i="1"/>
  <c r="CQ27" i="1"/>
  <c r="CP28" i="1"/>
  <c r="CQ28" i="1"/>
  <c r="CP29" i="1"/>
  <c r="CQ29" i="1"/>
  <c r="CP30" i="1"/>
  <c r="CQ30" i="1"/>
  <c r="CP31" i="1"/>
  <c r="CQ31" i="1"/>
  <c r="CP32" i="1"/>
  <c r="CQ32" i="1"/>
  <c r="CP33" i="1"/>
  <c r="CQ33" i="1"/>
  <c r="CP34" i="1"/>
  <c r="CQ34" i="1" s="1"/>
  <c r="CP35" i="1"/>
  <c r="CQ35" i="1" s="1"/>
  <c r="CP36" i="1"/>
  <c r="CQ36" i="1"/>
  <c r="CP37" i="1"/>
  <c r="CQ37" i="1"/>
  <c r="CP38" i="1"/>
  <c r="CQ38" i="1"/>
  <c r="CP39" i="1"/>
  <c r="CQ39" i="1"/>
  <c r="CP40" i="1"/>
  <c r="CQ40" i="1"/>
  <c r="CP41" i="1"/>
  <c r="CQ41" i="1"/>
  <c r="CP15" i="1"/>
  <c r="CQ15" i="1" s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3" i="1"/>
  <c r="CK4" i="1"/>
  <c r="CL4" i="1" s="1"/>
  <c r="CK5" i="1"/>
  <c r="CL5" i="1" s="1"/>
  <c r="CK6" i="1"/>
  <c r="CL6" i="1" s="1"/>
  <c r="CK7" i="1"/>
  <c r="CL7" i="1"/>
  <c r="CK8" i="1"/>
  <c r="CL8" i="1"/>
  <c r="CK9" i="1"/>
  <c r="CL9" i="1"/>
  <c r="CK10" i="1"/>
  <c r="CL10" i="1"/>
  <c r="CK11" i="1"/>
  <c r="CL11" i="1"/>
  <c r="CK12" i="1"/>
  <c r="CL12" i="1" s="1"/>
  <c r="CK13" i="1"/>
  <c r="CL13" i="1" s="1"/>
  <c r="CK14" i="1"/>
  <c r="CL14" i="1"/>
  <c r="CK15" i="1"/>
  <c r="CL15" i="1" s="1"/>
  <c r="CK16" i="1"/>
  <c r="CL16" i="1"/>
  <c r="CK17" i="1"/>
  <c r="CL17" i="1"/>
  <c r="CK18" i="1"/>
  <c r="CL18" i="1"/>
  <c r="CK19" i="1"/>
  <c r="CL19" i="1"/>
  <c r="CK20" i="1"/>
  <c r="CL20" i="1"/>
  <c r="CK21" i="1"/>
  <c r="CL21" i="1" s="1"/>
  <c r="CK22" i="1"/>
  <c r="CL22" i="1" s="1"/>
  <c r="CK23" i="1"/>
  <c r="CL23" i="1"/>
  <c r="CK24" i="1"/>
  <c r="CL24" i="1" s="1"/>
  <c r="CK25" i="1"/>
  <c r="CL25" i="1"/>
  <c r="CK26" i="1"/>
  <c r="CL26" i="1"/>
  <c r="CK27" i="1"/>
  <c r="CL27" i="1" s="1"/>
  <c r="CK28" i="1"/>
  <c r="CL28" i="1"/>
  <c r="CK29" i="1"/>
  <c r="CL29" i="1"/>
  <c r="CK30" i="1"/>
  <c r="CL30" i="1" s="1"/>
  <c r="CK31" i="1"/>
  <c r="CL31" i="1" s="1"/>
  <c r="CK32" i="1"/>
  <c r="CL32" i="1"/>
  <c r="CK33" i="1"/>
  <c r="CL33" i="1" s="1"/>
  <c r="CK34" i="1"/>
  <c r="CL34" i="1"/>
  <c r="CK35" i="1"/>
  <c r="CL35" i="1"/>
  <c r="CK36" i="1"/>
  <c r="CL36" i="1" s="1"/>
  <c r="CK37" i="1"/>
  <c r="CL37" i="1"/>
  <c r="CK38" i="1"/>
  <c r="CL38" i="1"/>
  <c r="CK39" i="1"/>
  <c r="CL39" i="1" s="1"/>
  <c r="CK40" i="1"/>
  <c r="CL40" i="1" s="1"/>
  <c r="CK41" i="1"/>
  <c r="CL41" i="1"/>
  <c r="CK3" i="1"/>
  <c r="CL3" i="1" s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3" i="1"/>
  <c r="CF41" i="1"/>
  <c r="CG41" i="1"/>
  <c r="CF4" i="1"/>
  <c r="CG4" i="1"/>
  <c r="CF5" i="1"/>
  <c r="CG5" i="1" s="1"/>
  <c r="CF6" i="1"/>
  <c r="CG6" i="1" s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 s="1"/>
  <c r="CF15" i="1"/>
  <c r="CG15" i="1" s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 s="1"/>
  <c r="CF24" i="1"/>
  <c r="CG24" i="1" s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 s="1"/>
  <c r="CF33" i="1"/>
  <c r="CG33" i="1" s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3" i="1"/>
  <c r="CG3" i="1" s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3" i="1"/>
  <c r="CA3" i="1"/>
  <c r="CB3" i="1"/>
  <c r="CA4" i="1"/>
  <c r="CB4" i="1" s="1"/>
  <c r="CA5" i="1"/>
  <c r="CB5" i="1"/>
  <c r="CA6" i="1"/>
  <c r="CB6" i="1" s="1"/>
  <c r="CA7" i="1"/>
  <c r="CB7" i="1" s="1"/>
  <c r="CA8" i="1"/>
  <c r="CB8" i="1"/>
  <c r="CA9" i="1"/>
  <c r="CB9" i="1" s="1"/>
  <c r="CA10" i="1"/>
  <c r="CB10" i="1"/>
  <c r="CA11" i="1"/>
  <c r="CB11" i="1"/>
  <c r="CA12" i="1"/>
  <c r="CB12" i="1"/>
  <c r="CA13" i="1"/>
  <c r="CB13" i="1" s="1"/>
  <c r="CA14" i="1"/>
  <c r="CB14" i="1"/>
  <c r="CA16" i="1"/>
  <c r="CB16" i="1"/>
  <c r="CA17" i="1"/>
  <c r="CB17" i="1" s="1"/>
  <c r="CA18" i="1"/>
  <c r="CB18" i="1" s="1"/>
  <c r="CA19" i="1"/>
  <c r="CB19" i="1"/>
  <c r="CA20" i="1"/>
  <c r="CB20" i="1"/>
  <c r="CA21" i="1"/>
  <c r="CB21" i="1"/>
  <c r="CA22" i="1"/>
  <c r="CB22" i="1"/>
  <c r="CA23" i="1"/>
  <c r="CB23" i="1"/>
  <c r="CA24" i="1"/>
  <c r="CB24" i="1"/>
  <c r="CA25" i="1"/>
  <c r="CB25" i="1"/>
  <c r="CA26" i="1"/>
  <c r="CB26" i="1" s="1"/>
  <c r="CA27" i="1"/>
  <c r="CB27" i="1" s="1"/>
  <c r="CA28" i="1"/>
  <c r="CB28" i="1"/>
  <c r="CA29" i="1"/>
  <c r="CB29" i="1"/>
  <c r="CA30" i="1"/>
  <c r="CB30" i="1"/>
  <c r="CA31" i="1"/>
  <c r="CB31" i="1"/>
  <c r="CA32" i="1"/>
  <c r="CB32" i="1"/>
  <c r="CA33" i="1"/>
  <c r="CB33" i="1"/>
  <c r="CA34" i="1"/>
  <c r="CB34" i="1"/>
  <c r="CA35" i="1"/>
  <c r="CB35" i="1" s="1"/>
  <c r="CA36" i="1"/>
  <c r="CB36" i="1" s="1"/>
  <c r="CA37" i="1"/>
  <c r="CB37" i="1"/>
  <c r="CA38" i="1"/>
  <c r="CB38" i="1" s="1"/>
  <c r="CA39" i="1"/>
  <c r="CB39" i="1"/>
  <c r="CA40" i="1"/>
  <c r="CB40" i="1"/>
  <c r="CA41" i="1"/>
  <c r="CB41" i="1" s="1"/>
  <c r="CA15" i="1"/>
  <c r="CB15" i="1" s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3" i="1"/>
  <c r="BV4" i="1"/>
  <c r="BW4" i="1" s="1"/>
  <c r="BV5" i="1"/>
  <c r="BW5" i="1"/>
  <c r="BV6" i="1"/>
  <c r="BW6" i="1" s="1"/>
  <c r="BV7" i="1"/>
  <c r="BW7" i="1" s="1"/>
  <c r="BV8" i="1"/>
  <c r="BW8" i="1" s="1"/>
  <c r="BV9" i="1"/>
  <c r="BW9" i="1"/>
  <c r="BV10" i="1"/>
  <c r="BW10" i="1"/>
  <c r="BV11" i="1"/>
  <c r="BW11" i="1"/>
  <c r="BV12" i="1"/>
  <c r="BW12" i="1" s="1"/>
  <c r="BV13" i="1"/>
  <c r="BW13" i="1" s="1"/>
  <c r="BV14" i="1"/>
  <c r="BW14" i="1"/>
  <c r="BV15" i="1"/>
  <c r="BW15" i="1" s="1"/>
  <c r="BV16" i="1"/>
  <c r="BW16" i="1" s="1"/>
  <c r="BV17" i="1"/>
  <c r="BW17" i="1"/>
  <c r="BV18" i="1"/>
  <c r="BW18" i="1"/>
  <c r="BV19" i="1"/>
  <c r="BW19" i="1"/>
  <c r="BV20" i="1"/>
  <c r="BW20" i="1"/>
  <c r="BV21" i="1"/>
  <c r="BW21" i="1" s="1"/>
  <c r="BV22" i="1"/>
  <c r="BW22" i="1" s="1"/>
  <c r="BV23" i="1"/>
  <c r="BW23" i="1"/>
  <c r="BV24" i="1"/>
  <c r="BW24" i="1" s="1"/>
  <c r="BV25" i="1"/>
  <c r="BW25" i="1" s="1"/>
  <c r="BV26" i="1"/>
  <c r="BW26" i="1"/>
  <c r="BV27" i="1"/>
  <c r="BW27" i="1"/>
  <c r="BV28" i="1"/>
  <c r="BW28" i="1"/>
  <c r="BV29" i="1"/>
  <c r="BW29" i="1"/>
  <c r="BV30" i="1"/>
  <c r="BW30" i="1" s="1"/>
  <c r="BV31" i="1"/>
  <c r="BW31" i="1" s="1"/>
  <c r="BV32" i="1"/>
  <c r="BW32" i="1"/>
  <c r="BV33" i="1"/>
  <c r="BW33" i="1" s="1"/>
  <c r="BV34" i="1"/>
  <c r="BW34" i="1" s="1"/>
  <c r="BV35" i="1"/>
  <c r="BW35" i="1"/>
  <c r="BV36" i="1"/>
  <c r="BW36" i="1"/>
  <c r="BV37" i="1"/>
  <c r="BW37" i="1"/>
  <c r="BV38" i="1"/>
  <c r="BW38" i="1"/>
  <c r="BV39" i="1"/>
  <c r="BW39" i="1" s="1"/>
  <c r="BV40" i="1"/>
  <c r="BW40" i="1" s="1"/>
  <c r="BV41" i="1"/>
  <c r="BW41" i="1"/>
  <c r="BV3" i="1"/>
  <c r="BW3" i="1" s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3" i="1"/>
  <c r="BQ4" i="1"/>
  <c r="BR4" i="1" s="1"/>
  <c r="BQ5" i="1"/>
  <c r="BR5" i="1" s="1"/>
  <c r="BQ6" i="1"/>
  <c r="BR6" i="1" s="1"/>
  <c r="BQ7" i="1"/>
  <c r="BR7" i="1"/>
  <c r="BQ8" i="1"/>
  <c r="BR8" i="1"/>
  <c r="BQ9" i="1"/>
  <c r="BR9" i="1"/>
  <c r="BQ10" i="1"/>
  <c r="BR10" i="1"/>
  <c r="BQ11" i="1"/>
  <c r="BR11" i="1"/>
  <c r="BQ12" i="1"/>
  <c r="BR12" i="1"/>
  <c r="BQ13" i="1"/>
  <c r="BR13" i="1" s="1"/>
  <c r="BQ14" i="1"/>
  <c r="BR14" i="1" s="1"/>
  <c r="BQ15" i="1"/>
  <c r="BR15" i="1" s="1"/>
  <c r="BQ16" i="1"/>
  <c r="BR16" i="1"/>
  <c r="BQ17" i="1"/>
  <c r="BR17" i="1"/>
  <c r="BQ18" i="1"/>
  <c r="BR18" i="1"/>
  <c r="BQ19" i="1"/>
  <c r="BR19" i="1"/>
  <c r="BQ20" i="1"/>
  <c r="BR20" i="1"/>
  <c r="BQ21" i="1"/>
  <c r="BR21" i="1"/>
  <c r="BQ22" i="1"/>
  <c r="BR22" i="1" s="1"/>
  <c r="BQ23" i="1"/>
  <c r="BR23" i="1" s="1"/>
  <c r="BQ24" i="1"/>
  <c r="BR24" i="1" s="1"/>
  <c r="BQ25" i="1"/>
  <c r="BR25" i="1"/>
  <c r="BQ26" i="1"/>
  <c r="BR26" i="1"/>
  <c r="BQ27" i="1"/>
  <c r="BR27" i="1"/>
  <c r="BQ28" i="1"/>
  <c r="BR28" i="1"/>
  <c r="BQ29" i="1"/>
  <c r="BR29" i="1"/>
  <c r="BQ30" i="1"/>
  <c r="BR30" i="1"/>
  <c r="BQ31" i="1"/>
  <c r="BR31" i="1" s="1"/>
  <c r="BQ32" i="1"/>
  <c r="BR32" i="1" s="1"/>
  <c r="BQ33" i="1"/>
  <c r="BR33" i="1" s="1"/>
  <c r="BQ34" i="1"/>
  <c r="BR34" i="1"/>
  <c r="BQ35" i="1"/>
  <c r="BR35" i="1"/>
  <c r="BQ36" i="1"/>
  <c r="BR36" i="1"/>
  <c r="BQ37" i="1"/>
  <c r="BR37" i="1"/>
  <c r="BQ38" i="1"/>
  <c r="BR38" i="1"/>
  <c r="BQ39" i="1"/>
  <c r="BR39" i="1"/>
  <c r="BQ40" i="1"/>
  <c r="BR40" i="1" s="1"/>
  <c r="BQ41" i="1"/>
  <c r="BR41" i="1" s="1"/>
  <c r="BR3" i="1"/>
  <c r="BQ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3" i="1"/>
  <c r="BL4" i="1"/>
  <c r="BM4" i="1" s="1"/>
  <c r="BL5" i="1"/>
  <c r="BM5" i="1"/>
  <c r="BL6" i="1"/>
  <c r="BM6" i="1" s="1"/>
  <c r="BL7" i="1"/>
  <c r="BM7" i="1"/>
  <c r="BL8" i="1"/>
  <c r="BM8" i="1"/>
  <c r="BL9" i="1"/>
  <c r="BM9" i="1"/>
  <c r="BL10" i="1"/>
  <c r="BM10" i="1"/>
  <c r="BL11" i="1"/>
  <c r="BM11" i="1"/>
  <c r="BL12" i="1"/>
  <c r="BM12" i="1"/>
  <c r="BL13" i="1"/>
  <c r="BM13" i="1" s="1"/>
  <c r="BL14" i="1"/>
  <c r="BM14" i="1"/>
  <c r="BL15" i="1"/>
  <c r="BM15" i="1" s="1"/>
  <c r="BL16" i="1"/>
  <c r="BM16" i="1"/>
  <c r="BL17" i="1"/>
  <c r="BM17" i="1"/>
  <c r="BL18" i="1"/>
  <c r="BM18" i="1"/>
  <c r="BL19" i="1"/>
  <c r="BM19" i="1"/>
  <c r="BL20" i="1"/>
  <c r="BM20" i="1"/>
  <c r="BL21" i="1"/>
  <c r="BM21" i="1"/>
  <c r="BL22" i="1"/>
  <c r="BM22" i="1" s="1"/>
  <c r="BL23" i="1"/>
  <c r="BM23" i="1"/>
  <c r="BL24" i="1"/>
  <c r="BM24" i="1" s="1"/>
  <c r="BL25" i="1"/>
  <c r="BM25" i="1"/>
  <c r="BL26" i="1"/>
  <c r="BM26" i="1"/>
  <c r="BL27" i="1"/>
  <c r="BM27" i="1"/>
  <c r="BL28" i="1"/>
  <c r="BM28" i="1"/>
  <c r="BL29" i="1"/>
  <c r="BM29" i="1"/>
  <c r="BL30" i="1"/>
  <c r="BM30" i="1"/>
  <c r="BL31" i="1"/>
  <c r="BM31" i="1" s="1"/>
  <c r="BL32" i="1"/>
  <c r="BM32" i="1"/>
  <c r="BL33" i="1"/>
  <c r="BM33" i="1" s="1"/>
  <c r="BL34" i="1"/>
  <c r="BM34" i="1"/>
  <c r="BL35" i="1"/>
  <c r="BM35" i="1"/>
  <c r="BL36" i="1"/>
  <c r="BM36" i="1"/>
  <c r="BL37" i="1"/>
  <c r="BM37" i="1"/>
  <c r="BL38" i="1"/>
  <c r="BM38" i="1"/>
  <c r="BL39" i="1"/>
  <c r="BM39" i="1"/>
  <c r="BL40" i="1"/>
  <c r="BM40" i="1" s="1"/>
  <c r="BL41" i="1"/>
  <c r="BM41" i="1"/>
  <c r="BM3" i="1"/>
  <c r="BL3" i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3" i="1"/>
  <c r="BG4" i="1"/>
  <c r="BH4" i="1" s="1"/>
  <c r="BG5" i="1"/>
  <c r="BH5" i="1"/>
  <c r="BG6" i="1"/>
  <c r="BH6" i="1" s="1"/>
  <c r="BG7" i="1"/>
  <c r="BH7" i="1" s="1"/>
  <c r="BG8" i="1"/>
  <c r="BH8" i="1"/>
  <c r="BG9" i="1"/>
  <c r="BH9" i="1"/>
  <c r="BG10" i="1"/>
  <c r="BH10" i="1"/>
  <c r="BG11" i="1"/>
  <c r="BH11" i="1" s="1"/>
  <c r="BG12" i="1"/>
  <c r="BH12" i="1"/>
  <c r="BG13" i="1"/>
  <c r="BH13" i="1" s="1"/>
  <c r="BG14" i="1"/>
  <c r="BH14" i="1"/>
  <c r="BG15" i="1"/>
  <c r="BH15" i="1" s="1"/>
  <c r="BG16" i="1"/>
  <c r="BH16" i="1" s="1"/>
  <c r="BG17" i="1"/>
  <c r="BH17" i="1"/>
  <c r="BG18" i="1"/>
  <c r="BH18" i="1"/>
  <c r="BG19" i="1"/>
  <c r="BH19" i="1"/>
  <c r="BG20" i="1"/>
  <c r="BH20" i="1" s="1"/>
  <c r="BG21" i="1"/>
  <c r="BH21" i="1"/>
  <c r="BG22" i="1"/>
  <c r="BH22" i="1" s="1"/>
  <c r="BG23" i="1"/>
  <c r="BH23" i="1"/>
  <c r="BG24" i="1"/>
  <c r="BH24" i="1" s="1"/>
  <c r="BG25" i="1"/>
  <c r="BH25" i="1" s="1"/>
  <c r="BG26" i="1"/>
  <c r="BH26" i="1"/>
  <c r="BG27" i="1"/>
  <c r="BH27" i="1"/>
  <c r="BG28" i="1"/>
  <c r="BH28" i="1"/>
  <c r="BG29" i="1"/>
  <c r="BH29" i="1" s="1"/>
  <c r="BG30" i="1"/>
  <c r="BH30" i="1"/>
  <c r="BG31" i="1"/>
  <c r="BH31" i="1" s="1"/>
  <c r="BG32" i="1"/>
  <c r="BH32" i="1"/>
  <c r="BG33" i="1"/>
  <c r="BH33" i="1" s="1"/>
  <c r="BG34" i="1"/>
  <c r="BH34" i="1" s="1"/>
  <c r="BG35" i="1"/>
  <c r="BH35" i="1"/>
  <c r="BG36" i="1"/>
  <c r="BH36" i="1"/>
  <c r="BG37" i="1"/>
  <c r="BH37" i="1"/>
  <c r="BG38" i="1"/>
  <c r="BH38" i="1" s="1"/>
  <c r="BG39" i="1"/>
  <c r="BH39" i="1"/>
  <c r="BG40" i="1"/>
  <c r="BH40" i="1" s="1"/>
  <c r="BG41" i="1"/>
  <c r="BH41" i="1"/>
  <c r="BG3" i="1"/>
  <c r="BH3" i="1" s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3" i="1"/>
  <c r="BB4" i="1"/>
  <c r="BC4" i="1"/>
  <c r="BB5" i="1"/>
  <c r="BC5" i="1" s="1"/>
  <c r="BB6" i="1"/>
  <c r="BC6" i="1"/>
  <c r="BB7" i="1"/>
  <c r="BC7" i="1" s="1"/>
  <c r="BB8" i="1"/>
  <c r="BC8" i="1"/>
  <c r="BB9" i="1"/>
  <c r="BC9" i="1"/>
  <c r="BB10" i="1"/>
  <c r="BC10" i="1"/>
  <c r="BB11" i="1"/>
  <c r="BC11" i="1"/>
  <c r="BB12" i="1"/>
  <c r="BC12" i="1"/>
  <c r="BB13" i="1"/>
  <c r="BC13" i="1"/>
  <c r="BB14" i="1"/>
  <c r="BC14" i="1" s="1"/>
  <c r="BB15" i="1"/>
  <c r="BC15" i="1"/>
  <c r="BB16" i="1"/>
  <c r="BC16" i="1" s="1"/>
  <c r="BB17" i="1"/>
  <c r="BC17" i="1"/>
  <c r="BB18" i="1"/>
  <c r="BC18" i="1"/>
  <c r="BB19" i="1"/>
  <c r="BC19" i="1"/>
  <c r="BB20" i="1"/>
  <c r="BC20" i="1"/>
  <c r="BB21" i="1"/>
  <c r="BC21" i="1"/>
  <c r="BB22" i="1"/>
  <c r="BC22" i="1"/>
  <c r="BB23" i="1"/>
  <c r="BC23" i="1" s="1"/>
  <c r="BB24" i="1"/>
  <c r="BC24" i="1"/>
  <c r="BB25" i="1"/>
  <c r="BC25" i="1" s="1"/>
  <c r="BB26" i="1"/>
  <c r="BC26" i="1"/>
  <c r="BB27" i="1"/>
  <c r="BC27" i="1"/>
  <c r="BB28" i="1"/>
  <c r="BC28" i="1"/>
  <c r="BB29" i="1"/>
  <c r="BC29" i="1"/>
  <c r="BB30" i="1"/>
  <c r="BC30" i="1"/>
  <c r="BB31" i="1"/>
  <c r="BC31" i="1"/>
  <c r="BB32" i="1"/>
  <c r="BC32" i="1" s="1"/>
  <c r="BB33" i="1"/>
  <c r="BC33" i="1"/>
  <c r="BB34" i="1"/>
  <c r="BC34" i="1" s="1"/>
  <c r="BB35" i="1"/>
  <c r="BC35" i="1"/>
  <c r="BB36" i="1"/>
  <c r="BC36" i="1"/>
  <c r="BB37" i="1"/>
  <c r="BC37" i="1"/>
  <c r="BB38" i="1"/>
  <c r="BC38" i="1"/>
  <c r="BB39" i="1"/>
  <c r="BC39" i="1"/>
  <c r="BB40" i="1"/>
  <c r="BC40" i="1"/>
  <c r="BB41" i="1"/>
  <c r="BC41" i="1" s="1"/>
  <c r="BB3" i="1"/>
  <c r="BC3" i="1" s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3" i="1"/>
  <c r="AW4" i="1"/>
  <c r="AX4" i="1" s="1"/>
  <c r="AW5" i="1"/>
  <c r="AX5" i="1" s="1"/>
  <c r="AW6" i="1"/>
  <c r="AX6" i="1"/>
  <c r="AW7" i="1"/>
  <c r="AX7" i="1"/>
  <c r="AW8" i="1"/>
  <c r="AX8" i="1"/>
  <c r="AW9" i="1"/>
  <c r="AX9" i="1"/>
  <c r="AW10" i="1"/>
  <c r="AX10" i="1" s="1"/>
  <c r="AW11" i="1"/>
  <c r="AX11" i="1"/>
  <c r="AW12" i="1"/>
  <c r="AX12" i="1"/>
  <c r="AW13" i="1"/>
  <c r="AX13" i="1" s="1"/>
  <c r="AW14" i="1"/>
  <c r="AX14" i="1" s="1"/>
  <c r="AW15" i="1"/>
  <c r="AX15" i="1"/>
  <c r="AW16" i="1"/>
  <c r="AX16" i="1"/>
  <c r="AW17" i="1"/>
  <c r="AX17" i="1"/>
  <c r="AW18" i="1"/>
  <c r="AX18" i="1"/>
  <c r="AW19" i="1"/>
  <c r="AX19" i="1" s="1"/>
  <c r="AW20" i="1"/>
  <c r="AX20" i="1"/>
  <c r="AW21" i="1"/>
  <c r="AX21" i="1"/>
  <c r="AW22" i="1"/>
  <c r="AX22" i="1" s="1"/>
  <c r="AW23" i="1"/>
  <c r="AX23" i="1" s="1"/>
  <c r="AW24" i="1"/>
  <c r="AX24" i="1"/>
  <c r="AW25" i="1"/>
  <c r="AX25" i="1"/>
  <c r="AW26" i="1"/>
  <c r="AX26" i="1"/>
  <c r="AW27" i="1"/>
  <c r="AX27" i="1"/>
  <c r="AW28" i="1"/>
  <c r="AX28" i="1" s="1"/>
  <c r="AW29" i="1"/>
  <c r="AX29" i="1"/>
  <c r="AW30" i="1"/>
  <c r="AX30" i="1"/>
  <c r="AW31" i="1"/>
  <c r="AX31" i="1" s="1"/>
  <c r="AW32" i="1"/>
  <c r="AX32" i="1" s="1"/>
  <c r="AW33" i="1"/>
  <c r="AX33" i="1"/>
  <c r="AW34" i="1"/>
  <c r="AX34" i="1"/>
  <c r="AW35" i="1"/>
  <c r="AX35" i="1"/>
  <c r="AW36" i="1"/>
  <c r="AX36" i="1"/>
  <c r="AW37" i="1"/>
  <c r="AX37" i="1" s="1"/>
  <c r="AW38" i="1"/>
  <c r="AX38" i="1"/>
  <c r="AW39" i="1"/>
  <c r="AX39" i="1"/>
  <c r="AW40" i="1"/>
  <c r="AX40" i="1" s="1"/>
  <c r="AW41" i="1"/>
  <c r="AX41" i="1" s="1"/>
  <c r="AW3" i="1"/>
  <c r="AX3" i="1" s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3" i="1"/>
  <c r="AR4" i="1"/>
  <c r="AS4" i="1" s="1"/>
  <c r="AR5" i="1"/>
  <c r="AS5" i="1"/>
  <c r="AR6" i="1"/>
  <c r="AS6" i="1"/>
  <c r="AR7" i="1"/>
  <c r="AS7" i="1" s="1"/>
  <c r="AR8" i="1"/>
  <c r="AS8" i="1"/>
  <c r="AR9" i="1"/>
  <c r="AS9" i="1"/>
  <c r="AR10" i="1"/>
  <c r="AS10" i="1"/>
  <c r="AR11" i="1"/>
  <c r="AS11" i="1"/>
  <c r="AR12" i="1"/>
  <c r="AS12" i="1"/>
  <c r="AR13" i="1"/>
  <c r="AS13" i="1" s="1"/>
  <c r="AR14" i="1"/>
  <c r="AS14" i="1"/>
  <c r="AR15" i="1"/>
  <c r="AS15" i="1"/>
  <c r="AR16" i="1"/>
  <c r="AS16" i="1" s="1"/>
  <c r="AR17" i="1"/>
  <c r="AS17" i="1"/>
  <c r="AR18" i="1"/>
  <c r="AS18" i="1"/>
  <c r="AR19" i="1"/>
  <c r="AS19" i="1"/>
  <c r="AR20" i="1"/>
  <c r="AS20" i="1"/>
  <c r="AR21" i="1"/>
  <c r="AS21" i="1"/>
  <c r="AR22" i="1"/>
  <c r="AS22" i="1" s="1"/>
  <c r="AR23" i="1"/>
  <c r="AS23" i="1"/>
  <c r="AR24" i="1"/>
  <c r="AS24" i="1"/>
  <c r="AR25" i="1"/>
  <c r="AS25" i="1" s="1"/>
  <c r="AR26" i="1"/>
  <c r="AS26" i="1"/>
  <c r="AR27" i="1"/>
  <c r="AS27" i="1"/>
  <c r="AR28" i="1"/>
  <c r="AS28" i="1"/>
  <c r="AR29" i="1"/>
  <c r="AS29" i="1"/>
  <c r="AR30" i="1"/>
  <c r="AS30" i="1"/>
  <c r="AR31" i="1"/>
  <c r="AS31" i="1" s="1"/>
  <c r="AR32" i="1"/>
  <c r="AS32" i="1"/>
  <c r="AR33" i="1"/>
  <c r="AS33" i="1"/>
  <c r="AR34" i="1"/>
  <c r="AS34" i="1" s="1"/>
  <c r="AR35" i="1"/>
  <c r="AS35" i="1"/>
  <c r="AR36" i="1"/>
  <c r="AS36" i="1"/>
  <c r="AR37" i="1"/>
  <c r="AS37" i="1"/>
  <c r="AR38" i="1"/>
  <c r="AS38" i="1" s="1"/>
  <c r="AR39" i="1"/>
  <c r="AS39" i="1"/>
  <c r="AR40" i="1"/>
  <c r="AS40" i="1" s="1"/>
  <c r="AR41" i="1"/>
  <c r="AS41" i="1"/>
  <c r="AR3" i="1"/>
  <c r="AS3" i="1" s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3" i="1"/>
  <c r="AM4" i="1"/>
  <c r="AN4" i="1" s="1"/>
  <c r="AM5" i="1"/>
  <c r="AN5" i="1" s="1"/>
  <c r="AM6" i="1"/>
  <c r="AN6" i="1" s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 s="1"/>
  <c r="AM15" i="1"/>
  <c r="AN15" i="1" s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 s="1"/>
  <c r="AM24" i="1"/>
  <c r="AN24" i="1" s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 s="1"/>
  <c r="AM33" i="1"/>
  <c r="AN33" i="1" s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 s="1"/>
  <c r="AM3" i="1"/>
  <c r="AN3" i="1" s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3" i="1"/>
  <c r="AH4" i="1"/>
  <c r="AI4" i="1" s="1"/>
  <c r="AH5" i="1"/>
  <c r="AI5" i="1" s="1"/>
  <c r="AH6" i="1"/>
  <c r="AI6" i="1" s="1"/>
  <c r="AH7" i="1"/>
  <c r="AI7" i="1"/>
  <c r="AH8" i="1"/>
  <c r="AI8" i="1"/>
  <c r="AH9" i="1"/>
  <c r="AI9" i="1"/>
  <c r="AH10" i="1"/>
  <c r="AI10" i="1"/>
  <c r="AH11" i="1"/>
  <c r="AI11" i="1"/>
  <c r="AH12" i="1"/>
  <c r="AI12" i="1"/>
  <c r="AH13" i="1"/>
  <c r="AI13" i="1" s="1"/>
  <c r="AH14" i="1"/>
  <c r="AI14" i="1" s="1"/>
  <c r="AH15" i="1"/>
  <c r="AI15" i="1" s="1"/>
  <c r="AH16" i="1"/>
  <c r="AI16" i="1"/>
  <c r="AH17" i="1"/>
  <c r="AI17" i="1"/>
  <c r="AH18" i="1"/>
  <c r="AI18" i="1"/>
  <c r="AH19" i="1"/>
  <c r="AI19" i="1"/>
  <c r="AH20" i="1"/>
  <c r="AI20" i="1" s="1"/>
  <c r="AH21" i="1"/>
  <c r="AI21" i="1"/>
  <c r="AH22" i="1"/>
  <c r="AI22" i="1" s="1"/>
  <c r="AH23" i="1"/>
  <c r="AI23" i="1" s="1"/>
  <c r="AH24" i="1"/>
  <c r="AI24" i="1" s="1"/>
  <c r="AH25" i="1"/>
  <c r="AI25" i="1"/>
  <c r="AH26" i="1"/>
  <c r="AI26" i="1"/>
  <c r="AH27" i="1"/>
  <c r="AI27" i="1"/>
  <c r="AH28" i="1"/>
  <c r="AI28" i="1"/>
  <c r="AH29" i="1"/>
  <c r="AI29" i="1"/>
  <c r="AH30" i="1"/>
  <c r="AI30" i="1"/>
  <c r="AH31" i="1"/>
  <c r="AI31" i="1" s="1"/>
  <c r="AH32" i="1"/>
  <c r="AI32" i="1" s="1"/>
  <c r="AH33" i="1"/>
  <c r="AI33" i="1" s="1"/>
  <c r="AH34" i="1"/>
  <c r="AI34" i="1"/>
  <c r="AH35" i="1"/>
  <c r="AI35" i="1"/>
  <c r="AH36" i="1"/>
  <c r="AI36" i="1"/>
  <c r="AH37" i="1"/>
  <c r="AI37" i="1"/>
  <c r="AH38" i="1"/>
  <c r="AI38" i="1"/>
  <c r="AH39" i="1"/>
  <c r="AI39" i="1"/>
  <c r="AH40" i="1"/>
  <c r="AI40" i="1" s="1"/>
  <c r="AH41" i="1"/>
  <c r="AI41" i="1" s="1"/>
  <c r="AH3" i="1"/>
  <c r="AI3" i="1" s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3" i="1"/>
  <c r="AC4" i="1"/>
  <c r="AD4" i="1"/>
  <c r="AC5" i="1"/>
  <c r="AD5" i="1" s="1"/>
  <c r="AC6" i="1"/>
  <c r="AD6" i="1"/>
  <c r="AC7" i="1"/>
  <c r="AD7" i="1" s="1"/>
  <c r="AC8" i="1"/>
  <c r="AD8" i="1" s="1"/>
  <c r="AC9" i="1"/>
  <c r="AD9" i="1"/>
  <c r="AC10" i="1"/>
  <c r="AD10" i="1"/>
  <c r="AC11" i="1"/>
  <c r="AD11" i="1" s="1"/>
  <c r="AC12" i="1"/>
  <c r="AD12" i="1"/>
  <c r="AC13" i="1"/>
  <c r="AD13" i="1"/>
  <c r="AC14" i="1"/>
  <c r="AD14" i="1" s="1"/>
  <c r="AC15" i="1"/>
  <c r="AD15" i="1"/>
  <c r="AC16" i="1"/>
  <c r="AD16" i="1" s="1"/>
  <c r="AC17" i="1"/>
  <c r="AD17" i="1"/>
  <c r="AC18" i="1"/>
  <c r="AD18" i="1"/>
  <c r="AC19" i="1"/>
  <c r="AD19" i="1"/>
  <c r="AC20" i="1"/>
  <c r="AD20" i="1" s="1"/>
  <c r="AC21" i="1"/>
  <c r="AD21" i="1"/>
  <c r="AC22" i="1"/>
  <c r="AD22" i="1"/>
  <c r="AC23" i="1"/>
  <c r="AD23" i="1" s="1"/>
  <c r="AC24" i="1"/>
  <c r="AD24" i="1"/>
  <c r="AC25" i="1"/>
  <c r="AD25" i="1" s="1"/>
  <c r="AC26" i="1"/>
  <c r="AD26" i="1"/>
  <c r="AC27" i="1"/>
  <c r="AD27" i="1"/>
  <c r="AC28" i="1"/>
  <c r="AD28" i="1"/>
  <c r="AC29" i="1"/>
  <c r="AD29" i="1" s="1"/>
  <c r="AC30" i="1"/>
  <c r="AD30" i="1"/>
  <c r="AC31" i="1"/>
  <c r="AD31" i="1"/>
  <c r="AC32" i="1"/>
  <c r="AD32" i="1" s="1"/>
  <c r="AC33" i="1"/>
  <c r="AD33" i="1"/>
  <c r="AC34" i="1"/>
  <c r="AD34" i="1" s="1"/>
  <c r="AC35" i="1"/>
  <c r="AD35" i="1"/>
  <c r="AC36" i="1"/>
  <c r="AD36" i="1"/>
  <c r="AC37" i="1"/>
  <c r="AD37" i="1"/>
  <c r="AC38" i="1"/>
  <c r="AD38" i="1" s="1"/>
  <c r="AC39" i="1"/>
  <c r="AD39" i="1"/>
  <c r="AC40" i="1"/>
  <c r="AD40" i="1"/>
  <c r="AC41" i="1"/>
  <c r="AD41" i="1" s="1"/>
  <c r="AC3" i="1"/>
  <c r="AD3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3" i="1"/>
  <c r="X4" i="1"/>
  <c r="Y4" i="1" s="1"/>
  <c r="X5" i="1"/>
  <c r="Y5" i="1" s="1"/>
  <c r="X6" i="1"/>
  <c r="Y6" i="1" s="1"/>
  <c r="X7" i="1"/>
  <c r="Y7" i="1" s="1"/>
  <c r="X8" i="1"/>
  <c r="Y8" i="1" s="1"/>
  <c r="X9" i="1"/>
  <c r="Y9" i="1"/>
  <c r="X10" i="1"/>
  <c r="Y10" i="1"/>
  <c r="X11" i="1"/>
  <c r="Y11" i="1"/>
  <c r="X12" i="1"/>
  <c r="Y12" i="1"/>
  <c r="X13" i="1"/>
  <c r="Y13" i="1" s="1"/>
  <c r="X14" i="1"/>
  <c r="Y14" i="1"/>
  <c r="X15" i="1"/>
  <c r="Y15" i="1" s="1"/>
  <c r="X16" i="1"/>
  <c r="Y16" i="1"/>
  <c r="X17" i="1"/>
  <c r="Y17" i="1" s="1"/>
  <c r="X18" i="1"/>
  <c r="Y18" i="1"/>
  <c r="X19" i="1"/>
  <c r="Y19" i="1"/>
  <c r="X20" i="1"/>
  <c r="Y20" i="1"/>
  <c r="X21" i="1"/>
  <c r="Y21" i="1"/>
  <c r="X22" i="1"/>
  <c r="Y22" i="1" s="1"/>
  <c r="X23" i="1"/>
  <c r="Y23" i="1"/>
  <c r="X24" i="1"/>
  <c r="Y24" i="1"/>
  <c r="X25" i="1"/>
  <c r="Y25" i="1"/>
  <c r="X26" i="1"/>
  <c r="Y26" i="1" s="1"/>
  <c r="X27" i="1"/>
  <c r="Y27" i="1"/>
  <c r="X28" i="1"/>
  <c r="Y28" i="1"/>
  <c r="X29" i="1"/>
  <c r="Y29" i="1"/>
  <c r="X30" i="1"/>
  <c r="Y30" i="1"/>
  <c r="X31" i="1"/>
  <c r="Y31" i="1" s="1"/>
  <c r="X32" i="1"/>
  <c r="Y32" i="1"/>
  <c r="X33" i="1"/>
  <c r="Y33" i="1"/>
  <c r="X34" i="1"/>
  <c r="Y34" i="1"/>
  <c r="X35" i="1"/>
  <c r="Y35" i="1" s="1"/>
  <c r="X36" i="1"/>
  <c r="Y36" i="1"/>
  <c r="X37" i="1"/>
  <c r="Y37" i="1"/>
  <c r="X38" i="1"/>
  <c r="Y38" i="1"/>
  <c r="X39" i="1"/>
  <c r="Y39" i="1" s="1"/>
  <c r="X40" i="1"/>
  <c r="Y40" i="1" s="1"/>
  <c r="X41" i="1"/>
  <c r="Y41" i="1"/>
  <c r="X3" i="1"/>
  <c r="Y3" i="1" s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3" i="1"/>
  <c r="S4" i="1"/>
  <c r="T4" i="1" s="1"/>
  <c r="S5" i="1"/>
  <c r="T5" i="1" s="1"/>
  <c r="S6" i="1"/>
  <c r="T6" i="1"/>
  <c r="S7" i="1"/>
  <c r="T7" i="1"/>
  <c r="S8" i="1"/>
  <c r="T8" i="1" s="1"/>
  <c r="S9" i="1"/>
  <c r="T9" i="1"/>
  <c r="S10" i="1"/>
  <c r="T10" i="1"/>
  <c r="S11" i="1"/>
  <c r="T11" i="1" s="1"/>
  <c r="S12" i="1"/>
  <c r="T12" i="1"/>
  <c r="S13" i="1"/>
  <c r="T13" i="1" s="1"/>
  <c r="S14" i="1"/>
  <c r="T14" i="1" s="1"/>
  <c r="S15" i="1"/>
  <c r="T15" i="1"/>
  <c r="S16" i="1"/>
  <c r="T16" i="1"/>
  <c r="S17" i="1"/>
  <c r="T17" i="1" s="1"/>
  <c r="S18" i="1"/>
  <c r="T18" i="1"/>
  <c r="S19" i="1"/>
  <c r="T19" i="1"/>
  <c r="S20" i="1"/>
  <c r="T20" i="1" s="1"/>
  <c r="S21" i="1"/>
  <c r="T21" i="1"/>
  <c r="S22" i="1"/>
  <c r="T22" i="1" s="1"/>
  <c r="S23" i="1"/>
  <c r="T23" i="1" s="1"/>
  <c r="S24" i="1"/>
  <c r="T24" i="1"/>
  <c r="S25" i="1"/>
  <c r="T25" i="1"/>
  <c r="S26" i="1"/>
  <c r="T26" i="1" s="1"/>
  <c r="S27" i="1"/>
  <c r="T27" i="1"/>
  <c r="S28" i="1"/>
  <c r="T28" i="1"/>
  <c r="S29" i="1"/>
  <c r="T29" i="1" s="1"/>
  <c r="S30" i="1"/>
  <c r="T30" i="1"/>
  <c r="S31" i="1"/>
  <c r="T31" i="1" s="1"/>
  <c r="S32" i="1"/>
  <c r="T32" i="1" s="1"/>
  <c r="S33" i="1"/>
  <c r="T33" i="1"/>
  <c r="S34" i="1"/>
  <c r="T34" i="1"/>
  <c r="S35" i="1"/>
  <c r="T35" i="1" s="1"/>
  <c r="S36" i="1"/>
  <c r="T36" i="1"/>
  <c r="S37" i="1"/>
  <c r="T37" i="1"/>
  <c r="S38" i="1"/>
  <c r="T38" i="1" s="1"/>
  <c r="S39" i="1"/>
  <c r="T39" i="1"/>
  <c r="S40" i="1"/>
  <c r="T40" i="1" s="1"/>
  <c r="S41" i="1"/>
  <c r="T41" i="1" s="1"/>
  <c r="S3" i="1"/>
  <c r="T3" i="1" s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3" i="1"/>
  <c r="N4" i="1"/>
  <c r="O4" i="1"/>
  <c r="N5" i="1"/>
  <c r="O5" i="1" s="1"/>
  <c r="N6" i="1"/>
  <c r="O6" i="1" s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 s="1"/>
  <c r="N15" i="1"/>
  <c r="O15" i="1" s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 s="1"/>
  <c r="N24" i="1"/>
  <c r="O24" i="1" s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 s="1"/>
  <c r="N33" i="1"/>
  <c r="O33" i="1" s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 s="1"/>
  <c r="N3" i="1"/>
  <c r="O3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I4" i="1"/>
  <c r="J4" i="1"/>
  <c r="I5" i="1"/>
  <c r="J5" i="1"/>
  <c r="I6" i="1"/>
  <c r="J6" i="1" s="1"/>
  <c r="I7" i="1"/>
  <c r="J7" i="1" s="1"/>
  <c r="I8" i="1"/>
  <c r="J8" i="1"/>
  <c r="I9" i="1"/>
  <c r="J9" i="1"/>
  <c r="I10" i="1"/>
  <c r="J10" i="1"/>
  <c r="I11" i="1"/>
  <c r="J11" i="1" s="1"/>
  <c r="I12" i="1"/>
  <c r="J12" i="1"/>
  <c r="I13" i="1"/>
  <c r="J13" i="1"/>
  <c r="I14" i="1"/>
  <c r="J14" i="1" s="1"/>
  <c r="I15" i="1"/>
  <c r="J15" i="1" s="1"/>
  <c r="I16" i="1"/>
  <c r="J16" i="1"/>
  <c r="I17" i="1"/>
  <c r="J17" i="1"/>
  <c r="I18" i="1"/>
  <c r="J18" i="1"/>
  <c r="I19" i="1"/>
  <c r="J19" i="1"/>
  <c r="I20" i="1"/>
  <c r="J20" i="1" s="1"/>
  <c r="I21" i="1"/>
  <c r="J21" i="1"/>
  <c r="I22" i="1"/>
  <c r="J22" i="1"/>
  <c r="I23" i="1"/>
  <c r="J23" i="1"/>
  <c r="I24" i="1"/>
  <c r="J24" i="1" s="1"/>
  <c r="I25" i="1"/>
  <c r="J25" i="1"/>
  <c r="I26" i="1"/>
  <c r="J26" i="1"/>
  <c r="I27" i="1"/>
  <c r="J27" i="1"/>
  <c r="I28" i="1"/>
  <c r="J28" i="1"/>
  <c r="I29" i="1"/>
  <c r="J29" i="1" s="1"/>
  <c r="I30" i="1"/>
  <c r="J30" i="1"/>
  <c r="I31" i="1"/>
  <c r="J31" i="1"/>
  <c r="I32" i="1"/>
  <c r="J32" i="1"/>
  <c r="I33" i="1"/>
  <c r="J33" i="1" s="1"/>
  <c r="I34" i="1"/>
  <c r="J34" i="1"/>
  <c r="I35" i="1"/>
  <c r="J35" i="1"/>
  <c r="I36" i="1"/>
  <c r="J36" i="1"/>
  <c r="I37" i="1"/>
  <c r="J37" i="1"/>
  <c r="I38" i="1"/>
  <c r="J38" i="1" s="1"/>
  <c r="I39" i="1"/>
  <c r="J39" i="1"/>
  <c r="I40" i="1"/>
  <c r="J40" i="1"/>
  <c r="I41" i="1"/>
  <c r="J41" i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V41" i="1"/>
  <c r="DW41" i="1"/>
  <c r="DW3" i="1"/>
  <c r="DV3" i="1"/>
</calcChain>
</file>

<file path=xl/sharedStrings.xml><?xml version="1.0" encoding="utf-8"?>
<sst xmlns="http://schemas.openxmlformats.org/spreadsheetml/2006/main" count="344" uniqueCount="222">
  <si>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</si>
  <si>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</si>
  <si>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</si>
  <si>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</si>
  <si>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</si>
  <si>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</si>
  <si>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</si>
  <si>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</si>
  <si>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</si>
  <si>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</si>
  <si>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</si>
  <si>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</si>
  <si>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</si>
  <si>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</si>
  <si>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</si>
  <si>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</si>
  <si>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</si>
  <si>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</si>
  <si>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</si>
  <si>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</si>
  <si>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</si>
  <si>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</si>
  <si>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</si>
  <si>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</si>
  <si>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</si>
  <si>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</si>
  <si>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</si>
  <si>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</si>
  <si>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</si>
  <si>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</si>
  <si>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</si>
  <si>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</si>
  <si>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</si>
  <si>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</si>
  <si>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</si>
  <si>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</si>
  <si>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</si>
  <si>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</si>
  <si>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</si>
  <si>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</si>
  <si>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</si>
  <si>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</si>
  <si>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</si>
  <si>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</si>
  <si>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</si>
  <si>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</si>
  <si>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</si>
  <si>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</si>
  <si>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</si>
  <si>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</si>
  <si>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</si>
  <si>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</si>
  <si>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</si>
  <si>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</si>
  <si>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</si>
  <si>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</si>
  <si>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</si>
  <si>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</si>
  <si>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</si>
  <si>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</si>
  <si>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</si>
  <si>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</si>
  <si>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Windy Erviani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</si>
  <si>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</si>
  <si>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</si>
  <si>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</si>
  <si>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</si>
  <si>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</si>
  <si>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</si>
  <si>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</si>
  <si>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</si>
  <si>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</si>
  <si>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</si>
  <si>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</si>
  <si>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</si>
  <si>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</si>
  <si>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</si>
  <si>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</si>
  <si>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</si>
  <si>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</si>
  <si>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</si>
  <si>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</si>
  <si>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</si>
  <si>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</si>
  <si>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Pandang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</si>
  <si>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</si>
  <si>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</si>
  <si>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</si>
  <si>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</si>
  <si>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</si>
  <si>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</si>
  <si>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</si>
  <si>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</si>
  <si>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</si>
  <si>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</si>
  <si>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</si>
  <si>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</si>
  <si>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</si>
  <si>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</si>
  <si>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</si>
  <si>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</si>
  <si>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</si>
  <si>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</si>
  <si>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</si>
  <si>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</si>
  <si>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 xml:space="preserve">Muara Jarai </t>
  </si>
  <si>
    <t>02 Mei 1982</t>
  </si>
  <si>
    <t>Jakarta</t>
  </si>
  <si>
    <t>27 Mei 1971</t>
  </si>
  <si>
    <t>Kahawetan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</si>
  <si>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</si>
  <si>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</si>
  <si>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</si>
  <si>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</si>
  <si>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</si>
  <si>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</si>
  <si>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</si>
  <si>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</si>
  <si>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</si>
  <si>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</si>
  <si>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</si>
  <si>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</si>
  <si>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</si>
  <si>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</si>
  <si>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</si>
  <si>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</si>
  <si>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</si>
  <si>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</si>
  <si>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</si>
  <si>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</si>
  <si>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</si>
  <si>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</si>
  <si>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</si>
  <si>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</si>
  <si>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</si>
  <si>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</si>
  <si>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</si>
  <si>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</si>
  <si>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</si>
  <si>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Kijang</t>
  </si>
  <si>
    <t>21 November 1988</t>
  </si>
  <si>
    <t>09 Juni 1992</t>
  </si>
  <si>
    <t>Duara</t>
  </si>
  <si>
    <t>02 April 1982</t>
  </si>
  <si>
    <t>Hubungan Frekuensi Open Suction Terhadap Kejadian Ventilator Associated Pneumonia (VAP) Di Ruang ICU Rumkital dr. Midiyato Suratani Tanjungpinang</t>
  </si>
  <si>
    <t xml:space="preserve">Pengaruh perawatan luka modern menggunakan madu terhadap penyembuhan ulkus diabetikum di Rumkital dr Midiyato Tanjungpinang 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</si>
  <si>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</si>
  <si>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</si>
  <si>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</si>
  <si>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</si>
  <si>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</si>
  <si>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</si>
  <si>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Hubungan riwayat pemberian imunisasi dengan riwayat kejadian pertusis pada anak usia 2 - 24 bulan di Puskesmas Tanjung Unggat Tahun 2024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</si>
  <si>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</si>
  <si>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</si>
  <si>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</si>
  <si>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</si>
  <si>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</si>
  <si>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 xml:space="preserve">Pengaruh Stimulus Oral Exercise terhadap reflfelk hisap BBLR di Ruang Flamboyan RSUD Kota Tanjungpinang </t>
  </si>
  <si>
    <t>Faktor-faktor yang berhubungan dengan kepuasan pasien terhadap pelayanan keperawatan di Puskesmas Teluk Sebong</t>
  </si>
  <si>
    <t>Analisa Respon Time Terhadap Innitial Assesment Untuk Pasien Tidak Gawat dan Tidak Darurat di Instalasi Gawat Darurat RSUD Kota Tanjungpinang</t>
  </si>
  <si>
    <t>23 November 1983</t>
  </si>
  <si>
    <t>Pengaruh Terapi Minyak Esensial Lavender Terhadap Nyeri Insersi Kanulasi Arteri Vena Fistula Pada Pasien Hemodialisa Di Rsud Kota Tanjungpinang</t>
  </si>
  <si>
    <t>Faktor-Faktor Yang Berhubungan Dengan Kepuasan Kerja Dan Efikasi Diri Perawat Di Puskesmas Se-Kota Tanjungpinang</t>
  </si>
  <si>
    <t>Hubungan Beban Keluarga Dengan Motivasi Keluargadalam Merawat Anggota Keluarga Denganskizofrenia Di Wilayah Kerja Puskesmasbatu 10 Tanjungpinang</t>
  </si>
  <si>
    <t>Faktor – Faktor Yang Berhubungan Dengan Risiko Relapse Pada Penyalahguna Narkoba Di Loka Rehabilitasi Bnn Batam</t>
  </si>
  <si>
    <t>Hubungan Pengetahuan Dan Self Efficacy Pasien Tuberkulosis Paru Dengan Pencegahan Penularan Tuberkulosis Paru Di Wilayah Kerja Puskesmas Batu 10 Tanjungpinang</t>
  </si>
  <si>
    <t>Analisis Faktor-Faktor Risiko Hipertensi Pada Calon Jemaah Haji Kota Tanjungpinang</t>
  </si>
  <si>
    <t>Pengaruh Dukungan Spiritual Doa Terhadap Tingkat Kecemasan Pre Operasi Katarak Di Poliklinik Mata RSUD Kota Tanjungpinang</t>
  </si>
  <si>
    <t>Pengaruh Penguatan Edukasi Dengan Media Video Animasi Kateterisasi Jantung Terhadap Penurunan Tingkat Kecemasan Pasien Pre Tindakan Kateterisasi Jantung Di Instalasi Rawat Inap RSUD Raja Ahmad Tabib Tanjungpinang</t>
  </si>
  <si>
    <t>Faktor - Faktor Yang Berhubungan Dengan Kejadian Drop Out Pengobatan Tuberkulosis Di UPTD Puskesmas Batu 10 Kota Tanjungpinang</t>
  </si>
  <si>
    <t>Pengaruh Model Pendidikan FGD (Focus Group Discussion) Terhadap Tingkat Pengetahuan Ibu Usia Subur Dalam Pencegahan Stunting Di Desa Rejai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</si>
  <si>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</si>
  <si>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</si>
  <si>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</si>
  <si>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Hubungan Usia Dan Lama Operasi Dengan Kejadian Hipotermia Pada Pasien Anestesi Spinal Di Instalasi Bedah Sentral RSUD Kota Tanjungpinang</t>
  </si>
  <si>
    <t>Pengaruh Early Warning Score (EWS) Terhadap Hemodinamik Pasien Penyakit Jantung Koroner Di ICU RSUD Kota Tanjungpinang</t>
  </si>
  <si>
    <t>Pengaruh Acceptance And Commitment Therapy (ACT) Dan Zikir Asmaul Husna Terhadap Self Efficacy Pada Pasien Hipertensi Di Wilayah Kerja Puskesmas Rejai</t>
  </si>
  <si>
    <t>Hubungan Perilaku Seksual Dengan Kejadian HIV/AIDS Di Wilayah Kerja Puskesmas Seijang Kota Tanjungpinang</t>
  </si>
  <si>
    <t>Hubungan Tingkat Kecemasan POST Operasi Fraktur Ekstremitas Bawah Terhadap Mobilisasi Dini Di RSAL Dr Midiyato Suratani Tanjungpinang</t>
  </si>
  <si>
    <t>Hubungan Lingkungan Dengan Kejadian HIV/AIDS Pada Perilaku Seksual Lelaki Seks Lelaki (LSL) Di Puskesmas Seijang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</si>
  <si>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</si>
  <si>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Tingkat Kesadaran Pada Pasien Stroke Ruang ICU RSUD Kota Tanjungpinang</t>
  </si>
  <si>
    <t>Judul Inggris</t>
  </si>
  <si>
    <t>The Relationship Between Knowledge and Self-Efficacy of Pulmonary Tuberculosis Patients and the Prevention of Tuberculosis Transmission in the Working Area of Batu 10 Health Center, Tanjungpinang</t>
  </si>
  <si>
    <t>Analysis of Hypertension Risk Factors Among Prospective Hajj Pilgrims in Tanjungpinang City</t>
  </si>
  <si>
    <t>The Relationship Between Open Suction Frequency and the Incidence of Ventilator-Associated Pneumonia (VAP) in the ICU of Rumkital Dr. Midiyato Suratani, Tanjungpinang</t>
  </si>
  <si>
    <t>The Effect of Spiritual Prayer Support on Preoperative Anxiety Among Cataract Surgery Patients at the Eye Polyclinic of RSUD Tanjungpinang</t>
  </si>
  <si>
    <t>The Effect of Enhanced Education Using Animated Catheterization Videos on Reducing Anxiety in Patients Undergoing Cardiac Catheterization at RSUD Raja Ahmad Tabib, Tanjungpinang</t>
  </si>
  <si>
    <t>Factors Associated with Treatment Dropout Among Tuberculosis Patients at UPTD Batu 10 Health Center, Tanjungpinang</t>
  </si>
  <si>
    <t>The Effect of Lavender Essential Oil Therapy on Pain During Arteriovenous Fistula Cannulation in Hemodialysis Patients at RSUD Tanjungpinang</t>
  </si>
  <si>
    <t>The Effect of Modern Wound Care Using Honey on the Healing of Diabetic Ulcers at Rumkital Dr. Midiyato, Tanjungpinang</t>
  </si>
  <si>
    <t>Factors Associated with Job Satisfaction and Self-Efficacy Among Nurses in Health Centers Across Tanjungpinang City</t>
  </si>
  <si>
    <t>The Effect of Focus Group Discussion (FGD) Education on Knowledge of Women of Reproductive Age Regarding Stunting Prevention in Rejai Village</t>
  </si>
  <si>
    <t>The Effect of Olive Oil Effleurage Massage on Pressure Ulcer Risk Using the Braden Scale in Long-Term Bedridden Patients at Mawar Inpatient Ward, RSUD Tanjungpinang</t>
  </si>
  <si>
    <t>The Effect of Classical Music Therapy on Blood Pressure in Hypertensive Patients at RSUD Tanjungpinang</t>
  </si>
  <si>
    <t>The Effect of the Simultaneous Movement Program on the Behavior of Family Larvae Monitors and Larvae-Free Rates Using the HPM Approach in RW VI, Tanjung Unggat Health Center</t>
  </si>
  <si>
    <t>Factors Associated with Work Stress Among Nurses in the ICU and ER of RSUD Tanjungpinang</t>
  </si>
  <si>
    <t>The Effect of Progressive Mobilization on Hemodynamic Status of Patients in the ICU of RSUD Tanjungpinang</t>
  </si>
  <si>
    <t>The Effect of Bladder Training on Urination Ability in Post-BPH Surgery Patients in Mangkai Ward and Urology Clinic, RSAL Midiyato S., Tanjungpinang</t>
  </si>
  <si>
    <t>Factors Associated with Nurses’ Compliance in the Disposal of Sharp Medical Waste at Rumkital Dr. Midiyato Suratani, Tanjungpinang</t>
  </si>
  <si>
    <t>The Relationship Between Age, Duration of Surgery, and Incidence of Hypothermia in Patients Undergoing Spinal Anesthesia at the Central Surgical Unit of RSUD Tanjungpinang</t>
  </si>
  <si>
    <t>Factors Associated with Complete Immunization Among Infants at UPT Puskesmas Rejai</t>
  </si>
  <si>
    <t>Comparison of the Effectiveness of Acupressure and Foot Massage on Blood Pressure in Hypertensive Patients in the Kampung Bugis Health Center Area, Tanjungpinang</t>
  </si>
  <si>
    <t>The Effect of the Early Warning Score (EWS) on Hemodynamics of Coronary Heart Disease Patients in the ICU of RSUD Tanjungpinang</t>
  </si>
  <si>
    <t>The Relationship Between Immunization History and Pertussis Incidence in Children Aged 2–24 Months at Tanjung Unggat Health Center, 2024</t>
  </si>
  <si>
    <t>The Effect of Acceptance and Commitment Therapy (ACT) and Asmaul Husna Dhikr on Self-Efficacy in Hypertensive Patients at Rejai Health Center</t>
  </si>
  <si>
    <t>The Relationship Between Social Support and Family Ability in Caring for People with Mental Disorders (PWMD) in the Tanjung Unggat Health Center Area</t>
  </si>
  <si>
    <t>The Effect of Pineapple Juice on Perineal Wound Healing in Postpartum Mothers</t>
  </si>
  <si>
    <t>The Relationship Between Family Burden and Family Motivation in Caring for Relatives with Schizophrenia in Batu 10 Health Center Area</t>
  </si>
  <si>
    <t>The Effect of Celery Complementary Therapy on Blood Pressure in Older Adults at Kuala Sempang Health Center</t>
  </si>
  <si>
    <t>The Relationship Between Nurse Career Levels, Job Satisfaction, and Self-Efficacy in Inpatient Wards of RSUD Tanjungpinang</t>
  </si>
  <si>
    <t>The Effect of Locally Produced High-Animal-Protein Supplementary Food on Weight Gain of Malnourished Toddlers</t>
  </si>
  <si>
    <t>The Relationship Between Sexual Behavior and HIV/AIDS Incidence in the Seijang Health Center Area</t>
  </si>
  <si>
    <t>The Effect of Oral Exercise Stimulation on Sucking Reflex in LBW Infants in Flamboyan Ward, RSUD Tanjungpinang</t>
  </si>
  <si>
    <t>The Relationship Between Postoperative Anxiety After Lower Limb Fracture and Early Mobilization at RSAL Dr. Midiyato Suratani</t>
  </si>
  <si>
    <t>Factors Associated with Patient Satisfaction Toward Nursing Services at Teluk Sebong Health Center</t>
  </si>
  <si>
    <t>Factors Associated with Relapse Risk Among Drug Users in BNN Rehabilitation Center Batam</t>
  </si>
  <si>
    <t>The Relationship Between Environmental Factors and HIV/AIDS Incidence Among Men Who Have Sex with Men (MSM) at Seijang Health Center</t>
  </si>
  <si>
    <t>Analysis of Response Time in Initial Assessment of Non-Emergency Patients in the Emergency Department of RSUD Tanjungpinang</t>
  </si>
  <si>
    <t>The Relationship Between Education and the Effectiveness of Nebulizer Use in Pediatric Bronchopneumonia Patients in Subi Kecil Ward, RSAL Dr. Midiyato Suratani</t>
  </si>
  <si>
    <t>Comparison of the Effectiveness of FAST (Familiar Auditory Sensory Training) and Murottal Therapy on Consciousness Levels of Stroke Patients in the ICU of RSUD Tanjungpinang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</si>
</sst>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Y41"/>
  <sheetViews>
    <sheetView tabSelected="1" zoomScale="90" zoomScaleNormal="90" workbookViewId="0">
      <pane xSplit="2" ySplit="2" topLeftCell="DX21" activePane="bottomRight" state="frozen"/>
      <selection pane="topRight" activeCell="C1" sqref="C1"/>
      <selection pane="bottomLeft" activeCell="A3" sqref="A3"/>
      <selection pane="bottomRight" activeCell="DY41" sqref="A1:DY41"/>
    </sheetView>
  </sheetViews>
  <sheetFormatPr defaultRowHeight="15" x14ac:dyDescent="0.25"/>
  <cols>
    <col min="1" max="1" width="4.28515625" customWidth="1"/>
    <col min="2" max="2" width="23.85546875" customWidth="1"/>
    <col min="3" max="3" width="14.7109375" customWidth="1"/>
    <col min="4" max="4" width="20.85546875" customWidth="1"/>
    <col min="5" max="5" width="21.7109375" style="10" customWidth="1"/>
    <col min="6" max="6" width="21.7109375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1.28515625" style="24" customWidth="1"/>
    <col min="129" max="129" width="184.42578125" style="31" bestFit="1" customWidth="1"/>
  </cols>
  <sheetData>
    <row r="1" spans="1:129" x14ac:dyDescent="0.25">
      <c r="A1" s="25" t="s">
        <v>0</v>
      </c>
      <c r="B1" s="25" t="s">
        <v>1</v>
      </c>
      <c r="C1" s="25" t="s">
        <v>2</v>
      </c>
      <c r="D1" s="29" t="s">
        <v>65</v>
      </c>
      <c r="E1" s="30" t="s">
        <v>66</v>
      </c>
      <c r="F1" s="25" t="s">
        <v>80</v>
      </c>
      <c r="G1" s="25" t="s">
        <v>67</v>
      </c>
      <c r="H1" s="27" t="s">
        <v>3</v>
      </c>
      <c r="I1" s="27"/>
      <c r="J1" s="27"/>
      <c r="K1" s="27"/>
      <c r="L1" s="27"/>
      <c r="M1" s="28" t="s">
        <v>4</v>
      </c>
      <c r="N1" s="28"/>
      <c r="O1" s="28"/>
      <c r="P1" s="28"/>
      <c r="Q1" s="28"/>
      <c r="R1" s="25" t="s">
        <v>5</v>
      </c>
      <c r="S1" s="25"/>
      <c r="T1" s="25"/>
      <c r="U1" s="25"/>
      <c r="V1" s="25"/>
      <c r="W1" s="25" t="s">
        <v>6</v>
      </c>
      <c r="X1" s="25"/>
      <c r="Y1" s="25"/>
      <c r="Z1" s="25"/>
      <c r="AA1" s="25"/>
      <c r="AB1" s="25" t="s">
        <v>7</v>
      </c>
      <c r="AC1" s="25"/>
      <c r="AD1" s="25"/>
      <c r="AE1" s="25"/>
      <c r="AF1" s="25"/>
      <c r="AG1" s="27" t="s">
        <v>8</v>
      </c>
      <c r="AH1" s="27"/>
      <c r="AI1" s="27"/>
      <c r="AJ1" s="27"/>
      <c r="AK1" s="27"/>
      <c r="AL1" s="25" t="s">
        <v>9</v>
      </c>
      <c r="AM1" s="25"/>
      <c r="AN1" s="25"/>
      <c r="AO1" s="25"/>
      <c r="AP1" s="25"/>
      <c r="AQ1" s="25" t="s">
        <v>10</v>
      </c>
      <c r="AR1" s="25"/>
      <c r="AS1" s="25"/>
      <c r="AT1" s="25"/>
      <c r="AU1" s="25"/>
      <c r="AV1" s="25" t="s">
        <v>11</v>
      </c>
      <c r="AW1" s="25"/>
      <c r="AX1" s="25"/>
      <c r="AY1" s="25"/>
      <c r="AZ1" s="25"/>
      <c r="BA1" s="25" t="s">
        <v>12</v>
      </c>
      <c r="BB1" s="25"/>
      <c r="BC1" s="25"/>
      <c r="BD1" s="25"/>
      <c r="BE1" s="25"/>
      <c r="BF1" s="25" t="s">
        <v>13</v>
      </c>
      <c r="BG1" s="25"/>
      <c r="BH1" s="25"/>
      <c r="BI1" s="25"/>
      <c r="BJ1" s="25"/>
      <c r="BK1" s="27" t="s">
        <v>68</v>
      </c>
      <c r="BL1" s="27"/>
      <c r="BM1" s="27"/>
      <c r="BN1" s="27"/>
      <c r="BO1" s="27"/>
      <c r="BP1" s="28" t="s">
        <v>69</v>
      </c>
      <c r="BQ1" s="28"/>
      <c r="BR1" s="28"/>
      <c r="BS1" s="28"/>
      <c r="BT1" s="28"/>
      <c r="BU1" s="25" t="s">
        <v>70</v>
      </c>
      <c r="BV1" s="25"/>
      <c r="BW1" s="25"/>
      <c r="BX1" s="25"/>
      <c r="BY1" s="25"/>
      <c r="BZ1" s="25" t="s">
        <v>71</v>
      </c>
      <c r="CA1" s="25"/>
      <c r="CB1" s="25"/>
      <c r="CC1" s="25"/>
      <c r="CD1" s="25"/>
      <c r="CE1" s="25" t="s">
        <v>72</v>
      </c>
      <c r="CF1" s="25"/>
      <c r="CG1" s="25"/>
      <c r="CH1" s="25"/>
      <c r="CI1" s="25"/>
      <c r="CJ1" s="27" t="s">
        <v>73</v>
      </c>
      <c r="CK1" s="27"/>
      <c r="CL1" s="27"/>
      <c r="CM1" s="27"/>
      <c r="CN1" s="27"/>
      <c r="CO1" s="25" t="s">
        <v>74</v>
      </c>
      <c r="CP1" s="25"/>
      <c r="CQ1" s="25"/>
      <c r="CR1" s="25"/>
      <c r="CS1" s="25"/>
      <c r="CT1" s="25" t="s">
        <v>75</v>
      </c>
      <c r="CU1" s="25"/>
      <c r="CV1" s="25"/>
      <c r="CW1" s="25"/>
      <c r="CX1" s="25"/>
      <c r="CY1" s="25" t="s">
        <v>76</v>
      </c>
      <c r="CZ1" s="25"/>
      <c r="DA1" s="25"/>
      <c r="DB1" s="25"/>
      <c r="DC1" s="25"/>
      <c r="DD1" s="25" t="s">
        <v>77</v>
      </c>
      <c r="DE1" s="25"/>
      <c r="DF1" s="25"/>
      <c r="DG1" s="25"/>
      <c r="DH1" s="25"/>
      <c r="DI1" s="25" t="s">
        <v>78</v>
      </c>
      <c r="DJ1" s="25"/>
      <c r="DK1" s="25"/>
      <c r="DL1" s="25"/>
      <c r="DM1" s="25"/>
      <c r="DN1" s="25" t="s">
        <v>14</v>
      </c>
      <c r="DO1" s="25"/>
      <c r="DP1" s="26" t="s">
        <v>79</v>
      </c>
      <c r="DQ1" s="26"/>
      <c r="DR1" s="26" t="s">
        <v>15</v>
      </c>
      <c r="DS1" s="26" t="s">
        <v>16</v>
      </c>
      <c r="DT1" s="25" t="s">
        <v>17</v>
      </c>
      <c r="DU1" s="25" t="s">
        <v>18</v>
      </c>
      <c r="DV1" s="26" t="s">
        <v>81</v>
      </c>
      <c r="DW1" s="26" t="s">
        <v>82</v>
      </c>
      <c r="DX1" s="26" t="s">
        <v>83</v>
      </c>
      <c r="DY1" s="33" t="s">
        <v>183</v>
      </c>
    </row>
    <row r="2" spans="1:129" x14ac:dyDescent="0.25">
      <c r="A2" s="25"/>
      <c r="B2" s="25"/>
      <c r="C2" s="25"/>
      <c r="D2" s="29"/>
      <c r="E2" s="30"/>
      <c r="F2" s="25"/>
      <c r="G2" s="25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26"/>
      <c r="DS2" s="26"/>
      <c r="DT2" s="25"/>
      <c r="DU2" s="25"/>
      <c r="DV2" s="26"/>
      <c r="DW2" s="26"/>
      <c r="DX2" s="26"/>
      <c r="DY2" s="33"/>
    </row>
    <row r="3" spans="1:129" ht="15" customHeight="1" x14ac:dyDescent="0.25">
      <c r="A3" s="3">
        <v>1</v>
      </c>
      <c r="B3" s="2" t="s">
        <v>26</v>
      </c>
      <c r="C3" s="2">
        <v>172312019</v>
      </c>
      <c r="D3" s="11" t="s">
        <v>84</v>
      </c>
      <c r="E3" s="13" t="s">
        <v>85</v>
      </c>
      <c r="F3" s="2"/>
      <c r="G3" s="2"/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1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1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1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1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1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1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3.7604166666666665</v>
      </c>
      <c r="DU3" s="9"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22" t="s">
        <v>166</v>
      </c>
      <c r="DY3" s="34" t="s">
        <v>184</v>
      </c>
    </row>
    <row r="4" spans="1:129" ht="15.75" customHeight="1" x14ac:dyDescent="0.25">
      <c r="A4" s="3">
        <v>2</v>
      </c>
      <c r="B4" s="2" t="s">
        <v>27</v>
      </c>
      <c r="C4" s="2">
        <v>172312021</v>
      </c>
      <c r="D4" s="11" t="s">
        <v>86</v>
      </c>
      <c r="E4" s="13" t="s">
        <v>89</v>
      </c>
      <c r="F4" s="2"/>
      <c r="G4" s="2"/>
      <c r="H4" s="6">
        <v>76.333333333333329</v>
      </c>
      <c r="I4" s="4" t="str">
        <f t="shared" ref="I4:I41" si="30">IF(H4&gt;=80,"A",IF(H4&gt;=75,"B+",IF(H4&gt;=70,"B",IF(H4&gt;=65,"C+",IF(H4&gt;=60,"C",IF(H4&gt;=55,"D",IF(H4&lt;54,"E")))))))</f>
        <v>B+</v>
      </c>
      <c r="J4" s="3">
        <f t="shared" ref="J4:J41" si="31">IF(I4="A",4,IF(I4="B+",3.5,IF(I4="B",3,IF(I4="C+",2.5,IF(I4="C",2,IF(I4="D",1,0))))))</f>
        <v>3.5</v>
      </c>
      <c r="K4" s="3">
        <v>2</v>
      </c>
      <c r="L4" s="12">
        <f t="shared" ref="L4:L41" si="32">J4*K4</f>
        <v>7</v>
      </c>
      <c r="M4" s="7">
        <v>82.1</v>
      </c>
      <c r="N4" s="4" t="str">
        <f t="shared" ref="N4:N41" si="33">IF(M4&gt;=80,"A",IF(M4&gt;=75,"B+",IF(M4&gt;=70,"B",IF(M4&gt;=65,"C+",IF(M4&gt;=60,"C",IF(M4&gt;=55,"D",IF(M4&lt;54,"E")))))))</f>
        <v>A</v>
      </c>
      <c r="O4" s="3">
        <f t="shared" ref="O4:O41" si="34">IF(N4="A",4,IF(N4="B+",3.5,IF(N4="B",3,IF(N4="C+",2.5,IF(N4="C",2,IF(N4="D",1,0))))))</f>
        <v>4</v>
      </c>
      <c r="P4" s="3">
        <v>2</v>
      </c>
      <c r="Q4" s="12">
        <f t="shared" ref="Q4:Q41" si="35">O4*P4</f>
        <v>8</v>
      </c>
      <c r="R4" s="15">
        <v>79</v>
      </c>
      <c r="S4" s="4" t="str">
        <f t="shared" ref="S4:S41" si="36">IF(R4&gt;=80,"A",IF(R4&gt;=75,"B+",IF(R4&gt;=70,"B",IF(R4&gt;=65,"C+",IF(R4&gt;=60,"C",IF(R4&gt;=55,"D",IF(R4&lt;54,"E")))))))</f>
        <v>B+</v>
      </c>
      <c r="T4" s="3">
        <f t="shared" ref="T4:T41" si="37">IF(S4="A",4,IF(S4="B+",3.5,IF(S4="B",3,IF(S4="C+",2.5,IF(S4="C",2,IF(S4="D",1,0))))))</f>
        <v>3.5</v>
      </c>
      <c r="U4" s="3">
        <v>2</v>
      </c>
      <c r="V4" s="12">
        <f t="shared" ref="V4:V41" si="38">T4*U4</f>
        <v>7</v>
      </c>
      <c r="W4" s="8">
        <v>80</v>
      </c>
      <c r="X4" s="4" t="str">
        <f t="shared" ref="X4:X41" si="39">IF(W4&gt;=80,"A",IF(W4&gt;=75,"B+",IF(W4&gt;=70,"B",IF(W4&gt;=65,"C+",IF(W4&gt;=60,"C",IF(W4&gt;=55,"D",IF(W4&lt;54,"E")))))))</f>
        <v>A</v>
      </c>
      <c r="Y4" s="3">
        <f t="shared" ref="Y4:Y41" si="40">IF(X4="A",4,IF(X4="B+",3.5,IF(X4="B",3,IF(X4="C+",2.5,IF(X4="C",2,IF(X4="D",1,0))))))</f>
        <v>4</v>
      </c>
      <c r="Z4" s="3">
        <v>3</v>
      </c>
      <c r="AA4" s="12">
        <f t="shared" ref="AA4:AA41" si="41">Y4*Z4</f>
        <v>12</v>
      </c>
      <c r="AB4" s="3">
        <v>78.900000000000006</v>
      </c>
      <c r="AC4" s="4" t="str">
        <f t="shared" ref="AC4:AC41" si="42">IF(AB4&gt;=80,"A",IF(AB4&gt;=75,"B+",IF(AB4&gt;=70,"B",IF(AB4&gt;=65,"C+",IF(AB4&gt;=60,"C",IF(AB4&gt;=55,"D",IF(AB4&lt;54,"E")))))))</f>
        <v>B+</v>
      </c>
      <c r="AD4" s="3">
        <f t="shared" ref="AD4:AD41" si="43">IF(AC4="A",4,IF(AC4="B+",3.5,IF(AC4="B",3,IF(AC4="C+",2.5,IF(AC4="C",2,IF(AC4="D",1,0))))))</f>
        <v>3.5</v>
      </c>
      <c r="AE4" s="3">
        <v>2</v>
      </c>
      <c r="AF4" s="12">
        <f t="shared" ref="AF4:AF41" si="44">AD4*AE4</f>
        <v>7</v>
      </c>
      <c r="AG4" s="3">
        <v>82.1</v>
      </c>
      <c r="AH4" s="4" t="str">
        <f t="shared" ref="AH4:AH41" si="45">IF(AG4&gt;=80,"A",IF(AG4&gt;=75,"B+",IF(AG4&gt;=70,"B",IF(AG4&gt;=65,"C+",IF(AG4&gt;=60,"C",IF(AG4&gt;=55,"D",IF(AG4&lt;54,"E")))))))</f>
        <v>A</v>
      </c>
      <c r="AI4" s="3">
        <f t="shared" ref="AI4:AI41" si="46">IF(AH4="A",4,IF(AH4="B+",3.5,IF(AH4="B",3,IF(AH4="C+",2.5,IF(AH4="C",2,IF(AH4="D",1,0))))))</f>
        <v>4</v>
      </c>
      <c r="AJ4" s="3">
        <v>2</v>
      </c>
      <c r="AK4" s="12">
        <f t="shared" ref="AK4:AK41" si="47">AI4*AJ4</f>
        <v>8</v>
      </c>
      <c r="AL4" s="3">
        <v>80</v>
      </c>
      <c r="AM4" s="4" t="str">
        <f t="shared" ref="AM4:AM41" si="48">IF(AL4&gt;=80,"A",IF(AL4&gt;=75,"B+",IF(AL4&gt;=70,"B",IF(AL4&gt;=65,"C+",IF(AL4&gt;=60,"C",IF(AL4&gt;=55,"D",IF(AL4&lt;54,"E")))))))</f>
        <v>A</v>
      </c>
      <c r="AN4" s="3">
        <f t="shared" ref="AN4:AN41" si="49">IF(AM4="A",4,IF(AM4="B+",3.5,IF(AM4="B",3,IF(AM4="C+",2.5,IF(AM4="C",2,IF(AM4="D",1,0))))))</f>
        <v>4</v>
      </c>
      <c r="AO4" s="3">
        <v>2</v>
      </c>
      <c r="AP4" s="12">
        <f t="shared" ref="AP4:AP41" si="50">AN4*AO4</f>
        <v>8</v>
      </c>
      <c r="AQ4" s="9">
        <v>84.633333333333326</v>
      </c>
      <c r="AR4" s="4" t="str">
        <f t="shared" ref="AR4:AR41" si="51">IF(AQ4&gt;=80,"A",IF(AQ4&gt;=75,"B+",IF(AQ4&gt;=70,"B",IF(AQ4&gt;=65,"C+",IF(AQ4&gt;=60,"C",IF(AQ4&gt;=55,"D",IF(AQ4&lt;54,"E")))))))</f>
        <v>A</v>
      </c>
      <c r="AS4" s="3">
        <f t="shared" ref="AS4:AS41" si="52">IF(AR4="A",4,IF(AR4="B+",3.5,IF(AR4="B",3,IF(AR4="C+",2.5,IF(AR4="C",2,IF(AR4="D",1,0))))))</f>
        <v>4</v>
      </c>
      <c r="AT4" s="3">
        <v>2</v>
      </c>
      <c r="AU4" s="12">
        <f t="shared" ref="AU4:AU41" si="53">AS4*AT4</f>
        <v>8</v>
      </c>
      <c r="AV4" s="8">
        <v>71</v>
      </c>
      <c r="AW4" s="4" t="str">
        <f t="shared" ref="AW4:AW41" si="54">IF(AV4&gt;=80,"A",IF(AV4&gt;=75,"B+",IF(AV4&gt;=70,"B",IF(AV4&gt;=65,"C+",IF(AV4&gt;=60,"C",IF(AV4&gt;=55,"D",IF(AV4&lt;54,"E")))))))</f>
        <v>B</v>
      </c>
      <c r="AX4" s="3">
        <f t="shared" ref="AX4:AX41" si="55">IF(AW4="A",4,IF(AW4="B+",3.5,IF(AW4="B",3,IF(AW4="C+",2.5,IF(AW4="C",2,IF(AW4="D",1,0))))))</f>
        <v>3</v>
      </c>
      <c r="AY4" s="3">
        <v>3</v>
      </c>
      <c r="AZ4" s="12">
        <f t="shared" ref="AZ4:AZ41" si="56">AX4*AY4</f>
        <v>9</v>
      </c>
      <c r="BA4" s="3">
        <v>74.525000000000006</v>
      </c>
      <c r="BB4" s="4" t="str">
        <f t="shared" ref="BB4:BB41" si="57">IF(BA4&gt;=80,"A",IF(BA4&gt;=75,"B+",IF(BA4&gt;=70,"B",IF(BA4&gt;=65,"C+",IF(BA4&gt;=60,"C",IF(BA4&gt;=55,"D",IF(BA4&lt;54,"E")))))))</f>
        <v>B</v>
      </c>
      <c r="BC4" s="3">
        <f t="shared" ref="BC4:BC41" si="58">IF(BB4="A",4,IF(BB4="B+",3.5,IF(BB4="B",3,IF(BB4="C+",2.5,IF(BB4="C",2,IF(BB4="D",1,0))))))</f>
        <v>3</v>
      </c>
      <c r="BD4" s="3">
        <v>2</v>
      </c>
      <c r="BE4" s="12">
        <f t="shared" ref="BE4:BE41" si="59">BC4*BD4</f>
        <v>6</v>
      </c>
      <c r="BF4" s="3">
        <v>80</v>
      </c>
      <c r="BG4" s="4" t="str">
        <f t="shared" ref="BG4:BG41" si="60">IF(BF4&gt;=80,"A",IF(BF4&gt;=75,"B+",IF(BF4&gt;=70,"B",IF(BF4&gt;=65,"C+",IF(BF4&gt;=60,"C",IF(BF4&gt;=55,"D",IF(BF4&lt;54,"E")))))))</f>
        <v>A</v>
      </c>
      <c r="BH4" s="3">
        <f t="shared" ref="BH4:BH41" si="61">IF(BG4="A",4,IF(BG4="B+",3.5,IF(BG4="B",3,IF(BG4="C+",2.5,IF(BG4="C",2,IF(BG4="D",1,0))))))</f>
        <v>4</v>
      </c>
      <c r="BI4" s="3">
        <v>2</v>
      </c>
      <c r="BJ4" s="12">
        <f t="shared" ref="BJ4:BJ41" si="62">BH4*BI4</f>
        <v>8</v>
      </c>
      <c r="BK4" s="16">
        <v>81.680000000000007</v>
      </c>
      <c r="BL4" s="4" t="str">
        <f t="shared" ref="BL4:BL41" si="63">IF(BK4&gt;=80,"A",IF(BK4&gt;=75,"B+",IF(BK4&gt;=70,"B",IF(BK4&gt;=65,"C+",IF(BK4&gt;=60,"C",IF(BK4&gt;=55,"D",IF(BK4&lt;54,"E")))))))</f>
        <v>A</v>
      </c>
      <c r="BM4" s="3">
        <f t="shared" ref="BM4:BM41" si="64">IF(BL4="A",4,IF(BL4="B+",3.5,IF(BL4="B",3,IF(BL4="C+",2.5,IF(BL4="C",2,IF(BL4="D",1,0))))))</f>
        <v>4</v>
      </c>
      <c r="BN4" s="3">
        <v>2</v>
      </c>
      <c r="BO4" s="12">
        <f t="shared" ref="BO4:BO41" si="65">BM4*BN4</f>
        <v>8</v>
      </c>
      <c r="BP4" s="19">
        <v>79.349999999999994</v>
      </c>
      <c r="BQ4" s="4" t="str">
        <f t="shared" ref="BQ4:BQ41" si="66">IF(BP4&gt;=80,"A",IF(BP4&gt;=75,"B+",IF(BP4&gt;=70,"B",IF(BP4&gt;=65,"C+",IF(BP4&gt;=60,"C",IF(BP4&gt;=55,"D",IF(BP4&lt;54,"E")))))))</f>
        <v>B+</v>
      </c>
      <c r="BR4" s="3">
        <f t="shared" ref="BR4:BR41" si="67">IF(BQ4="A",4,IF(BQ4="B+",3.5,IF(BQ4="B",3,IF(BQ4="C+",2.5,IF(BQ4="C",2,IF(BQ4="D",1,0))))))</f>
        <v>3.5</v>
      </c>
      <c r="BS4" s="3">
        <v>2</v>
      </c>
      <c r="BT4" s="12">
        <f t="shared" ref="BT4:BT41" si="68">BR4*BS4</f>
        <v>7</v>
      </c>
      <c r="BU4" s="5">
        <v>79.599999999999994</v>
      </c>
      <c r="BV4" s="4" t="str">
        <f t="shared" ref="BV4:BV41" si="69">IF(BU4&gt;=80,"A",IF(BU4&gt;=75,"B+",IF(BU4&gt;=70,"B",IF(BU4&gt;=65,"C+",IF(BU4&gt;=60,"C",IF(BU4&gt;=55,"D",IF(BU4&lt;54,"E")))))))</f>
        <v>B+</v>
      </c>
      <c r="BW4" s="3">
        <f t="shared" ref="BW4:BW41" si="70">IF(BV4="A",4,IF(BV4="B+",3.5,IF(BV4="B",3,IF(BV4="C+",2.5,IF(BV4="C",2,IF(BV4="D",1,0))))))</f>
        <v>3.5</v>
      </c>
      <c r="BX4" s="3">
        <v>2</v>
      </c>
      <c r="BY4" s="12">
        <f t="shared" ref="BY4:BY41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1" si="72">CB4*CC4</f>
        <v>7</v>
      </c>
      <c r="CE4" s="20">
        <v>76.8</v>
      </c>
      <c r="CF4" s="4" t="str">
        <f t="shared" si="16"/>
        <v>B+</v>
      </c>
      <c r="CG4" s="3">
        <f t="shared" ref="CG4:CG41" si="73">IF(CF4="A",4,IF(CF4="B+",3.5,IF(CF4="B",3,IF(CF4="C+",2.5,IF(CF4="C",2,IF(CF4="D",1,0))))))</f>
        <v>3.5</v>
      </c>
      <c r="CH4" s="3">
        <v>2</v>
      </c>
      <c r="CI4" s="12">
        <f t="shared" ref="CI4:CI41" si="74">CG4*CH4</f>
        <v>7</v>
      </c>
      <c r="CJ4" s="6">
        <v>79.95</v>
      </c>
      <c r="CK4" s="4" t="str">
        <f t="shared" si="18"/>
        <v>B+</v>
      </c>
      <c r="CL4" s="3">
        <f t="shared" ref="CL4:CL41" si="75">IF(CK4="A",4,IF(CK4="B+",3.5,IF(CK4="B",3,IF(CK4="C+",2.5,IF(CK4="C",2,IF(CK4="D",1,0))))))</f>
        <v>3.5</v>
      </c>
      <c r="CM4" s="3">
        <v>2</v>
      </c>
      <c r="CN4" s="12">
        <f t="shared" ref="CN4:CN41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1" si="77">CQ4*CR4</f>
        <v>6</v>
      </c>
      <c r="CT4" s="15">
        <v>80</v>
      </c>
      <c r="CU4" s="4" t="str">
        <f t="shared" si="22"/>
        <v>A</v>
      </c>
      <c r="CV4" s="3">
        <f t="shared" ref="CV4:CV41" si="78">IF(CU4="A",4,IF(CU4="B+",3.5,IF(CU4="B",3,IF(CU4="C+",2.5,IF(CU4="C",2,IF(CU4="D",1,0))))))</f>
        <v>4</v>
      </c>
      <c r="CW4" s="3">
        <v>2</v>
      </c>
      <c r="CX4" s="12">
        <f t="shared" ref="CX4:CX41" si="79">CV4*CW4</f>
        <v>8</v>
      </c>
      <c r="CY4" s="8">
        <v>80</v>
      </c>
      <c r="CZ4" s="4" t="str">
        <f t="shared" si="24"/>
        <v>A</v>
      </c>
      <c r="DA4" s="3">
        <f t="shared" ref="DA4:DA41" si="80">IF(CZ4="A",4,IF(CZ4="B+",3.5,IF(CZ4="B",3,IF(CZ4="C+",2.5,IF(CZ4="C",2,IF(CZ4="D",1,0))))))</f>
        <v>4</v>
      </c>
      <c r="DB4" s="3">
        <v>2</v>
      </c>
      <c r="DC4" s="12">
        <f t="shared" ref="DC4:DC41" si="81">DA4*DB4</f>
        <v>8</v>
      </c>
      <c r="DD4" s="3">
        <v>78.800000000000011</v>
      </c>
      <c r="DE4" s="4" t="str">
        <f t="shared" si="26"/>
        <v>B+</v>
      </c>
      <c r="DF4" s="3">
        <f t="shared" ref="DF4:DF41" si="82">IF(DE4="A",4,IF(DE4="B+",3.5,IF(DE4="B",3,IF(DE4="C+",2.5,IF(DE4="C",2,IF(DE4="D",1,0))))))</f>
        <v>3.5</v>
      </c>
      <c r="DG4" s="3">
        <v>2</v>
      </c>
      <c r="DH4" s="12">
        <f t="shared" ref="DH4:DH41" si="83">DF4*DG4</f>
        <v>7</v>
      </c>
      <c r="DI4" s="3">
        <v>80.164999999999992</v>
      </c>
      <c r="DJ4" s="4" t="str">
        <f t="shared" si="28"/>
        <v>A</v>
      </c>
      <c r="DK4" s="3">
        <f t="shared" ref="DK4:DK41" si="84">IF(DJ4="A",4,IF(DJ4="B+",3.5,IF(DJ4="B",3,IF(DJ4="C+",2.5,IF(DJ4="C",2,IF(DJ4="D",1,0))))))</f>
        <v>4</v>
      </c>
      <c r="DL4" s="3">
        <v>4</v>
      </c>
      <c r="DM4" s="12">
        <f t="shared" ref="DM4:DM41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1" si="86">IF(DU4&gt;=3.51,"Cum Laude",(IF(DU4&gt;=2.75,"Sangat Memuaskan",(IF(DU4&gt;=2,"Memuaskan","GAGAL")))))</f>
        <v>Cum Laude</v>
      </c>
      <c r="DW4" s="12" t="str">
        <f t="shared" ref="DW4:DW41" si="87">IF(DU4&gt;=3.51,"Excellent",(IF(DU4&gt;=2.75,"Highly Satisfactory",(IF(DU4&gt;=2,"Satisfactory","FAILED")))))</f>
        <v>Excellent</v>
      </c>
      <c r="DX4" s="22" t="s">
        <v>167</v>
      </c>
      <c r="DY4" s="34" t="s">
        <v>185</v>
      </c>
    </row>
    <row r="5" spans="1:129" x14ac:dyDescent="0.25">
      <c r="A5" s="3">
        <v>3</v>
      </c>
      <c r="B5" s="2" t="s">
        <v>28</v>
      </c>
      <c r="C5" s="2">
        <v>172312022</v>
      </c>
      <c r="D5" s="11" t="s">
        <v>87</v>
      </c>
      <c r="E5" s="13" t="s">
        <v>88</v>
      </c>
      <c r="F5" s="2"/>
      <c r="G5" s="2"/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22" t="s">
        <v>144</v>
      </c>
      <c r="DY5" s="34" t="s">
        <v>186</v>
      </c>
    </row>
    <row r="6" spans="1:129" ht="30" customHeight="1" x14ac:dyDescent="0.25">
      <c r="A6" s="3">
        <v>4</v>
      </c>
      <c r="B6" s="2" t="s">
        <v>29</v>
      </c>
      <c r="C6" s="2">
        <v>172312023</v>
      </c>
      <c r="D6" s="11" t="s">
        <v>90</v>
      </c>
      <c r="E6" s="13" t="s">
        <v>91</v>
      </c>
      <c r="F6" s="2"/>
      <c r="G6" s="2"/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22" t="s">
        <v>168</v>
      </c>
      <c r="DY6" s="34" t="s">
        <v>187</v>
      </c>
    </row>
    <row r="7" spans="1:129" x14ac:dyDescent="0.25">
      <c r="A7" s="3">
        <v>5</v>
      </c>
      <c r="B7" s="2" t="s">
        <v>30</v>
      </c>
      <c r="C7" s="2">
        <v>172312024</v>
      </c>
      <c r="D7" s="12" t="s">
        <v>86</v>
      </c>
      <c r="E7" s="13" t="s">
        <v>132</v>
      </c>
      <c r="F7" s="2"/>
      <c r="G7" s="2"/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22" t="s">
        <v>169</v>
      </c>
      <c r="DY7" s="34" t="s">
        <v>188</v>
      </c>
    </row>
    <row r="8" spans="1:129" ht="15" customHeight="1" x14ac:dyDescent="0.25">
      <c r="A8" s="3">
        <v>6</v>
      </c>
      <c r="B8" s="2" t="s">
        <v>31</v>
      </c>
      <c r="C8" s="2">
        <v>172312025</v>
      </c>
      <c r="D8" s="11" t="s">
        <v>135</v>
      </c>
      <c r="E8" s="13" t="s">
        <v>136</v>
      </c>
      <c r="F8" s="2"/>
      <c r="G8" s="2"/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22" t="s">
        <v>170</v>
      </c>
      <c r="DY8" s="34" t="s">
        <v>189</v>
      </c>
    </row>
    <row r="9" spans="1:129" ht="30" x14ac:dyDescent="0.25">
      <c r="A9" s="3">
        <v>7</v>
      </c>
      <c r="B9" s="2" t="s">
        <v>32</v>
      </c>
      <c r="C9" s="2">
        <v>172312026</v>
      </c>
      <c r="D9" s="11" t="s">
        <v>90</v>
      </c>
      <c r="E9" s="13" t="s">
        <v>92</v>
      </c>
      <c r="F9" s="2"/>
      <c r="G9" s="2"/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22" t="s">
        <v>162</v>
      </c>
      <c r="DY9" s="34" t="s">
        <v>190</v>
      </c>
    </row>
    <row r="10" spans="1:129" ht="15" customHeight="1" x14ac:dyDescent="0.25">
      <c r="A10" s="3">
        <v>8</v>
      </c>
      <c r="B10" s="2" t="s">
        <v>33</v>
      </c>
      <c r="C10" s="2">
        <v>172312027</v>
      </c>
      <c r="D10" s="11" t="s">
        <v>93</v>
      </c>
      <c r="E10" s="13" t="s">
        <v>94</v>
      </c>
      <c r="F10" s="2"/>
      <c r="G10" s="2"/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22" t="s">
        <v>145</v>
      </c>
      <c r="DY10" s="34" t="s">
        <v>191</v>
      </c>
    </row>
    <row r="11" spans="1:129" ht="15.75" customHeight="1" x14ac:dyDescent="0.25">
      <c r="A11" s="3">
        <v>9</v>
      </c>
      <c r="B11" s="2" t="s">
        <v>34</v>
      </c>
      <c r="C11" s="2">
        <v>172312028</v>
      </c>
      <c r="D11" s="11" t="s">
        <v>90</v>
      </c>
      <c r="E11" s="13" t="s">
        <v>95</v>
      </c>
      <c r="F11" s="2"/>
      <c r="G11" s="2"/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22" t="s">
        <v>163</v>
      </c>
      <c r="DY11" s="34" t="s">
        <v>192</v>
      </c>
    </row>
    <row r="12" spans="1:129" x14ac:dyDescent="0.25">
      <c r="A12" s="3">
        <v>10</v>
      </c>
      <c r="B12" s="2" t="s">
        <v>35</v>
      </c>
      <c r="C12" s="2">
        <v>172312029</v>
      </c>
      <c r="D12" s="12" t="s">
        <v>133</v>
      </c>
      <c r="E12" s="13" t="s">
        <v>134</v>
      </c>
      <c r="F12" s="2"/>
      <c r="G12" s="2"/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22" t="s">
        <v>171</v>
      </c>
      <c r="DY12" s="34" t="s">
        <v>193</v>
      </c>
    </row>
    <row r="13" spans="1:129" x14ac:dyDescent="0.25">
      <c r="A13" s="3">
        <v>11</v>
      </c>
      <c r="B13" s="2" t="s">
        <v>36</v>
      </c>
      <c r="C13" s="2">
        <v>172312030</v>
      </c>
      <c r="D13" s="11" t="s">
        <v>96</v>
      </c>
      <c r="E13" s="13" t="s">
        <v>97</v>
      </c>
      <c r="F13" s="2"/>
      <c r="G13" s="2"/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22" t="s">
        <v>172</v>
      </c>
      <c r="DY13" s="34" t="s">
        <v>194</v>
      </c>
    </row>
    <row r="14" spans="1:129" x14ac:dyDescent="0.25">
      <c r="A14" s="3">
        <v>12</v>
      </c>
      <c r="B14" s="2" t="s">
        <v>37</v>
      </c>
      <c r="C14" s="2">
        <v>172312031</v>
      </c>
      <c r="D14" s="11" t="s">
        <v>98</v>
      </c>
      <c r="E14" s="13" t="s">
        <v>99</v>
      </c>
      <c r="F14" s="2"/>
      <c r="G14" s="2"/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22" t="s">
        <v>173</v>
      </c>
      <c r="DY14" s="34" t="s">
        <v>195</v>
      </c>
    </row>
    <row r="15" spans="1:129" ht="30" customHeight="1" x14ac:dyDescent="0.25">
      <c r="A15" s="3">
        <v>13</v>
      </c>
      <c r="B15" s="2" t="s">
        <v>38</v>
      </c>
      <c r="C15" s="2">
        <v>172312032</v>
      </c>
      <c r="D15" s="11" t="s">
        <v>90</v>
      </c>
      <c r="E15" s="13" t="s">
        <v>100</v>
      </c>
      <c r="F15" s="2"/>
      <c r="G15" s="2"/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1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1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22" t="s">
        <v>174</v>
      </c>
      <c r="DY15" s="34" t="s">
        <v>196</v>
      </c>
    </row>
    <row r="16" spans="1:129" x14ac:dyDescent="0.25">
      <c r="A16" s="3">
        <v>14</v>
      </c>
      <c r="B16" s="2" t="s">
        <v>39</v>
      </c>
      <c r="C16" s="2">
        <v>172312033</v>
      </c>
      <c r="D16" s="11" t="s">
        <v>101</v>
      </c>
      <c r="E16" s="13" t="s">
        <v>102</v>
      </c>
      <c r="F16" s="2"/>
      <c r="G16" s="2"/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1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1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22" t="s">
        <v>146</v>
      </c>
      <c r="DY16" s="34" t="s">
        <v>197</v>
      </c>
    </row>
    <row r="17" spans="1:129" x14ac:dyDescent="0.25">
      <c r="A17" s="3">
        <v>15</v>
      </c>
      <c r="B17" s="2" t="s">
        <v>40</v>
      </c>
      <c r="C17" s="2">
        <v>172312034</v>
      </c>
      <c r="D17" s="11" t="s">
        <v>103</v>
      </c>
      <c r="E17" s="13" t="s">
        <v>104</v>
      </c>
      <c r="F17" s="2"/>
      <c r="G17" s="2"/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3" t="s">
        <v>147</v>
      </c>
      <c r="DY17" s="34" t="s">
        <v>198</v>
      </c>
    </row>
    <row r="18" spans="1:129" x14ac:dyDescent="0.25">
      <c r="A18" s="3">
        <v>16</v>
      </c>
      <c r="B18" s="2" t="s">
        <v>41</v>
      </c>
      <c r="C18" s="2">
        <v>172312035</v>
      </c>
      <c r="D18" s="11" t="s">
        <v>105</v>
      </c>
      <c r="E18" s="13" t="s">
        <v>106</v>
      </c>
      <c r="F18" s="2"/>
      <c r="G18" s="2"/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22" t="s">
        <v>148</v>
      </c>
      <c r="DY18" s="34" t="s">
        <v>199</v>
      </c>
    </row>
    <row r="19" spans="1:129" x14ac:dyDescent="0.25">
      <c r="A19" s="3">
        <v>17</v>
      </c>
      <c r="B19" s="2" t="s">
        <v>42</v>
      </c>
      <c r="C19" s="2">
        <v>172312036</v>
      </c>
      <c r="D19" s="11" t="s">
        <v>107</v>
      </c>
      <c r="E19" s="13" t="s">
        <v>108</v>
      </c>
      <c r="F19" s="2"/>
      <c r="G19" s="2"/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22" t="s">
        <v>149</v>
      </c>
      <c r="DY19" s="34" t="s">
        <v>200</v>
      </c>
    </row>
    <row r="20" spans="1:129" x14ac:dyDescent="0.25">
      <c r="A20" s="3">
        <v>18</v>
      </c>
      <c r="B20" s="2" t="s">
        <v>43</v>
      </c>
      <c r="C20" s="2">
        <v>172312037</v>
      </c>
      <c r="D20" s="11" t="s">
        <v>109</v>
      </c>
      <c r="E20" s="13" t="s">
        <v>110</v>
      </c>
      <c r="F20" s="2"/>
      <c r="G20" s="2"/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22" t="s">
        <v>175</v>
      </c>
      <c r="DY20" s="34" t="s">
        <v>201</v>
      </c>
    </row>
    <row r="21" spans="1:129" x14ac:dyDescent="0.25">
      <c r="A21" s="3">
        <v>19</v>
      </c>
      <c r="B21" s="2" t="s">
        <v>44</v>
      </c>
      <c r="C21" s="2">
        <v>172312038</v>
      </c>
      <c r="D21" s="11" t="s">
        <v>137</v>
      </c>
      <c r="E21" s="13" t="s">
        <v>138</v>
      </c>
      <c r="F21" s="2"/>
      <c r="G21" s="2"/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22" t="s">
        <v>150</v>
      </c>
      <c r="DY21" s="34" t="s">
        <v>202</v>
      </c>
    </row>
    <row r="22" spans="1:129" x14ac:dyDescent="0.25">
      <c r="A22" s="3">
        <v>20</v>
      </c>
      <c r="B22" s="2" t="s">
        <v>45</v>
      </c>
      <c r="C22" s="2">
        <v>172312039</v>
      </c>
      <c r="D22" s="11" t="s">
        <v>90</v>
      </c>
      <c r="E22" s="13" t="s">
        <v>111</v>
      </c>
      <c r="F22" s="2"/>
      <c r="G22" s="2"/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22" t="s">
        <v>151</v>
      </c>
      <c r="DY22" s="34" t="s">
        <v>203</v>
      </c>
    </row>
    <row r="23" spans="1:129" x14ac:dyDescent="0.25">
      <c r="A23" s="3">
        <v>21</v>
      </c>
      <c r="B23" s="2" t="s">
        <v>46</v>
      </c>
      <c r="C23" s="2">
        <v>172312040</v>
      </c>
      <c r="D23" s="11" t="s">
        <v>90</v>
      </c>
      <c r="E23" s="13" t="s">
        <v>161</v>
      </c>
      <c r="F23" s="2"/>
      <c r="G23" s="2"/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22" t="s">
        <v>176</v>
      </c>
      <c r="DY23" s="34" t="s">
        <v>204</v>
      </c>
    </row>
    <row r="24" spans="1:129" x14ac:dyDescent="0.25">
      <c r="A24" s="3">
        <v>22</v>
      </c>
      <c r="B24" s="2" t="s">
        <v>47</v>
      </c>
      <c r="C24" s="2">
        <v>172312041</v>
      </c>
      <c r="D24" s="11" t="s">
        <v>139</v>
      </c>
      <c r="E24" s="13" t="s">
        <v>140</v>
      </c>
      <c r="F24" s="2"/>
      <c r="G24" s="2"/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22" t="s">
        <v>152</v>
      </c>
      <c r="DY24" s="34" t="s">
        <v>205</v>
      </c>
    </row>
    <row r="25" spans="1:129" x14ac:dyDescent="0.25">
      <c r="A25" s="3">
        <v>23</v>
      </c>
      <c r="B25" s="2" t="s">
        <v>48</v>
      </c>
      <c r="C25" s="2">
        <v>172312042</v>
      </c>
      <c r="D25" s="11" t="s">
        <v>86</v>
      </c>
      <c r="E25" s="13" t="s">
        <v>112</v>
      </c>
      <c r="F25" s="2"/>
      <c r="G25" s="2"/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22" t="s">
        <v>177</v>
      </c>
      <c r="DY25" s="34" t="s">
        <v>206</v>
      </c>
    </row>
    <row r="26" spans="1:129" x14ac:dyDescent="0.25">
      <c r="A26" s="3">
        <v>24</v>
      </c>
      <c r="B26" s="2" t="s">
        <v>49</v>
      </c>
      <c r="C26" s="2">
        <v>172312043</v>
      </c>
      <c r="D26" s="11" t="s">
        <v>90</v>
      </c>
      <c r="E26" s="13" t="s">
        <v>141</v>
      </c>
      <c r="F26" s="2"/>
      <c r="G26" s="2"/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22" t="s">
        <v>153</v>
      </c>
      <c r="DY26" s="34" t="s">
        <v>207</v>
      </c>
    </row>
    <row r="27" spans="1:129" ht="30" x14ac:dyDescent="0.25">
      <c r="A27" s="3">
        <v>25</v>
      </c>
      <c r="B27" s="2" t="s">
        <v>50</v>
      </c>
      <c r="C27" s="2">
        <v>172312044</v>
      </c>
      <c r="D27" s="11" t="s">
        <v>90</v>
      </c>
      <c r="E27" s="13" t="s">
        <v>113</v>
      </c>
      <c r="F27" s="2"/>
      <c r="G27" s="2"/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22" t="s">
        <v>154</v>
      </c>
      <c r="DY27" s="34" t="s">
        <v>208</v>
      </c>
    </row>
    <row r="28" spans="1:129" ht="30" x14ac:dyDescent="0.25">
      <c r="A28" s="3">
        <v>26</v>
      </c>
      <c r="B28" s="2" t="s">
        <v>51</v>
      </c>
      <c r="C28" s="2">
        <v>172312045</v>
      </c>
      <c r="D28" s="11" t="s">
        <v>90</v>
      </c>
      <c r="E28" s="13" t="s">
        <v>114</v>
      </c>
      <c r="F28" s="2"/>
      <c r="G28" s="2"/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22" t="s">
        <v>164</v>
      </c>
      <c r="DY28" s="34" t="s">
        <v>209</v>
      </c>
    </row>
    <row r="29" spans="1:129" x14ac:dyDescent="0.25">
      <c r="A29" s="3">
        <v>27</v>
      </c>
      <c r="B29" s="2" t="s">
        <v>52</v>
      </c>
      <c r="C29" s="2">
        <v>172312046</v>
      </c>
      <c r="D29" s="11" t="s">
        <v>115</v>
      </c>
      <c r="E29" s="13" t="s">
        <v>116</v>
      </c>
      <c r="F29" s="2"/>
      <c r="G29" s="2"/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22" t="s">
        <v>155</v>
      </c>
      <c r="DY29" s="34" t="s">
        <v>210</v>
      </c>
    </row>
    <row r="30" spans="1:129" x14ac:dyDescent="0.25">
      <c r="A30" s="3">
        <v>28</v>
      </c>
      <c r="B30" s="2" t="s">
        <v>53</v>
      </c>
      <c r="C30" s="2">
        <v>172312047</v>
      </c>
      <c r="D30" s="11" t="s">
        <v>117</v>
      </c>
      <c r="E30" s="13" t="s">
        <v>118</v>
      </c>
      <c r="F30" s="2"/>
      <c r="G30" s="2"/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22" t="s">
        <v>156</v>
      </c>
      <c r="DY30" s="34" t="s">
        <v>211</v>
      </c>
    </row>
    <row r="31" spans="1:129" x14ac:dyDescent="0.25">
      <c r="A31" s="3">
        <v>29</v>
      </c>
      <c r="B31" s="2" t="s">
        <v>54</v>
      </c>
      <c r="C31" s="2">
        <v>172312048</v>
      </c>
      <c r="D31" s="11" t="s">
        <v>119</v>
      </c>
      <c r="E31" s="13" t="s">
        <v>120</v>
      </c>
      <c r="F31" s="2"/>
      <c r="G31" s="2"/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22" t="s">
        <v>157</v>
      </c>
      <c r="DY31" s="34" t="s">
        <v>212</v>
      </c>
    </row>
    <row r="32" spans="1:129" ht="30" x14ac:dyDescent="0.25">
      <c r="A32" s="3">
        <v>30</v>
      </c>
      <c r="B32" s="2" t="s">
        <v>55</v>
      </c>
      <c r="C32" s="2">
        <v>172312049</v>
      </c>
      <c r="D32" s="11" t="s">
        <v>90</v>
      </c>
      <c r="E32" s="13" t="s">
        <v>121</v>
      </c>
      <c r="F32" s="2"/>
      <c r="G32" s="2"/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22" t="s">
        <v>178</v>
      </c>
      <c r="DY32" s="34" t="s">
        <v>213</v>
      </c>
    </row>
    <row r="33" spans="1:129" x14ac:dyDescent="0.25">
      <c r="A33" s="3">
        <v>31</v>
      </c>
      <c r="B33" s="2" t="s">
        <v>56</v>
      </c>
      <c r="C33" s="2">
        <v>172312050</v>
      </c>
      <c r="D33" s="11" t="s">
        <v>90</v>
      </c>
      <c r="E33" s="13" t="s">
        <v>122</v>
      </c>
      <c r="F33" s="2"/>
      <c r="G33" s="2"/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22" t="s">
        <v>158</v>
      </c>
      <c r="DY33" s="34" t="s">
        <v>214</v>
      </c>
    </row>
    <row r="34" spans="1:129" ht="30" x14ac:dyDescent="0.25">
      <c r="A34" s="3">
        <v>32</v>
      </c>
      <c r="B34" s="2" t="s">
        <v>57</v>
      </c>
      <c r="C34" s="2">
        <v>172312051</v>
      </c>
      <c r="D34" s="11" t="s">
        <v>107</v>
      </c>
      <c r="E34" s="13" t="s">
        <v>123</v>
      </c>
      <c r="F34" s="2"/>
      <c r="G34" s="2"/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22" t="s">
        <v>179</v>
      </c>
      <c r="DY34" s="34" t="s">
        <v>215</v>
      </c>
    </row>
    <row r="35" spans="1:129" x14ac:dyDescent="0.25">
      <c r="A35" s="3">
        <v>33</v>
      </c>
      <c r="B35" s="2" t="s">
        <v>58</v>
      </c>
      <c r="C35" s="2">
        <v>172312052</v>
      </c>
      <c r="D35" s="11" t="s">
        <v>124</v>
      </c>
      <c r="E35" s="13" t="s">
        <v>125</v>
      </c>
      <c r="F35" s="2"/>
      <c r="G35" s="2"/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22" t="s">
        <v>159</v>
      </c>
      <c r="DY35" s="34" t="s">
        <v>216</v>
      </c>
    </row>
    <row r="36" spans="1:129" ht="30" x14ac:dyDescent="0.25">
      <c r="A36" s="3">
        <v>34</v>
      </c>
      <c r="B36" s="2" t="s">
        <v>59</v>
      </c>
      <c r="C36" s="2">
        <v>172312053</v>
      </c>
      <c r="D36" s="11" t="s">
        <v>90</v>
      </c>
      <c r="E36" s="13" t="s">
        <v>126</v>
      </c>
      <c r="F36" s="2"/>
      <c r="G36" s="2"/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22" t="s">
        <v>165</v>
      </c>
      <c r="DY36" s="34" t="s">
        <v>217</v>
      </c>
    </row>
    <row r="37" spans="1:129" x14ac:dyDescent="0.25">
      <c r="A37" s="3">
        <v>35</v>
      </c>
      <c r="B37" s="2" t="s">
        <v>60</v>
      </c>
      <c r="C37" s="2">
        <v>172312054</v>
      </c>
      <c r="D37" s="11" t="s">
        <v>127</v>
      </c>
      <c r="E37" s="13" t="s">
        <v>128</v>
      </c>
      <c r="F37" s="2"/>
      <c r="G37" s="2"/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22" t="s">
        <v>180</v>
      </c>
      <c r="DY37" s="34" t="s">
        <v>218</v>
      </c>
    </row>
    <row r="38" spans="1:129" x14ac:dyDescent="0.25">
      <c r="A38" s="3">
        <v>36</v>
      </c>
      <c r="B38" s="2" t="s">
        <v>61</v>
      </c>
      <c r="C38" s="2">
        <v>172312055</v>
      </c>
      <c r="D38" s="11" t="s">
        <v>90</v>
      </c>
      <c r="E38" s="13" t="s">
        <v>129</v>
      </c>
      <c r="F38" s="2"/>
      <c r="G38" s="2"/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22" t="s">
        <v>160</v>
      </c>
      <c r="DY38" s="34" t="s">
        <v>219</v>
      </c>
    </row>
    <row r="39" spans="1:129" x14ac:dyDescent="0.25">
      <c r="A39" s="3">
        <v>37</v>
      </c>
      <c r="B39" s="32" t="s">
        <v>62</v>
      </c>
      <c r="C39" s="2">
        <v>172312056</v>
      </c>
      <c r="D39" s="11"/>
      <c r="E39" s="13"/>
      <c r="F39" s="2"/>
      <c r="G39" s="2"/>
      <c r="H39" s="16">
        <v>77.933333333333337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83.433333333333337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78.800000000000011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75.5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83.433333333333337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83.966666666666669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70.724999999999994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78.960000000000008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73.849999999999994</v>
      </c>
      <c r="BQ39" s="4" t="str">
        <f t="shared" si="66"/>
        <v>B</v>
      </c>
      <c r="BR39" s="3">
        <f t="shared" si="67"/>
        <v>3</v>
      </c>
      <c r="BS39" s="3">
        <v>2</v>
      </c>
      <c r="BT39" s="12">
        <f t="shared" si="68"/>
        <v>6</v>
      </c>
      <c r="BU39" s="6">
        <v>70</v>
      </c>
      <c r="BV39" s="4" t="str">
        <f t="shared" si="69"/>
        <v>B</v>
      </c>
      <c r="BW39" s="3">
        <f t="shared" si="70"/>
        <v>3</v>
      </c>
      <c r="BX39" s="3">
        <v>2</v>
      </c>
      <c r="BY39" s="12">
        <f t="shared" si="71"/>
        <v>6</v>
      </c>
      <c r="BZ39" s="3">
        <v>78.599999999999994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76.8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76.125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70.2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77.95</v>
      </c>
      <c r="CU39" s="4" t="str">
        <f t="shared" si="22"/>
        <v>B+</v>
      </c>
      <c r="CV39" s="3">
        <f t="shared" si="78"/>
        <v>3.5</v>
      </c>
      <c r="CW39" s="3">
        <v>2</v>
      </c>
      <c r="CX39" s="12">
        <f t="shared" si="79"/>
        <v>7</v>
      </c>
      <c r="CY39" s="21">
        <v>77.95</v>
      </c>
      <c r="CZ39" s="4" t="str">
        <f t="shared" si="24"/>
        <v>B+</v>
      </c>
      <c r="DA39" s="3">
        <f t="shared" si="80"/>
        <v>3.5</v>
      </c>
      <c r="DB39" s="3">
        <v>2</v>
      </c>
      <c r="DC39" s="12">
        <f t="shared" si="81"/>
        <v>7</v>
      </c>
      <c r="DD39" s="3">
        <v>74.7</v>
      </c>
      <c r="DE39" s="4" t="str">
        <f t="shared" si="26"/>
        <v>B</v>
      </c>
      <c r="DF39" s="3">
        <f t="shared" si="82"/>
        <v>3</v>
      </c>
      <c r="DG39" s="3">
        <v>2</v>
      </c>
      <c r="DH39" s="12">
        <f t="shared" si="83"/>
        <v>6</v>
      </c>
      <c r="DI39" s="3">
        <v>70</v>
      </c>
      <c r="DJ39" s="4" t="str">
        <f t="shared" si="28"/>
        <v>B</v>
      </c>
      <c r="DK39" s="3">
        <f t="shared" si="84"/>
        <v>3</v>
      </c>
      <c r="DL39" s="3">
        <v>4</v>
      </c>
      <c r="DM39" s="12">
        <f t="shared" si="85"/>
        <v>12</v>
      </c>
      <c r="DN39" s="3">
        <v>85.5</v>
      </c>
      <c r="DO39" s="3">
        <v>24</v>
      </c>
      <c r="DP39" s="3">
        <v>78</v>
      </c>
      <c r="DQ39" s="3">
        <v>24</v>
      </c>
      <c r="DR39" s="3">
        <v>163.5</v>
      </c>
      <c r="DS39" s="3">
        <v>48</v>
      </c>
      <c r="DT39" s="9">
        <v>3.40625</v>
      </c>
      <c r="DU39" s="9">
        <v>3.40625</v>
      </c>
      <c r="DV39" s="12" t="str">
        <f t="shared" si="86"/>
        <v>Sangat Memuaskan</v>
      </c>
      <c r="DW39" s="12" t="str">
        <f t="shared" si="87"/>
        <v>Highly Satisfactory</v>
      </c>
      <c r="DX39" s="22"/>
      <c r="DY39" s="34"/>
    </row>
    <row r="40" spans="1:129" x14ac:dyDescent="0.25">
      <c r="A40" s="3">
        <v>38</v>
      </c>
      <c r="B40" s="2" t="s">
        <v>63</v>
      </c>
      <c r="C40" s="2">
        <v>172312057</v>
      </c>
      <c r="D40" s="11" t="s">
        <v>142</v>
      </c>
      <c r="E40" s="13" t="s">
        <v>143</v>
      </c>
      <c r="F40" s="2"/>
      <c r="G40" s="2"/>
      <c r="H40" s="16">
        <v>76.866666666666674</v>
      </c>
      <c r="I40" s="4" t="str">
        <f t="shared" si="30"/>
        <v>B+</v>
      </c>
      <c r="J40" s="3">
        <f t="shared" si="31"/>
        <v>3.5</v>
      </c>
      <c r="K40" s="3">
        <v>2</v>
      </c>
      <c r="L40" s="12">
        <f t="shared" si="32"/>
        <v>7</v>
      </c>
      <c r="M40" s="19">
        <v>82.366666666666674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75.900000000000006</v>
      </c>
      <c r="AC40" s="4" t="str">
        <f t="shared" si="42"/>
        <v>B+</v>
      </c>
      <c r="AD40" s="3">
        <f t="shared" si="43"/>
        <v>3.5</v>
      </c>
      <c r="AE40" s="3">
        <v>2</v>
      </c>
      <c r="AF40" s="12">
        <f t="shared" si="44"/>
        <v>7</v>
      </c>
      <c r="AG40" s="6">
        <v>82.366666666666674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86.233333333333334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69</v>
      </c>
      <c r="AW40" s="4" t="str">
        <f t="shared" si="54"/>
        <v>C+</v>
      </c>
      <c r="AX40" s="3">
        <f t="shared" si="55"/>
        <v>2.5</v>
      </c>
      <c r="AY40" s="3">
        <v>3</v>
      </c>
      <c r="AZ40" s="12">
        <f t="shared" si="56"/>
        <v>7.5</v>
      </c>
      <c r="BA40" s="3">
        <v>72.325000000000003</v>
      </c>
      <c r="BB40" s="4" t="str">
        <f t="shared" si="57"/>
        <v>B</v>
      </c>
      <c r="BC40" s="3">
        <f t="shared" si="58"/>
        <v>3</v>
      </c>
      <c r="BD40" s="3">
        <v>2</v>
      </c>
      <c r="BE40" s="12">
        <f t="shared" si="59"/>
        <v>6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78.08</v>
      </c>
      <c r="BL40" s="4" t="str">
        <f t="shared" si="63"/>
        <v>B+</v>
      </c>
      <c r="BM40" s="3">
        <f t="shared" si="64"/>
        <v>3.5</v>
      </c>
      <c r="BN40" s="3">
        <v>2</v>
      </c>
      <c r="BO40" s="12">
        <f t="shared" si="65"/>
        <v>7</v>
      </c>
      <c r="BP40" s="19">
        <v>78.75</v>
      </c>
      <c r="BQ40" s="4" t="str">
        <f t="shared" si="66"/>
        <v>B+</v>
      </c>
      <c r="BR40" s="3">
        <f t="shared" si="67"/>
        <v>3.5</v>
      </c>
      <c r="BS40" s="3">
        <v>2</v>
      </c>
      <c r="BT40" s="12">
        <f t="shared" si="68"/>
        <v>7</v>
      </c>
      <c r="BU40" s="6">
        <v>75</v>
      </c>
      <c r="BV40" s="4" t="str">
        <f t="shared" si="69"/>
        <v>B+</v>
      </c>
      <c r="BW40" s="3">
        <f t="shared" si="70"/>
        <v>3.5</v>
      </c>
      <c r="BX40" s="3">
        <v>2</v>
      </c>
      <c r="BY40" s="12">
        <f t="shared" si="71"/>
        <v>7</v>
      </c>
      <c r="BZ40" s="3">
        <v>79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79.599999999999994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75.325000000000003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71.400000000000006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81.599999999999994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81.599999999999994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76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78.8</v>
      </c>
      <c r="DJ40" s="4" t="str">
        <f t="shared" si="28"/>
        <v>B+</v>
      </c>
      <c r="DK40" s="3">
        <f t="shared" si="84"/>
        <v>3.5</v>
      </c>
      <c r="DL40" s="3">
        <v>4</v>
      </c>
      <c r="DM40" s="12">
        <f t="shared" si="85"/>
        <v>14</v>
      </c>
      <c r="DN40" s="3">
        <v>85.5</v>
      </c>
      <c r="DO40" s="3">
        <v>24</v>
      </c>
      <c r="DP40" s="3">
        <v>85</v>
      </c>
      <c r="DQ40" s="3">
        <v>24</v>
      </c>
      <c r="DR40" s="3">
        <v>170.5</v>
      </c>
      <c r="DS40" s="3">
        <v>48</v>
      </c>
      <c r="DT40" s="9">
        <v>3.5520833333333335</v>
      </c>
      <c r="DU40" s="9">
        <v>3.5520833333333335</v>
      </c>
      <c r="DV40" s="12" t="str">
        <f t="shared" si="86"/>
        <v>Cum Laude</v>
      </c>
      <c r="DW40" s="12" t="str">
        <f t="shared" si="87"/>
        <v>Excellent</v>
      </c>
      <c r="DX40" s="22" t="s">
        <v>181</v>
      </c>
      <c r="DY40" s="34" t="s">
        <v>220</v>
      </c>
    </row>
    <row r="41" spans="1:129" x14ac:dyDescent="0.25">
      <c r="A41" s="3">
        <v>39</v>
      </c>
      <c r="B41" s="2" t="s">
        <v>64</v>
      </c>
      <c r="C41" s="2">
        <v>172312058</v>
      </c>
      <c r="D41" s="11" t="s">
        <v>130</v>
      </c>
      <c r="E41" s="13" t="s">
        <v>131</v>
      </c>
      <c r="F41" s="2"/>
      <c r="G41" s="2"/>
      <c r="H41" s="16">
        <v>80.066666666666663</v>
      </c>
      <c r="I41" s="4" t="str">
        <f t="shared" si="30"/>
        <v>A</v>
      </c>
      <c r="J41" s="3">
        <f t="shared" si="31"/>
        <v>4</v>
      </c>
      <c r="K41" s="3">
        <v>2</v>
      </c>
      <c r="L41" s="12">
        <f t="shared" si="32"/>
        <v>8</v>
      </c>
      <c r="M41" s="19">
        <v>86.233333333333334</v>
      </c>
      <c r="N41" s="4" t="str">
        <f t="shared" si="33"/>
        <v>A</v>
      </c>
      <c r="O41" s="3">
        <f t="shared" si="34"/>
        <v>4</v>
      </c>
      <c r="P41" s="3">
        <v>2</v>
      </c>
      <c r="Q41" s="12">
        <f t="shared" si="35"/>
        <v>8</v>
      </c>
      <c r="R41" s="6">
        <v>78.599999999999994</v>
      </c>
      <c r="S41" s="4" t="str">
        <f t="shared" si="36"/>
        <v>B+</v>
      </c>
      <c r="T41" s="3">
        <f t="shared" si="37"/>
        <v>3.5</v>
      </c>
      <c r="U41" s="3">
        <v>2</v>
      </c>
      <c r="V41" s="12">
        <f t="shared" si="38"/>
        <v>7</v>
      </c>
      <c r="W41" s="3">
        <v>80.599999999999994</v>
      </c>
      <c r="X41" s="4" t="str">
        <f t="shared" si="39"/>
        <v>A</v>
      </c>
      <c r="Y41" s="3">
        <f t="shared" si="40"/>
        <v>4</v>
      </c>
      <c r="Z41" s="3">
        <v>3</v>
      </c>
      <c r="AA41" s="12">
        <f t="shared" si="41"/>
        <v>12</v>
      </c>
      <c r="AB41" s="6">
        <v>83.200000000000017</v>
      </c>
      <c r="AC41" s="4" t="str">
        <f t="shared" si="42"/>
        <v>A</v>
      </c>
      <c r="AD41" s="3">
        <f t="shared" si="43"/>
        <v>4</v>
      </c>
      <c r="AE41" s="3">
        <v>2</v>
      </c>
      <c r="AF41" s="12">
        <f t="shared" si="44"/>
        <v>8</v>
      </c>
      <c r="AG41" s="6">
        <v>86.233333333333334</v>
      </c>
      <c r="AH41" s="4" t="str">
        <f t="shared" si="45"/>
        <v>A</v>
      </c>
      <c r="AI41" s="3">
        <f t="shared" si="46"/>
        <v>4</v>
      </c>
      <c r="AJ41" s="3">
        <v>2</v>
      </c>
      <c r="AK41" s="12">
        <f t="shared" si="47"/>
        <v>8</v>
      </c>
      <c r="AL41" s="7">
        <v>79.2</v>
      </c>
      <c r="AM41" s="4" t="str">
        <f t="shared" si="48"/>
        <v>B+</v>
      </c>
      <c r="AN41" s="3">
        <f t="shared" si="49"/>
        <v>3.5</v>
      </c>
      <c r="AO41" s="3">
        <v>2</v>
      </c>
      <c r="AP41" s="12">
        <f t="shared" si="50"/>
        <v>7</v>
      </c>
      <c r="AQ41" s="14">
        <v>81.966666666666669</v>
      </c>
      <c r="AR41" s="4" t="str">
        <f t="shared" si="51"/>
        <v>A</v>
      </c>
      <c r="AS41" s="3">
        <f t="shared" si="52"/>
        <v>4</v>
      </c>
      <c r="AT41" s="3">
        <v>2</v>
      </c>
      <c r="AU41" s="12">
        <f t="shared" si="53"/>
        <v>8</v>
      </c>
      <c r="AV41" s="9">
        <v>71</v>
      </c>
      <c r="AW41" s="4" t="str">
        <f t="shared" si="54"/>
        <v>B</v>
      </c>
      <c r="AX41" s="3">
        <f t="shared" si="55"/>
        <v>3</v>
      </c>
      <c r="AY41" s="3">
        <v>3</v>
      </c>
      <c r="AZ41" s="12">
        <f t="shared" si="56"/>
        <v>9</v>
      </c>
      <c r="BA41" s="3">
        <v>75.325000000000003</v>
      </c>
      <c r="BB41" s="4" t="str">
        <f t="shared" si="57"/>
        <v>B+</v>
      </c>
      <c r="BC41" s="3">
        <f t="shared" si="58"/>
        <v>3.5</v>
      </c>
      <c r="BD41" s="3">
        <v>2</v>
      </c>
      <c r="BE41" s="12">
        <f t="shared" si="59"/>
        <v>7</v>
      </c>
      <c r="BF41" s="3">
        <v>80.599999999999994</v>
      </c>
      <c r="BG41" s="4" t="str">
        <f t="shared" si="60"/>
        <v>A</v>
      </c>
      <c r="BH41" s="3">
        <f t="shared" si="61"/>
        <v>4</v>
      </c>
      <c r="BI41" s="3">
        <v>2</v>
      </c>
      <c r="BJ41" s="12">
        <f t="shared" si="62"/>
        <v>8</v>
      </c>
      <c r="BK41" s="16">
        <v>81.239999999999995</v>
      </c>
      <c r="BL41" s="4" t="str">
        <f t="shared" si="63"/>
        <v>A</v>
      </c>
      <c r="BM41" s="3">
        <f t="shared" si="64"/>
        <v>4</v>
      </c>
      <c r="BN41" s="3">
        <v>2</v>
      </c>
      <c r="BO41" s="12">
        <f t="shared" si="65"/>
        <v>8</v>
      </c>
      <c r="BP41" s="19">
        <v>80.349999999999994</v>
      </c>
      <c r="BQ41" s="4" t="str">
        <f t="shared" si="66"/>
        <v>A</v>
      </c>
      <c r="BR41" s="3">
        <f t="shared" si="67"/>
        <v>4</v>
      </c>
      <c r="BS41" s="3">
        <v>2</v>
      </c>
      <c r="BT41" s="12">
        <f t="shared" si="68"/>
        <v>8</v>
      </c>
      <c r="BU41" s="6">
        <v>70.400000000000006</v>
      </c>
      <c r="BV41" s="4" t="str">
        <f t="shared" si="69"/>
        <v>B</v>
      </c>
      <c r="BW41" s="3">
        <f t="shared" si="70"/>
        <v>3</v>
      </c>
      <c r="BX41" s="3">
        <v>2</v>
      </c>
      <c r="BY41" s="12">
        <f t="shared" si="71"/>
        <v>6</v>
      </c>
      <c r="BZ41" s="3">
        <v>78</v>
      </c>
      <c r="CA41" s="4" t="str">
        <f t="shared" si="88"/>
        <v>B+</v>
      </c>
      <c r="CB41" s="3">
        <f t="shared" si="92"/>
        <v>3.5</v>
      </c>
      <c r="CC41" s="3">
        <v>2</v>
      </c>
      <c r="CD41" s="12">
        <f t="shared" si="72"/>
        <v>7</v>
      </c>
      <c r="CE41" s="6">
        <v>76.8</v>
      </c>
      <c r="CF41" s="4" t="str">
        <f t="shared" si="16"/>
        <v>B+</v>
      </c>
      <c r="CG41" s="3">
        <f t="shared" si="73"/>
        <v>3.5</v>
      </c>
      <c r="CH41" s="3">
        <v>2</v>
      </c>
      <c r="CI41" s="12">
        <f t="shared" si="74"/>
        <v>7</v>
      </c>
      <c r="CJ41" s="6">
        <v>75.924999999999997</v>
      </c>
      <c r="CK41" s="4" t="str">
        <f t="shared" si="18"/>
        <v>B+</v>
      </c>
      <c r="CL41" s="3">
        <f t="shared" si="75"/>
        <v>3.5</v>
      </c>
      <c r="CM41" s="3">
        <v>2</v>
      </c>
      <c r="CN41" s="12">
        <f t="shared" si="76"/>
        <v>7</v>
      </c>
      <c r="CO41" s="7">
        <v>72</v>
      </c>
      <c r="CP41" s="4" t="str">
        <f t="shared" si="90"/>
        <v>B</v>
      </c>
      <c r="CQ41" s="3">
        <f t="shared" si="93"/>
        <v>3</v>
      </c>
      <c r="CR41" s="3">
        <v>2</v>
      </c>
      <c r="CS41" s="12">
        <f t="shared" si="77"/>
        <v>6</v>
      </c>
      <c r="CT41" s="14">
        <v>80.2</v>
      </c>
      <c r="CU41" s="4" t="str">
        <f t="shared" si="22"/>
        <v>A</v>
      </c>
      <c r="CV41" s="3">
        <f t="shared" si="78"/>
        <v>4</v>
      </c>
      <c r="CW41" s="3">
        <v>2</v>
      </c>
      <c r="CX41" s="12">
        <f t="shared" si="79"/>
        <v>8</v>
      </c>
      <c r="CY41" s="21">
        <v>80.2</v>
      </c>
      <c r="CZ41" s="4" t="str">
        <f t="shared" si="24"/>
        <v>A</v>
      </c>
      <c r="DA41" s="3">
        <f t="shared" si="80"/>
        <v>4</v>
      </c>
      <c r="DB41" s="3">
        <v>2</v>
      </c>
      <c r="DC41" s="12">
        <f t="shared" si="81"/>
        <v>8</v>
      </c>
      <c r="DD41" s="3">
        <v>78</v>
      </c>
      <c r="DE41" s="4" t="str">
        <f t="shared" si="26"/>
        <v>B+</v>
      </c>
      <c r="DF41" s="3">
        <f t="shared" si="82"/>
        <v>3.5</v>
      </c>
      <c r="DG41" s="3">
        <v>2</v>
      </c>
      <c r="DH41" s="12">
        <f t="shared" si="83"/>
        <v>7</v>
      </c>
      <c r="DI41" s="3">
        <v>84.5</v>
      </c>
      <c r="DJ41" s="4" t="str">
        <f t="shared" si="28"/>
        <v>A</v>
      </c>
      <c r="DK41" s="3">
        <f t="shared" si="84"/>
        <v>4</v>
      </c>
      <c r="DL41" s="3">
        <v>4</v>
      </c>
      <c r="DM41" s="12">
        <f t="shared" si="85"/>
        <v>16</v>
      </c>
      <c r="DN41" s="3">
        <v>90</v>
      </c>
      <c r="DO41" s="3">
        <v>24</v>
      </c>
      <c r="DP41" s="3">
        <v>88</v>
      </c>
      <c r="DQ41" s="3">
        <v>24</v>
      </c>
      <c r="DR41" s="3">
        <v>178</v>
      </c>
      <c r="DS41" s="3">
        <v>48</v>
      </c>
      <c r="DT41" s="9">
        <v>3.7083333333333335</v>
      </c>
      <c r="DU41" s="9">
        <v>3.7083333333333335</v>
      </c>
      <c r="DV41" s="12" t="str">
        <f t="shared" si="86"/>
        <v>Cum Laude</v>
      </c>
      <c r="DW41" s="12" t="str">
        <f t="shared" si="87"/>
        <v>Excellent</v>
      </c>
      <c r="DX41" s="22" t="s">
        <v>182</v>
      </c>
      <c r="DY41" s="34" t="s">
        <v>221</v>
      </c>
    </row>
  </sheetData>
  <mergeCells count="39">
    <mergeCell ref="DY1:DY2"/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  <mergeCell ref="E1:E2"/>
    <mergeCell ref="G1:G2"/>
    <mergeCell ref="BK1:BO1"/>
    <mergeCell ref="BP1:BT1"/>
    <mergeCell ref="BA1:BE1"/>
    <mergeCell ref="BF1:BJ1"/>
    <mergeCell ref="R1:V1"/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2025-12-04T07:36:43Z</dcterms:modified>
</cp:coreProperties>
</file>