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2\"/>
    </mc:Choice>
  </mc:AlternateContent>
  <xr:revisionPtr revIDLastSave="0" documentId="13_ncr:1_{8F2C2CEF-321B-4E1A-8052-76CE46ADBA40}" xr6:coauthVersionLast="47" xr6:coauthVersionMax="47" xr10:uidLastSave="{00000000-0000-0000-0000-000000000000}"/>
  <bookViews>
    <workbookView xWindow="0" yWindow="360" windowWidth="21720" windowHeight="12900" xr2:uid="{924E5C93-5AF7-4589-8357-994FD504FD0B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U3" i="1" l="1"/>
  <c r="DM3" i="1"/>
  <c r="I3" i="1"/>
  <c r="DM4" i="1"/>
  <c r="DM5" i="1"/>
  <c r="DM10" i="1"/>
  <c r="DM15" i="1"/>
  <c r="DM16" i="1"/>
  <c r="DM17" i="1"/>
  <c r="DM18" i="1"/>
  <c r="DM19" i="1"/>
  <c r="DM23" i="1"/>
  <c r="DM26" i="1"/>
  <c r="DM27" i="1"/>
  <c r="DM28" i="1"/>
  <c r="DM31" i="1"/>
  <c r="DM35" i="1"/>
  <c r="DM37" i="1"/>
  <c r="DJ4" i="1"/>
  <c r="DK4" i="1" s="1"/>
  <c r="DJ5" i="1"/>
  <c r="DK5" i="1"/>
  <c r="DJ6" i="1"/>
  <c r="DK6" i="1" s="1"/>
  <c r="DM6" i="1" s="1"/>
  <c r="DJ7" i="1"/>
  <c r="DK7" i="1" s="1"/>
  <c r="DM7" i="1" s="1"/>
  <c r="DJ8" i="1"/>
  <c r="DK8" i="1" s="1"/>
  <c r="DM8" i="1" s="1"/>
  <c r="DJ9" i="1"/>
  <c r="DK9" i="1" s="1"/>
  <c r="DM9" i="1" s="1"/>
  <c r="DJ10" i="1"/>
  <c r="DK10" i="1" s="1"/>
  <c r="DJ11" i="1"/>
  <c r="DK11" i="1"/>
  <c r="DM11" i="1" s="1"/>
  <c r="DJ12" i="1"/>
  <c r="DK12" i="1"/>
  <c r="DM12" i="1" s="1"/>
  <c r="DJ13" i="1"/>
  <c r="DK13" i="1" s="1"/>
  <c r="DM13" i="1" s="1"/>
  <c r="DJ14" i="1"/>
  <c r="DK14" i="1"/>
  <c r="DM14" i="1" s="1"/>
  <c r="DJ15" i="1"/>
  <c r="DK15" i="1" s="1"/>
  <c r="DJ16" i="1"/>
  <c r="DK16" i="1"/>
  <c r="DJ17" i="1"/>
  <c r="DK17" i="1" s="1"/>
  <c r="DJ18" i="1"/>
  <c r="DK18" i="1" s="1"/>
  <c r="DJ19" i="1"/>
  <c r="DK19" i="1" s="1"/>
  <c r="DJ20" i="1"/>
  <c r="DK20" i="1" s="1"/>
  <c r="DM20" i="1" s="1"/>
  <c r="DJ21" i="1"/>
  <c r="DK21" i="1"/>
  <c r="DM21" i="1" s="1"/>
  <c r="DJ22" i="1"/>
  <c r="DK22" i="1"/>
  <c r="DM22" i="1" s="1"/>
  <c r="DJ23" i="1"/>
  <c r="DK23" i="1" s="1"/>
  <c r="DJ24" i="1"/>
  <c r="DK24" i="1" s="1"/>
  <c r="DM24" i="1" s="1"/>
  <c r="DJ25" i="1"/>
  <c r="DK25" i="1"/>
  <c r="DM25" i="1" s="1"/>
  <c r="DJ26" i="1"/>
  <c r="DK26" i="1" s="1"/>
  <c r="DJ27" i="1"/>
  <c r="DK27" i="1"/>
  <c r="DJ28" i="1"/>
  <c r="DK28" i="1" s="1"/>
  <c r="DJ29" i="1"/>
  <c r="DK29" i="1" s="1"/>
  <c r="DM29" i="1" s="1"/>
  <c r="DJ30" i="1"/>
  <c r="DK30" i="1"/>
  <c r="DM30" i="1" s="1"/>
  <c r="DJ31" i="1"/>
  <c r="DK31" i="1" s="1"/>
  <c r="DJ32" i="1"/>
  <c r="DK32" i="1"/>
  <c r="DM32" i="1" s="1"/>
  <c r="DJ33" i="1"/>
  <c r="DK33" i="1" s="1"/>
  <c r="DM33" i="1" s="1"/>
  <c r="DJ34" i="1"/>
  <c r="DK34" i="1" s="1"/>
  <c r="DM34" i="1" s="1"/>
  <c r="DJ35" i="1"/>
  <c r="DK35" i="1" s="1"/>
  <c r="DJ36" i="1"/>
  <c r="DK36" i="1"/>
  <c r="DM36" i="1" s="1"/>
  <c r="DJ37" i="1"/>
  <c r="DK37" i="1" s="1"/>
  <c r="DJ38" i="1"/>
  <c r="DK38" i="1"/>
  <c r="DM38" i="1" s="1"/>
  <c r="DJ39" i="1"/>
  <c r="DK39" i="1"/>
  <c r="DM39" i="1" s="1"/>
  <c r="DJ40" i="1"/>
  <c r="DK40" i="1"/>
  <c r="DM40" i="1" s="1"/>
  <c r="DJ3" i="1"/>
  <c r="DK3" i="1" s="1"/>
  <c r="DH7" i="1"/>
  <c r="DH8" i="1"/>
  <c r="DH20" i="1"/>
  <c r="DH21" i="1"/>
  <c r="DH25" i="1"/>
  <c r="DH26" i="1"/>
  <c r="DH31" i="1"/>
  <c r="DH36" i="1"/>
  <c r="DH40" i="1"/>
  <c r="DE4" i="1"/>
  <c r="DF4" i="1"/>
  <c r="DH4" i="1" s="1"/>
  <c r="DE5" i="1"/>
  <c r="DF5" i="1" s="1"/>
  <c r="DH5" i="1" s="1"/>
  <c r="DE6" i="1"/>
  <c r="DF6" i="1" s="1"/>
  <c r="DH6" i="1" s="1"/>
  <c r="DE7" i="1"/>
  <c r="DF7" i="1"/>
  <c r="DE8" i="1"/>
  <c r="DF8" i="1" s="1"/>
  <c r="DE9" i="1"/>
  <c r="DF9" i="1" s="1"/>
  <c r="DH9" i="1" s="1"/>
  <c r="DE10" i="1"/>
  <c r="DF10" i="1"/>
  <c r="DH10" i="1" s="1"/>
  <c r="DE11" i="1"/>
  <c r="DF11" i="1"/>
  <c r="DH11" i="1" s="1"/>
  <c r="DE12" i="1"/>
  <c r="DF12" i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/>
  <c r="DH16" i="1" s="1"/>
  <c r="DE17" i="1"/>
  <c r="DF17" i="1" s="1"/>
  <c r="DH17" i="1" s="1"/>
  <c r="DE18" i="1"/>
  <c r="DF18" i="1" s="1"/>
  <c r="DH18" i="1" s="1"/>
  <c r="DE19" i="1"/>
  <c r="DF19" i="1"/>
  <c r="DH19" i="1" s="1"/>
  <c r="DE20" i="1"/>
  <c r="DF20" i="1"/>
  <c r="DE21" i="1"/>
  <c r="DF21" i="1"/>
  <c r="DE22" i="1"/>
  <c r="DF22" i="1" s="1"/>
  <c r="DH22" i="1" s="1"/>
  <c r="DE23" i="1"/>
  <c r="DF23" i="1" s="1"/>
  <c r="DH23" i="1" s="1"/>
  <c r="DE24" i="1"/>
  <c r="DF24" i="1" s="1"/>
  <c r="DH24" i="1" s="1"/>
  <c r="DE25" i="1"/>
  <c r="DF25" i="1" s="1"/>
  <c r="DE26" i="1"/>
  <c r="DF26" i="1" s="1"/>
  <c r="DE27" i="1"/>
  <c r="DF27" i="1"/>
  <c r="DH27" i="1" s="1"/>
  <c r="DE28" i="1"/>
  <c r="DF28" i="1" s="1"/>
  <c r="DH28" i="1" s="1"/>
  <c r="DE29" i="1"/>
  <c r="DF29" i="1" s="1"/>
  <c r="DH29" i="1" s="1"/>
  <c r="DE30" i="1"/>
  <c r="DF30" i="1"/>
  <c r="DH30" i="1" s="1"/>
  <c r="DE31" i="1"/>
  <c r="DF31" i="1"/>
  <c r="DE32" i="1"/>
  <c r="DF32" i="1" s="1"/>
  <c r="DH32" i="1" s="1"/>
  <c r="DE33" i="1"/>
  <c r="DF33" i="1" s="1"/>
  <c r="DH33" i="1" s="1"/>
  <c r="DE34" i="1"/>
  <c r="DF34" i="1" s="1"/>
  <c r="DH34" i="1" s="1"/>
  <c r="DE35" i="1"/>
  <c r="DF35" i="1" s="1"/>
  <c r="DH35" i="1" s="1"/>
  <c r="DE36" i="1"/>
  <c r="DF36" i="1" s="1"/>
  <c r="DE37" i="1"/>
  <c r="DF37" i="1"/>
  <c r="DH37" i="1" s="1"/>
  <c r="DE38" i="1"/>
  <c r="DF38" i="1" s="1"/>
  <c r="DH38" i="1" s="1"/>
  <c r="DE39" i="1"/>
  <c r="DF39" i="1" s="1"/>
  <c r="DH39" i="1" s="1"/>
  <c r="DE40" i="1"/>
  <c r="DF40" i="1" s="1"/>
  <c r="DE3" i="1"/>
  <c r="DF3" i="1" s="1"/>
  <c r="DH3" i="1" s="1"/>
  <c r="DC4" i="1"/>
  <c r="DC12" i="1"/>
  <c r="DC15" i="1"/>
  <c r="DC16" i="1"/>
  <c r="DC18" i="1"/>
  <c r="DC24" i="1"/>
  <c r="DC26" i="1"/>
  <c r="DC27" i="1"/>
  <c r="DC34" i="1"/>
  <c r="DC35" i="1"/>
  <c r="DC36" i="1"/>
  <c r="DC39" i="1"/>
  <c r="DC40" i="1"/>
  <c r="CZ4" i="1"/>
  <c r="DA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/>
  <c r="DC8" i="1" s="1"/>
  <c r="CZ9" i="1"/>
  <c r="DA9" i="1" s="1"/>
  <c r="DC9" i="1" s="1"/>
  <c r="CZ10" i="1"/>
  <c r="DA10" i="1"/>
  <c r="DC10" i="1" s="1"/>
  <c r="CZ11" i="1"/>
  <c r="DA11" i="1"/>
  <c r="DC11" i="1" s="1"/>
  <c r="CZ12" i="1"/>
  <c r="DA12" i="1" s="1"/>
  <c r="CZ13" i="1"/>
  <c r="DA13" i="1" s="1"/>
  <c r="DC13" i="1" s="1"/>
  <c r="CZ14" i="1"/>
  <c r="DA14" i="1" s="1"/>
  <c r="DC14" i="1" s="1"/>
  <c r="CZ15" i="1"/>
  <c r="DA15" i="1" s="1"/>
  <c r="CZ16" i="1"/>
  <c r="DA16" i="1"/>
  <c r="CZ17" i="1"/>
  <c r="DA17" i="1"/>
  <c r="DC17" i="1" s="1"/>
  <c r="CZ18" i="1"/>
  <c r="DA18" i="1"/>
  <c r="CZ19" i="1"/>
  <c r="DA19" i="1" s="1"/>
  <c r="DC19" i="1" s="1"/>
  <c r="CZ20" i="1"/>
  <c r="DA20" i="1"/>
  <c r="DC20" i="1" s="1"/>
  <c r="CZ21" i="1"/>
  <c r="DA21" i="1" s="1"/>
  <c r="DC21" i="1" s="1"/>
  <c r="CZ22" i="1"/>
  <c r="DA22" i="1" s="1"/>
  <c r="DC22" i="1" s="1"/>
  <c r="CZ23" i="1"/>
  <c r="DA23" i="1" s="1"/>
  <c r="DC23" i="1" s="1"/>
  <c r="CZ24" i="1"/>
  <c r="DA24" i="1" s="1"/>
  <c r="CZ25" i="1"/>
  <c r="DA25" i="1"/>
  <c r="DC25" i="1" s="1"/>
  <c r="CZ26" i="1"/>
  <c r="DA26" i="1"/>
  <c r="CZ27" i="1"/>
  <c r="DA27" i="1"/>
  <c r="CZ28" i="1"/>
  <c r="DA28" i="1" s="1"/>
  <c r="DC28" i="1" s="1"/>
  <c r="CZ29" i="1"/>
  <c r="DA29" i="1"/>
  <c r="DC29" i="1" s="1"/>
  <c r="CZ30" i="1"/>
  <c r="DA30" i="1" s="1"/>
  <c r="DC30" i="1" s="1"/>
  <c r="CZ31" i="1"/>
  <c r="DA31" i="1" s="1"/>
  <c r="DC31" i="1" s="1"/>
  <c r="CZ32" i="1"/>
  <c r="DA32" i="1" s="1"/>
  <c r="DC32" i="1" s="1"/>
  <c r="CZ33" i="1"/>
  <c r="DA33" i="1" s="1"/>
  <c r="DC33" i="1" s="1"/>
  <c r="CZ34" i="1"/>
  <c r="DA34" i="1" s="1"/>
  <c r="CZ35" i="1"/>
  <c r="DA35" i="1"/>
  <c r="CZ36" i="1"/>
  <c r="DA36" i="1" s="1"/>
  <c r="CZ37" i="1"/>
  <c r="DA37" i="1"/>
  <c r="DC37" i="1" s="1"/>
  <c r="CZ38" i="1"/>
  <c r="DA38" i="1"/>
  <c r="DC38" i="1" s="1"/>
  <c r="CZ39" i="1"/>
  <c r="DA39" i="1" s="1"/>
  <c r="CZ40" i="1"/>
  <c r="DA40" i="1" s="1"/>
  <c r="CZ3" i="1"/>
  <c r="DA3" i="1" s="1"/>
  <c r="DC3" i="1" s="1"/>
  <c r="CX7" i="1"/>
  <c r="CX8" i="1"/>
  <c r="CX13" i="1"/>
  <c r="CX18" i="1"/>
  <c r="CX20" i="1"/>
  <c r="CX21" i="1"/>
  <c r="CX25" i="1"/>
  <c r="CX31" i="1"/>
  <c r="CX36" i="1"/>
  <c r="CX39" i="1"/>
  <c r="CU4" i="1"/>
  <c r="CV4" i="1" s="1"/>
  <c r="CX4" i="1" s="1"/>
  <c r="CU5" i="1"/>
  <c r="CV5" i="1"/>
  <c r="CX5" i="1" s="1"/>
  <c r="CU6" i="1"/>
  <c r="CV6" i="1" s="1"/>
  <c r="CX6" i="1" s="1"/>
  <c r="CU7" i="1"/>
  <c r="CV7" i="1" s="1"/>
  <c r="CU8" i="1"/>
  <c r="CV8" i="1"/>
  <c r="CU9" i="1"/>
  <c r="CV9" i="1" s="1"/>
  <c r="CX9" i="1" s="1"/>
  <c r="CU10" i="1"/>
  <c r="CV10" i="1"/>
  <c r="CX10" i="1" s="1"/>
  <c r="CU11" i="1"/>
  <c r="CV11" i="1"/>
  <c r="CX11" i="1" s="1"/>
  <c r="CU12" i="1"/>
  <c r="CV12" i="1"/>
  <c r="CX12" i="1" s="1"/>
  <c r="CU13" i="1"/>
  <c r="CV13" i="1" s="1"/>
  <c r="CU14" i="1"/>
  <c r="CV14" i="1" s="1"/>
  <c r="CX14" i="1" s="1"/>
  <c r="CU15" i="1"/>
  <c r="CV15" i="1" s="1"/>
  <c r="CX15" i="1" s="1"/>
  <c r="CU16" i="1"/>
  <c r="CV16" i="1" s="1"/>
  <c r="CX16" i="1" s="1"/>
  <c r="CU17" i="1"/>
  <c r="CV17" i="1" s="1"/>
  <c r="CX17" i="1" s="1"/>
  <c r="CU18" i="1"/>
  <c r="CV18" i="1" s="1"/>
  <c r="CU19" i="1"/>
  <c r="CV19" i="1"/>
  <c r="CX19" i="1" s="1"/>
  <c r="CU20" i="1"/>
  <c r="CV20" i="1"/>
  <c r="CU21" i="1"/>
  <c r="CV21" i="1"/>
  <c r="CU22" i="1"/>
  <c r="CV22" i="1" s="1"/>
  <c r="CX22" i="1" s="1"/>
  <c r="CU23" i="1"/>
  <c r="CV23" i="1"/>
  <c r="CX23" i="1" s="1"/>
  <c r="CU24" i="1"/>
  <c r="CV24" i="1" s="1"/>
  <c r="CX24" i="1" s="1"/>
  <c r="CU25" i="1"/>
  <c r="CV25" i="1" s="1"/>
  <c r="CU26" i="1"/>
  <c r="CV26" i="1"/>
  <c r="CX26" i="1" s="1"/>
  <c r="CU27" i="1"/>
  <c r="CV27" i="1"/>
  <c r="CX27" i="1" s="1"/>
  <c r="CU28" i="1"/>
  <c r="CV28" i="1" s="1"/>
  <c r="CX28" i="1" s="1"/>
  <c r="CU29" i="1"/>
  <c r="CV29" i="1"/>
  <c r="CX29" i="1" s="1"/>
  <c r="CU30" i="1"/>
  <c r="CV30" i="1" s="1"/>
  <c r="CX30" i="1" s="1"/>
  <c r="CU31" i="1"/>
  <c r="CV31" i="1" s="1"/>
  <c r="CU32" i="1"/>
  <c r="CV32" i="1"/>
  <c r="CX32" i="1" s="1"/>
  <c r="CU33" i="1"/>
  <c r="CV33" i="1" s="1"/>
  <c r="CX33" i="1" s="1"/>
  <c r="CU34" i="1"/>
  <c r="CV34" i="1" s="1"/>
  <c r="CX34" i="1" s="1"/>
  <c r="CU35" i="1"/>
  <c r="CV35" i="1"/>
  <c r="CX35" i="1" s="1"/>
  <c r="CU36" i="1"/>
  <c r="CV36" i="1" s="1"/>
  <c r="CU37" i="1"/>
  <c r="CV37" i="1"/>
  <c r="CX37" i="1" s="1"/>
  <c r="CU38" i="1"/>
  <c r="CV38" i="1" s="1"/>
  <c r="CX38" i="1" s="1"/>
  <c r="CU39" i="1"/>
  <c r="CV39" i="1" s="1"/>
  <c r="CU40" i="1"/>
  <c r="CV40" i="1"/>
  <c r="CX40" i="1" s="1"/>
  <c r="CU3" i="1"/>
  <c r="CV3" i="1" s="1"/>
  <c r="CX3" i="1" s="1"/>
  <c r="CS7" i="1"/>
  <c r="CS11" i="1"/>
  <c r="CS14" i="1"/>
  <c r="CS15" i="1"/>
  <c r="CS16" i="1"/>
  <c r="CS17" i="1"/>
  <c r="CS25" i="1"/>
  <c r="CS26" i="1"/>
  <c r="CS33" i="1"/>
  <c r="CS34" i="1"/>
  <c r="CS39" i="1"/>
  <c r="CP3" i="1"/>
  <c r="CQ3" i="1" s="1"/>
  <c r="CS3" i="1" s="1"/>
  <c r="CP4" i="1"/>
  <c r="CQ4" i="1"/>
  <c r="CS4" i="1" s="1"/>
  <c r="CP5" i="1"/>
  <c r="CQ5" i="1"/>
  <c r="CS5" i="1" s="1"/>
  <c r="CP6" i="1"/>
  <c r="CQ6" i="1" s="1"/>
  <c r="CS6" i="1" s="1"/>
  <c r="CP7" i="1"/>
  <c r="CQ7" i="1" s="1"/>
  <c r="CP8" i="1"/>
  <c r="CQ8" i="1"/>
  <c r="CS8" i="1" s="1"/>
  <c r="CP9" i="1"/>
  <c r="CQ9" i="1" s="1"/>
  <c r="CS9" i="1" s="1"/>
  <c r="CP10" i="1"/>
  <c r="CQ10" i="1" s="1"/>
  <c r="CS10" i="1" s="1"/>
  <c r="CP11" i="1"/>
  <c r="CQ11" i="1" s="1"/>
  <c r="CP12" i="1"/>
  <c r="CQ12" i="1" s="1"/>
  <c r="CS12" i="1" s="1"/>
  <c r="CP13" i="1"/>
  <c r="CQ13" i="1" s="1"/>
  <c r="CS13" i="1" s="1"/>
  <c r="CP14" i="1"/>
  <c r="CQ14" i="1" s="1"/>
  <c r="CP16" i="1"/>
  <c r="CQ16" i="1" s="1"/>
  <c r="CP17" i="1"/>
  <c r="CQ17" i="1" s="1"/>
  <c r="CP18" i="1"/>
  <c r="CQ18" i="1" s="1"/>
  <c r="CS18" i="1" s="1"/>
  <c r="CP19" i="1"/>
  <c r="CQ19" i="1"/>
  <c r="CS19" i="1" s="1"/>
  <c r="CP20" i="1"/>
  <c r="CQ20" i="1" s="1"/>
  <c r="CS20" i="1" s="1"/>
  <c r="CP21" i="1"/>
  <c r="CQ21" i="1" s="1"/>
  <c r="CS21" i="1" s="1"/>
  <c r="CP22" i="1"/>
  <c r="CQ22" i="1"/>
  <c r="CS22" i="1" s="1"/>
  <c r="CP23" i="1"/>
  <c r="CQ23" i="1" s="1"/>
  <c r="CS23" i="1" s="1"/>
  <c r="CP24" i="1"/>
  <c r="CQ24" i="1"/>
  <c r="CS24" i="1" s="1"/>
  <c r="CP25" i="1"/>
  <c r="CQ25" i="1" s="1"/>
  <c r="CP26" i="1"/>
  <c r="CQ26" i="1" s="1"/>
  <c r="CP27" i="1"/>
  <c r="CQ27" i="1"/>
  <c r="CS27" i="1" s="1"/>
  <c r="CP28" i="1"/>
  <c r="CQ28" i="1" s="1"/>
  <c r="CS28" i="1" s="1"/>
  <c r="CP29" i="1"/>
  <c r="CQ29" i="1"/>
  <c r="CS29" i="1" s="1"/>
  <c r="CP30" i="1"/>
  <c r="CQ30" i="1" s="1"/>
  <c r="CS30" i="1" s="1"/>
  <c r="CP31" i="1"/>
  <c r="CQ31" i="1"/>
  <c r="CS31" i="1" s="1"/>
  <c r="CP32" i="1"/>
  <c r="CQ32" i="1"/>
  <c r="CS32" i="1" s="1"/>
  <c r="CP33" i="1"/>
  <c r="CQ33" i="1" s="1"/>
  <c r="CP34" i="1"/>
  <c r="CQ34" i="1" s="1"/>
  <c r="CP35" i="1"/>
  <c r="CQ35" i="1" s="1"/>
  <c r="CS35" i="1" s="1"/>
  <c r="CP36" i="1"/>
  <c r="CQ36" i="1"/>
  <c r="CS36" i="1" s="1"/>
  <c r="CP37" i="1"/>
  <c r="CQ37" i="1"/>
  <c r="CS37" i="1" s="1"/>
  <c r="CP38" i="1"/>
  <c r="CQ38" i="1" s="1"/>
  <c r="CS38" i="1" s="1"/>
  <c r="CP39" i="1"/>
  <c r="CQ39" i="1"/>
  <c r="CP40" i="1"/>
  <c r="CQ40" i="1" s="1"/>
  <c r="CS40" i="1" s="1"/>
  <c r="CP15" i="1"/>
  <c r="CQ15" i="1" s="1"/>
  <c r="CN5" i="1"/>
  <c r="CN6" i="1"/>
  <c r="CN9" i="1"/>
  <c r="CN10" i="1"/>
  <c r="CN13" i="1"/>
  <c r="CN17" i="1"/>
  <c r="CN19" i="1"/>
  <c r="CN21" i="1"/>
  <c r="CN24" i="1"/>
  <c r="CN27" i="1"/>
  <c r="CN28" i="1"/>
  <c r="CN33" i="1"/>
  <c r="CN39" i="1"/>
  <c r="CN40" i="1"/>
  <c r="CN3" i="1"/>
  <c r="CK4" i="1"/>
  <c r="CL4" i="1" s="1"/>
  <c r="CN4" i="1" s="1"/>
  <c r="CK5" i="1"/>
  <c r="CL5" i="1" s="1"/>
  <c r="CK6" i="1"/>
  <c r="CL6" i="1" s="1"/>
  <c r="CK7" i="1"/>
  <c r="CL7" i="1"/>
  <c r="CN7" i="1" s="1"/>
  <c r="CK8" i="1"/>
  <c r="CL8" i="1" s="1"/>
  <c r="CN8" i="1" s="1"/>
  <c r="CK9" i="1"/>
  <c r="CL9" i="1"/>
  <c r="CK10" i="1"/>
  <c r="CL10" i="1" s="1"/>
  <c r="CK11" i="1"/>
  <c r="CL11" i="1"/>
  <c r="CN11" i="1" s="1"/>
  <c r="CK12" i="1"/>
  <c r="CL12" i="1" s="1"/>
  <c r="CN12" i="1" s="1"/>
  <c r="CK13" i="1"/>
  <c r="CL13" i="1" s="1"/>
  <c r="CK14" i="1"/>
  <c r="CL14" i="1"/>
  <c r="CN14" i="1" s="1"/>
  <c r="CK15" i="1"/>
  <c r="CL15" i="1" s="1"/>
  <c r="CN15" i="1" s="1"/>
  <c r="CK16" i="1"/>
  <c r="CL16" i="1" s="1"/>
  <c r="CN16" i="1" s="1"/>
  <c r="CK17" i="1"/>
  <c r="CL17" i="1"/>
  <c r="CK18" i="1"/>
  <c r="CL18" i="1" s="1"/>
  <c r="CN18" i="1" s="1"/>
  <c r="CK19" i="1"/>
  <c r="CL19" i="1"/>
  <c r="CK20" i="1"/>
  <c r="CL20" i="1"/>
  <c r="CN20" i="1" s="1"/>
  <c r="CK21" i="1"/>
  <c r="CL21" i="1" s="1"/>
  <c r="CK22" i="1"/>
  <c r="CL22" i="1" s="1"/>
  <c r="CN22" i="1" s="1"/>
  <c r="CK23" i="1"/>
  <c r="CL23" i="1" s="1"/>
  <c r="CN23" i="1" s="1"/>
  <c r="CK24" i="1"/>
  <c r="CL24" i="1" s="1"/>
  <c r="CK25" i="1"/>
  <c r="CL25" i="1" s="1"/>
  <c r="CN25" i="1" s="1"/>
  <c r="CK26" i="1"/>
  <c r="CL26" i="1" s="1"/>
  <c r="CN26" i="1" s="1"/>
  <c r="CK27" i="1"/>
  <c r="CL27" i="1" s="1"/>
  <c r="CK28" i="1"/>
  <c r="CL28" i="1"/>
  <c r="CK29" i="1"/>
  <c r="CL29" i="1" s="1"/>
  <c r="CN29" i="1" s="1"/>
  <c r="CK30" i="1"/>
  <c r="CL30" i="1" s="1"/>
  <c r="CN30" i="1" s="1"/>
  <c r="CK31" i="1"/>
  <c r="CL31" i="1" s="1"/>
  <c r="CN31" i="1" s="1"/>
  <c r="CK32" i="1"/>
  <c r="CL32" i="1"/>
  <c r="CN32" i="1" s="1"/>
  <c r="CK33" i="1"/>
  <c r="CL33" i="1" s="1"/>
  <c r="CK34" i="1"/>
  <c r="CL34" i="1"/>
  <c r="CN34" i="1" s="1"/>
  <c r="CK35" i="1"/>
  <c r="CL35" i="1" s="1"/>
  <c r="CN35" i="1" s="1"/>
  <c r="CK36" i="1"/>
  <c r="CL36" i="1" s="1"/>
  <c r="CN36" i="1" s="1"/>
  <c r="CK37" i="1"/>
  <c r="CL37" i="1"/>
  <c r="CN37" i="1" s="1"/>
  <c r="CK38" i="1"/>
  <c r="CL38" i="1" s="1"/>
  <c r="CN38" i="1" s="1"/>
  <c r="CK39" i="1"/>
  <c r="CL39" i="1" s="1"/>
  <c r="CK40" i="1"/>
  <c r="CL40" i="1"/>
  <c r="CK3" i="1"/>
  <c r="CL3" i="1" s="1"/>
  <c r="CI6" i="1"/>
  <c r="CI9" i="1"/>
  <c r="CI10" i="1"/>
  <c r="CI13" i="1"/>
  <c r="CI14" i="1"/>
  <c r="CI15" i="1"/>
  <c r="CI16" i="1"/>
  <c r="CI20" i="1"/>
  <c r="CI25" i="1"/>
  <c r="CI27" i="1"/>
  <c r="CI32" i="1"/>
  <c r="CI33" i="1"/>
  <c r="CI3" i="1"/>
  <c r="CF40" i="1"/>
  <c r="CG40" i="1"/>
  <c r="CI40" i="1" s="1"/>
  <c r="CF4" i="1"/>
  <c r="CG4" i="1"/>
  <c r="CI4" i="1" s="1"/>
  <c r="CF5" i="1"/>
  <c r="CG5" i="1" s="1"/>
  <c r="CI5" i="1" s="1"/>
  <c r="CF6" i="1"/>
  <c r="CG6" i="1" s="1"/>
  <c r="CF7" i="1"/>
  <c r="CG7" i="1"/>
  <c r="CI7" i="1" s="1"/>
  <c r="CF8" i="1"/>
  <c r="CG8" i="1"/>
  <c r="CI8" i="1" s="1"/>
  <c r="CF9" i="1"/>
  <c r="CG9" i="1" s="1"/>
  <c r="CF10" i="1"/>
  <c r="CG10" i="1"/>
  <c r="CF11" i="1"/>
  <c r="CG11" i="1" s="1"/>
  <c r="CI11" i="1" s="1"/>
  <c r="CF12" i="1"/>
  <c r="CG12" i="1"/>
  <c r="CI12" i="1" s="1"/>
  <c r="CF13" i="1"/>
  <c r="CG13" i="1"/>
  <c r="CF14" i="1"/>
  <c r="CG14" i="1" s="1"/>
  <c r="CF15" i="1"/>
  <c r="CG15" i="1" s="1"/>
  <c r="CF16" i="1"/>
  <c r="CG16" i="1" s="1"/>
  <c r="CF17" i="1"/>
  <c r="CG17" i="1"/>
  <c r="CI17" i="1" s="1"/>
  <c r="CF18" i="1"/>
  <c r="CG18" i="1"/>
  <c r="CI18" i="1" s="1"/>
  <c r="CF19" i="1"/>
  <c r="CG19" i="1" s="1"/>
  <c r="CI19" i="1" s="1"/>
  <c r="CF20" i="1"/>
  <c r="CG20" i="1"/>
  <c r="CF21" i="1"/>
  <c r="CG21" i="1" s="1"/>
  <c r="CI21" i="1" s="1"/>
  <c r="CF22" i="1"/>
  <c r="CG22" i="1"/>
  <c r="CI22" i="1" s="1"/>
  <c r="CF23" i="1"/>
  <c r="CG23" i="1" s="1"/>
  <c r="CI23" i="1" s="1"/>
  <c r="CF24" i="1"/>
  <c r="CG24" i="1" s="1"/>
  <c r="CI24" i="1" s="1"/>
  <c r="CF25" i="1"/>
  <c r="CG25" i="1"/>
  <c r="CF26" i="1"/>
  <c r="CG26" i="1" s="1"/>
  <c r="CI26" i="1" s="1"/>
  <c r="CF27" i="1"/>
  <c r="CG27" i="1"/>
  <c r="CF28" i="1"/>
  <c r="CG28" i="1"/>
  <c r="CI28" i="1" s="1"/>
  <c r="CF29" i="1"/>
  <c r="CG29" i="1" s="1"/>
  <c r="CI29" i="1" s="1"/>
  <c r="CF30" i="1"/>
  <c r="CG30" i="1"/>
  <c r="CI30" i="1" s="1"/>
  <c r="CF31" i="1"/>
  <c r="CG31" i="1" s="1"/>
  <c r="CI31" i="1" s="1"/>
  <c r="CF32" i="1"/>
  <c r="CG32" i="1" s="1"/>
  <c r="CF33" i="1"/>
  <c r="CG33" i="1" s="1"/>
  <c r="CF34" i="1"/>
  <c r="CG34" i="1" s="1"/>
  <c r="CI34" i="1" s="1"/>
  <c r="CF35" i="1"/>
  <c r="CG35" i="1"/>
  <c r="CI35" i="1" s="1"/>
  <c r="CF36" i="1"/>
  <c r="CG36" i="1" s="1"/>
  <c r="CI36" i="1" s="1"/>
  <c r="CF37" i="1"/>
  <c r="CG37" i="1"/>
  <c r="CI37" i="1" s="1"/>
  <c r="CF38" i="1"/>
  <c r="CG38" i="1"/>
  <c r="CI38" i="1" s="1"/>
  <c r="CF39" i="1"/>
  <c r="CG39" i="1" s="1"/>
  <c r="CI39" i="1" s="1"/>
  <c r="CF3" i="1"/>
  <c r="CG3" i="1" s="1"/>
  <c r="CD4" i="1"/>
  <c r="CD9" i="1"/>
  <c r="CD12" i="1"/>
  <c r="CD13" i="1"/>
  <c r="CD16" i="1"/>
  <c r="CD17" i="1"/>
  <c r="CD26" i="1"/>
  <c r="CD27" i="1"/>
  <c r="CD30" i="1"/>
  <c r="CD34" i="1"/>
  <c r="CD35" i="1"/>
  <c r="CD36" i="1"/>
  <c r="CD37" i="1"/>
  <c r="CA3" i="1"/>
  <c r="CB3" i="1" s="1"/>
  <c r="CD3" i="1" s="1"/>
  <c r="CA4" i="1"/>
  <c r="CB4" i="1" s="1"/>
  <c r="CA5" i="1"/>
  <c r="CB5" i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 s="1"/>
  <c r="CA10" i="1"/>
  <c r="CB10" i="1" s="1"/>
  <c r="CD10" i="1" s="1"/>
  <c r="CA11" i="1"/>
  <c r="CB11" i="1"/>
  <c r="CD11" i="1" s="1"/>
  <c r="CA12" i="1"/>
  <c r="CB12" i="1" s="1"/>
  <c r="CA13" i="1"/>
  <c r="CB13" i="1" s="1"/>
  <c r="CA14" i="1"/>
  <c r="CB14" i="1" s="1"/>
  <c r="CD14" i="1" s="1"/>
  <c r="CA16" i="1"/>
  <c r="CB16" i="1"/>
  <c r="CA17" i="1"/>
  <c r="CB17" i="1" s="1"/>
  <c r="CA18" i="1"/>
  <c r="CB18" i="1" s="1"/>
  <c r="CD18" i="1" s="1"/>
  <c r="CA19" i="1"/>
  <c r="CB19" i="1"/>
  <c r="CD19" i="1" s="1"/>
  <c r="CA20" i="1"/>
  <c r="CB20" i="1" s="1"/>
  <c r="CD20" i="1" s="1"/>
  <c r="CA21" i="1"/>
  <c r="CB21" i="1"/>
  <c r="CD21" i="1" s="1"/>
  <c r="CA22" i="1"/>
  <c r="CB22" i="1" s="1"/>
  <c r="CD22" i="1" s="1"/>
  <c r="CA23" i="1"/>
  <c r="CB23" i="1" s="1"/>
  <c r="CD23" i="1" s="1"/>
  <c r="CA24" i="1"/>
  <c r="CB24" i="1"/>
  <c r="CD24" i="1" s="1"/>
  <c r="CA25" i="1"/>
  <c r="CB25" i="1" s="1"/>
  <c r="CD25" i="1" s="1"/>
  <c r="CA26" i="1"/>
  <c r="CB26" i="1" s="1"/>
  <c r="CA27" i="1"/>
  <c r="CB27" i="1" s="1"/>
  <c r="CA28" i="1"/>
  <c r="CB28" i="1"/>
  <c r="CD28" i="1" s="1"/>
  <c r="CA29" i="1"/>
  <c r="CB29" i="1"/>
  <c r="CD29" i="1" s="1"/>
  <c r="CA30" i="1"/>
  <c r="CB30" i="1" s="1"/>
  <c r="CA31" i="1"/>
  <c r="CB31" i="1"/>
  <c r="CD31" i="1" s="1"/>
  <c r="CA32" i="1"/>
  <c r="CB32" i="1" s="1"/>
  <c r="CD32" i="1" s="1"/>
  <c r="CA33" i="1"/>
  <c r="CB33" i="1" s="1"/>
  <c r="CD33" i="1" s="1"/>
  <c r="CA34" i="1"/>
  <c r="CB34" i="1"/>
  <c r="CA35" i="1"/>
  <c r="CB35" i="1" s="1"/>
  <c r="CA36" i="1"/>
  <c r="CB36" i="1" s="1"/>
  <c r="CA37" i="1"/>
  <c r="CB37" i="1"/>
  <c r="CA38" i="1"/>
  <c r="CB38" i="1" s="1"/>
  <c r="CD38" i="1" s="1"/>
  <c r="CA39" i="1"/>
  <c r="CB39" i="1" s="1"/>
  <c r="CD39" i="1" s="1"/>
  <c r="CA40" i="1"/>
  <c r="CB40" i="1" s="1"/>
  <c r="CD40" i="1" s="1"/>
  <c r="CA15" i="1"/>
  <c r="CB15" i="1" s="1"/>
  <c r="CD15" i="1" s="1"/>
  <c r="BY6" i="1"/>
  <c r="BY7" i="1"/>
  <c r="BY8" i="1"/>
  <c r="BY9" i="1"/>
  <c r="BY12" i="1"/>
  <c r="BY13" i="1"/>
  <c r="BY16" i="1"/>
  <c r="BY21" i="1"/>
  <c r="BY22" i="1"/>
  <c r="BY25" i="1"/>
  <c r="BY27" i="1"/>
  <c r="BY30" i="1"/>
  <c r="BY31" i="1"/>
  <c r="BY34" i="1"/>
  <c r="BV4" i="1"/>
  <c r="BW4" i="1" s="1"/>
  <c r="BY4" i="1" s="1"/>
  <c r="BV5" i="1"/>
  <c r="BW5" i="1" s="1"/>
  <c r="BY5" i="1" s="1"/>
  <c r="BV6" i="1"/>
  <c r="BW6" i="1" s="1"/>
  <c r="BV7" i="1"/>
  <c r="BW7" i="1" s="1"/>
  <c r="BV8" i="1"/>
  <c r="BW8" i="1" s="1"/>
  <c r="BV9" i="1"/>
  <c r="BW9" i="1"/>
  <c r="BV10" i="1"/>
  <c r="BW10" i="1" s="1"/>
  <c r="BY10" i="1" s="1"/>
  <c r="BV11" i="1"/>
  <c r="BW11" i="1"/>
  <c r="BY11" i="1" s="1"/>
  <c r="BV12" i="1"/>
  <c r="BW12" i="1" s="1"/>
  <c r="BV13" i="1"/>
  <c r="BW13" i="1" s="1"/>
  <c r="BV14" i="1"/>
  <c r="BW14" i="1" s="1"/>
  <c r="BY14" i="1" s="1"/>
  <c r="BV15" i="1"/>
  <c r="BW15" i="1" s="1"/>
  <c r="BY15" i="1" s="1"/>
  <c r="BV16" i="1"/>
  <c r="BW16" i="1" s="1"/>
  <c r="BV17" i="1"/>
  <c r="BW17" i="1"/>
  <c r="BY17" i="1" s="1"/>
  <c r="BV18" i="1"/>
  <c r="BW18" i="1" s="1"/>
  <c r="BY18" i="1" s="1"/>
  <c r="BV19" i="1"/>
  <c r="BW19" i="1" s="1"/>
  <c r="BY19" i="1" s="1"/>
  <c r="BV20" i="1"/>
  <c r="BW20" i="1"/>
  <c r="BY20" i="1" s="1"/>
  <c r="BV21" i="1"/>
  <c r="BW21" i="1" s="1"/>
  <c r="BV22" i="1"/>
  <c r="BW22" i="1" s="1"/>
  <c r="BV23" i="1"/>
  <c r="BW23" i="1"/>
  <c r="BY23" i="1" s="1"/>
  <c r="BV24" i="1"/>
  <c r="BW24" i="1" s="1"/>
  <c r="BY24" i="1" s="1"/>
  <c r="BV25" i="1"/>
  <c r="BW25" i="1" s="1"/>
  <c r="BV26" i="1"/>
  <c r="BW26" i="1"/>
  <c r="BY26" i="1" s="1"/>
  <c r="BV27" i="1"/>
  <c r="BW27" i="1" s="1"/>
  <c r="BV28" i="1"/>
  <c r="BW28" i="1"/>
  <c r="BY28" i="1" s="1"/>
  <c r="BV29" i="1"/>
  <c r="BW29" i="1"/>
  <c r="BY29" i="1" s="1"/>
  <c r="BV30" i="1"/>
  <c r="BW30" i="1" s="1"/>
  <c r="BV31" i="1"/>
  <c r="BW31" i="1" s="1"/>
  <c r="BV32" i="1"/>
  <c r="BW32" i="1" s="1"/>
  <c r="BY32" i="1" s="1"/>
  <c r="BV33" i="1"/>
  <c r="BW33" i="1" s="1"/>
  <c r="BY33" i="1" s="1"/>
  <c r="BV34" i="1"/>
  <c r="BW34" i="1" s="1"/>
  <c r="BV35" i="1"/>
  <c r="BW35" i="1"/>
  <c r="BY35" i="1" s="1"/>
  <c r="BV36" i="1"/>
  <c r="BW36" i="1" s="1"/>
  <c r="BY36" i="1" s="1"/>
  <c r="BV37" i="1"/>
  <c r="BW37" i="1"/>
  <c r="BY37" i="1" s="1"/>
  <c r="BV38" i="1"/>
  <c r="BW38" i="1" s="1"/>
  <c r="BY38" i="1" s="1"/>
  <c r="BV39" i="1"/>
  <c r="BW39" i="1" s="1"/>
  <c r="BY39" i="1" s="1"/>
  <c r="BV40" i="1"/>
  <c r="BW40" i="1"/>
  <c r="BY40" i="1" s="1"/>
  <c r="BV3" i="1"/>
  <c r="BW3" i="1" s="1"/>
  <c r="BY3" i="1" s="1"/>
  <c r="BT6" i="1"/>
  <c r="BT7" i="1"/>
  <c r="BT14" i="1"/>
  <c r="BT15" i="1"/>
  <c r="BT18" i="1"/>
  <c r="BT24" i="1"/>
  <c r="BT30" i="1"/>
  <c r="BT32" i="1"/>
  <c r="BT33" i="1"/>
  <c r="BT38" i="1"/>
  <c r="BT39" i="1"/>
  <c r="BQ4" i="1"/>
  <c r="BR4" i="1" s="1"/>
  <c r="BT4" i="1" s="1"/>
  <c r="BQ5" i="1"/>
  <c r="BR5" i="1" s="1"/>
  <c r="BT5" i="1" s="1"/>
  <c r="BQ6" i="1"/>
  <c r="BR6" i="1" s="1"/>
  <c r="BQ7" i="1"/>
  <c r="BR7" i="1"/>
  <c r="BQ8" i="1"/>
  <c r="BR8" i="1"/>
  <c r="BT8" i="1" s="1"/>
  <c r="BQ9" i="1"/>
  <c r="BR9" i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Q15" i="1"/>
  <c r="BR15" i="1" s="1"/>
  <c r="BQ16" i="1"/>
  <c r="BR16" i="1" s="1"/>
  <c r="BT16" i="1" s="1"/>
  <c r="BQ17" i="1"/>
  <c r="BR17" i="1" s="1"/>
  <c r="BT17" i="1" s="1"/>
  <c r="BQ18" i="1"/>
  <c r="BR18" i="1"/>
  <c r="BQ19" i="1"/>
  <c r="BR19" i="1" s="1"/>
  <c r="BT19" i="1" s="1"/>
  <c r="BQ20" i="1"/>
  <c r="BR20" i="1"/>
  <c r="BT20" i="1" s="1"/>
  <c r="BQ21" i="1"/>
  <c r="BR21" i="1" s="1"/>
  <c r="BT21" i="1" s="1"/>
  <c r="BQ22" i="1"/>
  <c r="BR22" i="1" s="1"/>
  <c r="BT22" i="1" s="1"/>
  <c r="BQ23" i="1"/>
  <c r="BR23" i="1" s="1"/>
  <c r="BT23" i="1" s="1"/>
  <c r="BQ24" i="1"/>
  <c r="BR24" i="1" s="1"/>
  <c r="BQ25" i="1"/>
  <c r="BR25" i="1" s="1"/>
  <c r="BT25" i="1" s="1"/>
  <c r="BQ26" i="1"/>
  <c r="BR26" i="1"/>
  <c r="BT26" i="1" s="1"/>
  <c r="BQ27" i="1"/>
  <c r="BR27" i="1" s="1"/>
  <c r="BT27" i="1" s="1"/>
  <c r="BQ28" i="1"/>
  <c r="BR28" i="1"/>
  <c r="BT28" i="1" s="1"/>
  <c r="BQ29" i="1"/>
  <c r="BR29" i="1" s="1"/>
  <c r="BT29" i="1" s="1"/>
  <c r="BQ30" i="1"/>
  <c r="BR30" i="1"/>
  <c r="BQ31" i="1"/>
  <c r="BR31" i="1" s="1"/>
  <c r="BT31" i="1" s="1"/>
  <c r="BQ32" i="1"/>
  <c r="BR32" i="1" s="1"/>
  <c r="BQ33" i="1"/>
  <c r="BR33" i="1" s="1"/>
  <c r="BQ34" i="1"/>
  <c r="BR34" i="1"/>
  <c r="BT34" i="1" s="1"/>
  <c r="BQ35" i="1"/>
  <c r="BR35" i="1" s="1"/>
  <c r="BT35" i="1" s="1"/>
  <c r="BQ36" i="1"/>
  <c r="BR36" i="1" s="1"/>
  <c r="BT36" i="1" s="1"/>
  <c r="BQ37" i="1"/>
  <c r="BR37" i="1"/>
  <c r="BT37" i="1" s="1"/>
  <c r="BQ38" i="1"/>
  <c r="BR38" i="1" s="1"/>
  <c r="BQ39" i="1"/>
  <c r="BR39" i="1" s="1"/>
  <c r="BQ40" i="1"/>
  <c r="BR40" i="1" s="1"/>
  <c r="BT40" i="1" s="1"/>
  <c r="BR3" i="1"/>
  <c r="BT3" i="1" s="1"/>
  <c r="BQ3" i="1"/>
  <c r="BO4" i="1"/>
  <c r="BO10" i="1"/>
  <c r="BO15" i="1"/>
  <c r="BO23" i="1"/>
  <c r="BO27" i="1"/>
  <c r="BO28" i="1"/>
  <c r="BO33" i="1"/>
  <c r="BL4" i="1"/>
  <c r="BM4" i="1" s="1"/>
  <c r="BL5" i="1"/>
  <c r="BM5" i="1"/>
  <c r="BO5" i="1" s="1"/>
  <c r="BL6" i="1"/>
  <c r="BM6" i="1" s="1"/>
  <c r="BO6" i="1" s="1"/>
  <c r="BL7" i="1"/>
  <c r="BM7" i="1" s="1"/>
  <c r="BO7" i="1" s="1"/>
  <c r="BL8" i="1"/>
  <c r="BM8" i="1" s="1"/>
  <c r="BO8" i="1" s="1"/>
  <c r="BL9" i="1"/>
  <c r="BM9" i="1"/>
  <c r="BO9" i="1" s="1"/>
  <c r="BL10" i="1"/>
  <c r="BM10" i="1" s="1"/>
  <c r="BL11" i="1"/>
  <c r="BM11" i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L16" i="1"/>
  <c r="BM16" i="1" s="1"/>
  <c r="BO16" i="1" s="1"/>
  <c r="BL17" i="1"/>
  <c r="BM17" i="1" s="1"/>
  <c r="BO17" i="1" s="1"/>
  <c r="BL18" i="1"/>
  <c r="BM18" i="1" s="1"/>
  <c r="BO18" i="1" s="1"/>
  <c r="BL19" i="1"/>
  <c r="BM19" i="1"/>
  <c r="BO19" i="1" s="1"/>
  <c r="BL20" i="1"/>
  <c r="BM20" i="1" s="1"/>
  <c r="BO20" i="1" s="1"/>
  <c r="BL21" i="1"/>
  <c r="BM21" i="1"/>
  <c r="BO21" i="1" s="1"/>
  <c r="BL22" i="1"/>
  <c r="BM22" i="1" s="1"/>
  <c r="BO22" i="1" s="1"/>
  <c r="BL23" i="1"/>
  <c r="BM23" i="1"/>
  <c r="BL24" i="1"/>
  <c r="BM24" i="1" s="1"/>
  <c r="BO24" i="1" s="1"/>
  <c r="BL25" i="1"/>
  <c r="BM25" i="1" s="1"/>
  <c r="BO25" i="1" s="1"/>
  <c r="BL26" i="1"/>
  <c r="BM26" i="1" s="1"/>
  <c r="BO26" i="1" s="1"/>
  <c r="BL27" i="1"/>
  <c r="BM27" i="1"/>
  <c r="BL28" i="1"/>
  <c r="BM28" i="1" s="1"/>
  <c r="BL29" i="1"/>
  <c r="BM29" i="1" s="1"/>
  <c r="BO29" i="1" s="1"/>
  <c r="BL30" i="1"/>
  <c r="BM30" i="1" s="1"/>
  <c r="BO30" i="1" s="1"/>
  <c r="BL31" i="1"/>
  <c r="BM31" i="1" s="1"/>
  <c r="BO31" i="1" s="1"/>
  <c r="BL32" i="1"/>
  <c r="BM32" i="1" s="1"/>
  <c r="BO32" i="1" s="1"/>
  <c r="BL33" i="1"/>
  <c r="BM33" i="1" s="1"/>
  <c r="BL34" i="1"/>
  <c r="BM34" i="1"/>
  <c r="BO34" i="1" s="1"/>
  <c r="BL35" i="1"/>
  <c r="BM35" i="1" s="1"/>
  <c r="BO35" i="1" s="1"/>
  <c r="BL36" i="1"/>
  <c r="BM36" i="1"/>
  <c r="BO36" i="1" s="1"/>
  <c r="BL37" i="1"/>
  <c r="BM37" i="1"/>
  <c r="BO37" i="1" s="1"/>
  <c r="BL38" i="1"/>
  <c r="BM38" i="1" s="1"/>
  <c r="BO38" i="1" s="1"/>
  <c r="BL39" i="1"/>
  <c r="BM39" i="1" s="1"/>
  <c r="BO39" i="1" s="1"/>
  <c r="BL40" i="1"/>
  <c r="BM40" i="1" s="1"/>
  <c r="BO40" i="1" s="1"/>
  <c r="BL3" i="1"/>
  <c r="BM3" i="1" s="1"/>
  <c r="BO3" i="1" s="1"/>
  <c r="BJ4" i="1"/>
  <c r="BJ7" i="1"/>
  <c r="BJ8" i="1"/>
  <c r="BJ11" i="1"/>
  <c r="BJ12" i="1"/>
  <c r="BJ13" i="1"/>
  <c r="BJ14" i="1"/>
  <c r="BJ17" i="1"/>
  <c r="BJ22" i="1"/>
  <c r="BJ25" i="1"/>
  <c r="BJ26" i="1"/>
  <c r="BJ29" i="1"/>
  <c r="BJ3" i="1"/>
  <c r="BG4" i="1"/>
  <c r="BH4" i="1" s="1"/>
  <c r="BG5" i="1"/>
  <c r="BH5" i="1"/>
  <c r="BJ5" i="1" s="1"/>
  <c r="BG6" i="1"/>
  <c r="BH6" i="1" s="1"/>
  <c r="BJ6" i="1" s="1"/>
  <c r="BG7" i="1"/>
  <c r="BH7" i="1" s="1"/>
  <c r="BG8" i="1"/>
  <c r="BH8" i="1"/>
  <c r="BG9" i="1"/>
  <c r="BH9" i="1"/>
  <c r="BJ9" i="1" s="1"/>
  <c r="BG10" i="1"/>
  <c r="BH10" i="1" s="1"/>
  <c r="BJ10" i="1" s="1"/>
  <c r="BG11" i="1"/>
  <c r="BH11" i="1" s="1"/>
  <c r="BG12" i="1"/>
  <c r="BH12" i="1" s="1"/>
  <c r="BG13" i="1"/>
  <c r="BH13" i="1" s="1"/>
  <c r="BG14" i="1"/>
  <c r="BH14" i="1"/>
  <c r="BG15" i="1"/>
  <c r="BH15" i="1" s="1"/>
  <c r="BJ15" i="1" s="1"/>
  <c r="BG16" i="1"/>
  <c r="BH16" i="1" s="1"/>
  <c r="BJ16" i="1" s="1"/>
  <c r="BG17" i="1"/>
  <c r="BH17" i="1"/>
  <c r="BG18" i="1"/>
  <c r="BH18" i="1" s="1"/>
  <c r="BJ18" i="1" s="1"/>
  <c r="BG19" i="1"/>
  <c r="BH19" i="1"/>
  <c r="BJ19" i="1" s="1"/>
  <c r="BG20" i="1"/>
  <c r="BH20" i="1" s="1"/>
  <c r="BJ20" i="1" s="1"/>
  <c r="BG21" i="1"/>
  <c r="BH21" i="1" s="1"/>
  <c r="BJ21" i="1" s="1"/>
  <c r="BG22" i="1"/>
  <c r="BH22" i="1" s="1"/>
  <c r="BG23" i="1"/>
  <c r="BH23" i="1"/>
  <c r="BJ23" i="1" s="1"/>
  <c r="BG24" i="1"/>
  <c r="BH24" i="1" s="1"/>
  <c r="BJ24" i="1" s="1"/>
  <c r="BG25" i="1"/>
  <c r="BH25" i="1" s="1"/>
  <c r="BG26" i="1"/>
  <c r="BH26" i="1"/>
  <c r="BG27" i="1"/>
  <c r="BH27" i="1" s="1"/>
  <c r="BJ27" i="1" s="1"/>
  <c r="BG28" i="1"/>
  <c r="BH28" i="1" s="1"/>
  <c r="BJ28" i="1" s="1"/>
  <c r="BG29" i="1"/>
  <c r="BH29" i="1" s="1"/>
  <c r="BG30" i="1"/>
  <c r="BH30" i="1"/>
  <c r="BJ30" i="1" s="1"/>
  <c r="BG31" i="1"/>
  <c r="BH31" i="1" s="1"/>
  <c r="BJ31" i="1" s="1"/>
  <c r="BG32" i="1"/>
  <c r="BH32" i="1"/>
  <c r="BJ32" i="1" s="1"/>
  <c r="BG33" i="1"/>
  <c r="BH33" i="1" s="1"/>
  <c r="BJ33" i="1" s="1"/>
  <c r="BG34" i="1"/>
  <c r="BH34" i="1" s="1"/>
  <c r="BJ34" i="1" s="1"/>
  <c r="BG35" i="1"/>
  <c r="BH35" i="1"/>
  <c r="BJ35" i="1" s="1"/>
  <c r="BG36" i="1"/>
  <c r="BH36" i="1" s="1"/>
  <c r="BJ36" i="1" s="1"/>
  <c r="BG37" i="1"/>
  <c r="BH37" i="1"/>
  <c r="BJ37" i="1" s="1"/>
  <c r="BG38" i="1"/>
  <c r="BH38" i="1" s="1"/>
  <c r="BJ38" i="1" s="1"/>
  <c r="BG39" i="1"/>
  <c r="BH39" i="1" s="1"/>
  <c r="BJ39" i="1" s="1"/>
  <c r="BG40" i="1"/>
  <c r="BH40" i="1"/>
  <c r="BJ40" i="1" s="1"/>
  <c r="BG3" i="1"/>
  <c r="BH3" i="1" s="1"/>
  <c r="BE6" i="1"/>
  <c r="BE9" i="1"/>
  <c r="BE11" i="1"/>
  <c r="BE12" i="1"/>
  <c r="BE16" i="1"/>
  <c r="BE17" i="1"/>
  <c r="BE19" i="1"/>
  <c r="BE23" i="1"/>
  <c r="BE24" i="1"/>
  <c r="BE29" i="1"/>
  <c r="BE39" i="1"/>
  <c r="BB4" i="1"/>
  <c r="BC4" i="1"/>
  <c r="BE4" i="1" s="1"/>
  <c r="BB5" i="1"/>
  <c r="BC5" i="1" s="1"/>
  <c r="BE5" i="1" s="1"/>
  <c r="BB6" i="1"/>
  <c r="BC6" i="1" s="1"/>
  <c r="BB7" i="1"/>
  <c r="BC7" i="1" s="1"/>
  <c r="BE7" i="1" s="1"/>
  <c r="BB8" i="1"/>
  <c r="BC8" i="1" s="1"/>
  <c r="BE8" i="1" s="1"/>
  <c r="BB9" i="1"/>
  <c r="BC9" i="1"/>
  <c r="BB10" i="1"/>
  <c r="BC10" i="1"/>
  <c r="BE10" i="1" s="1"/>
  <c r="BB11" i="1"/>
  <c r="BC11" i="1"/>
  <c r="BB12" i="1"/>
  <c r="BC12" i="1" s="1"/>
  <c r="BB13" i="1"/>
  <c r="BC13" i="1"/>
  <c r="BE13" i="1" s="1"/>
  <c r="BB14" i="1"/>
  <c r="BC14" i="1" s="1"/>
  <c r="BE14" i="1" s="1"/>
  <c r="BB15" i="1"/>
  <c r="BC15" i="1"/>
  <c r="BE15" i="1" s="1"/>
  <c r="BB16" i="1"/>
  <c r="BC16" i="1" s="1"/>
  <c r="BB17" i="1"/>
  <c r="BC17" i="1"/>
  <c r="BB18" i="1"/>
  <c r="BC18" i="1" s="1"/>
  <c r="BE18" i="1" s="1"/>
  <c r="BB19" i="1"/>
  <c r="BC19" i="1"/>
  <c r="BB20" i="1"/>
  <c r="BC20" i="1" s="1"/>
  <c r="BE20" i="1" s="1"/>
  <c r="BB21" i="1"/>
  <c r="BC21" i="1"/>
  <c r="BE21" i="1" s="1"/>
  <c r="BB22" i="1"/>
  <c r="BC22" i="1" s="1"/>
  <c r="BE22" i="1" s="1"/>
  <c r="BB23" i="1"/>
  <c r="BC23" i="1" s="1"/>
  <c r="BB24" i="1"/>
  <c r="BC24" i="1"/>
  <c r="BB25" i="1"/>
  <c r="BC25" i="1" s="1"/>
  <c r="BE25" i="1" s="1"/>
  <c r="BB26" i="1"/>
  <c r="BC26" i="1" s="1"/>
  <c r="BE26" i="1" s="1"/>
  <c r="BB27" i="1"/>
  <c r="BC27" i="1"/>
  <c r="BE27" i="1" s="1"/>
  <c r="BB28" i="1"/>
  <c r="BC28" i="1" s="1"/>
  <c r="BE28" i="1" s="1"/>
  <c r="BB29" i="1"/>
  <c r="BC29" i="1"/>
  <c r="BB30" i="1"/>
  <c r="BC30" i="1"/>
  <c r="BE30" i="1" s="1"/>
  <c r="BB31" i="1"/>
  <c r="BC31" i="1"/>
  <c r="BE31" i="1" s="1"/>
  <c r="BB32" i="1"/>
  <c r="BC32" i="1" s="1"/>
  <c r="BE32" i="1" s="1"/>
  <c r="BB33" i="1"/>
  <c r="BC33" i="1" s="1"/>
  <c r="BE33" i="1" s="1"/>
  <c r="BB34" i="1"/>
  <c r="BC34" i="1" s="1"/>
  <c r="BE34" i="1" s="1"/>
  <c r="BB35" i="1"/>
  <c r="BC35" i="1"/>
  <c r="BE35" i="1" s="1"/>
  <c r="BB36" i="1"/>
  <c r="BC36" i="1" s="1"/>
  <c r="BE36" i="1" s="1"/>
  <c r="BB37" i="1"/>
  <c r="BC37" i="1"/>
  <c r="BE37" i="1" s="1"/>
  <c r="BB38" i="1"/>
  <c r="BC38" i="1" s="1"/>
  <c r="BE38" i="1" s="1"/>
  <c r="BB39" i="1"/>
  <c r="BC39" i="1"/>
  <c r="BB40" i="1"/>
  <c r="BC40" i="1" s="1"/>
  <c r="BE40" i="1" s="1"/>
  <c r="BB3" i="1"/>
  <c r="BC3" i="1" s="1"/>
  <c r="BE3" i="1" s="1"/>
  <c r="AZ5" i="1"/>
  <c r="AZ6" i="1"/>
  <c r="AZ9" i="1"/>
  <c r="AZ10" i="1"/>
  <c r="AZ11" i="1"/>
  <c r="AZ20" i="1"/>
  <c r="AZ21" i="1"/>
  <c r="AZ22" i="1"/>
  <c r="AZ23" i="1"/>
  <c r="AZ30" i="1"/>
  <c r="AZ33" i="1"/>
  <c r="AZ34" i="1"/>
  <c r="AZ39" i="1"/>
  <c r="AZ3" i="1"/>
  <c r="AW4" i="1"/>
  <c r="AX4" i="1" s="1"/>
  <c r="AZ4" i="1" s="1"/>
  <c r="AW5" i="1"/>
  <c r="AX5" i="1" s="1"/>
  <c r="AW6" i="1"/>
  <c r="AX6" i="1"/>
  <c r="AW7" i="1"/>
  <c r="AX7" i="1"/>
  <c r="AZ7" i="1" s="1"/>
  <c r="AW8" i="1"/>
  <c r="AX8" i="1" s="1"/>
  <c r="AZ8" i="1" s="1"/>
  <c r="AW9" i="1"/>
  <c r="AX9" i="1"/>
  <c r="AW10" i="1"/>
  <c r="AX10" i="1" s="1"/>
  <c r="AW11" i="1"/>
  <c r="AX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/>
  <c r="AZ15" i="1" s="1"/>
  <c r="AW16" i="1"/>
  <c r="AX16" i="1" s="1"/>
  <c r="AZ16" i="1" s="1"/>
  <c r="AW17" i="1"/>
  <c r="AX17" i="1" s="1"/>
  <c r="AZ17" i="1" s="1"/>
  <c r="AW18" i="1"/>
  <c r="AX18" i="1"/>
  <c r="AZ18" i="1" s="1"/>
  <c r="AW19" i="1"/>
  <c r="AX19" i="1" s="1"/>
  <c r="AZ19" i="1" s="1"/>
  <c r="AW20" i="1"/>
  <c r="AX20" i="1"/>
  <c r="AW21" i="1"/>
  <c r="AX21" i="1" s="1"/>
  <c r="AW22" i="1"/>
  <c r="AX22" i="1" s="1"/>
  <c r="AW23" i="1"/>
  <c r="AX23" i="1" s="1"/>
  <c r="AW24" i="1"/>
  <c r="AX24" i="1"/>
  <c r="AZ24" i="1" s="1"/>
  <c r="AW25" i="1"/>
  <c r="AX25" i="1"/>
  <c r="AZ25" i="1" s="1"/>
  <c r="AW26" i="1"/>
  <c r="AX26" i="1" s="1"/>
  <c r="AZ26" i="1" s="1"/>
  <c r="AW27" i="1"/>
  <c r="AX27" i="1"/>
  <c r="AZ27" i="1" s="1"/>
  <c r="AW28" i="1"/>
  <c r="AX28" i="1" s="1"/>
  <c r="AZ28" i="1" s="1"/>
  <c r="AW29" i="1"/>
  <c r="AX29" i="1" s="1"/>
  <c r="AZ29" i="1" s="1"/>
  <c r="AW30" i="1"/>
  <c r="AX30" i="1" s="1"/>
  <c r="AW31" i="1"/>
  <c r="AX31" i="1" s="1"/>
  <c r="AZ31" i="1" s="1"/>
  <c r="AW32" i="1"/>
  <c r="AX32" i="1" s="1"/>
  <c r="AZ32" i="1" s="1"/>
  <c r="AW33" i="1"/>
  <c r="AX33" i="1" s="1"/>
  <c r="AW34" i="1"/>
  <c r="AX34" i="1"/>
  <c r="AW35" i="1"/>
  <c r="AX35" i="1" s="1"/>
  <c r="AZ35" i="1" s="1"/>
  <c r="AW36" i="1"/>
  <c r="AX36" i="1" s="1"/>
  <c r="AZ36" i="1" s="1"/>
  <c r="AW37" i="1"/>
  <c r="AX37" i="1" s="1"/>
  <c r="AZ37" i="1" s="1"/>
  <c r="AW38" i="1"/>
  <c r="AX38" i="1"/>
  <c r="AZ38" i="1" s="1"/>
  <c r="AW39" i="1"/>
  <c r="AX39" i="1" s="1"/>
  <c r="AW40" i="1"/>
  <c r="AX40" i="1" s="1"/>
  <c r="AZ40" i="1" s="1"/>
  <c r="AW3" i="1"/>
  <c r="AX3" i="1" s="1"/>
  <c r="AU6" i="1"/>
  <c r="AU7" i="1"/>
  <c r="AU16" i="1"/>
  <c r="AU20" i="1"/>
  <c r="AU25" i="1"/>
  <c r="AU29" i="1"/>
  <c r="AU30" i="1"/>
  <c r="AU32" i="1"/>
  <c r="AU34" i="1"/>
  <c r="AU36" i="1"/>
  <c r="AU37" i="1"/>
  <c r="AU39" i="1"/>
  <c r="AR4" i="1"/>
  <c r="AS4" i="1" s="1"/>
  <c r="AU4" i="1" s="1"/>
  <c r="AR5" i="1"/>
  <c r="AS5" i="1" s="1"/>
  <c r="AU5" i="1" s="1"/>
  <c r="AR6" i="1"/>
  <c r="AS6" i="1"/>
  <c r="AR7" i="1"/>
  <c r="AS7" i="1" s="1"/>
  <c r="AR8" i="1"/>
  <c r="AS8" i="1" s="1"/>
  <c r="AU8" i="1" s="1"/>
  <c r="AR9" i="1"/>
  <c r="AS9" i="1" s="1"/>
  <c r="AU9" i="1" s="1"/>
  <c r="AR10" i="1"/>
  <c r="AS10" i="1" s="1"/>
  <c r="AU10" i="1" s="1"/>
  <c r="AR11" i="1"/>
  <c r="AS11" i="1"/>
  <c r="AU11" i="1" s="1"/>
  <c r="AR12" i="1"/>
  <c r="AS12" i="1"/>
  <c r="AU12" i="1" s="1"/>
  <c r="AR13" i="1"/>
  <c r="AS13" i="1" s="1"/>
  <c r="AU13" i="1" s="1"/>
  <c r="AR14" i="1"/>
  <c r="AS14" i="1"/>
  <c r="AU14" i="1" s="1"/>
  <c r="AR15" i="1"/>
  <c r="AS15" i="1" s="1"/>
  <c r="AU15" i="1" s="1"/>
  <c r="AR16" i="1"/>
  <c r="AS16" i="1" s="1"/>
  <c r="AR17" i="1"/>
  <c r="AS17" i="1"/>
  <c r="AU17" i="1" s="1"/>
  <c r="AR18" i="1"/>
  <c r="AS18" i="1" s="1"/>
  <c r="AU18" i="1" s="1"/>
  <c r="AR19" i="1"/>
  <c r="AS19" i="1"/>
  <c r="AU19" i="1" s="1"/>
  <c r="AR20" i="1"/>
  <c r="AS20" i="1" s="1"/>
  <c r="AR21" i="1"/>
  <c r="AS21" i="1" s="1"/>
  <c r="AU21" i="1" s="1"/>
  <c r="AR22" i="1"/>
  <c r="AS22" i="1" s="1"/>
  <c r="AU22" i="1" s="1"/>
  <c r="AR23" i="1"/>
  <c r="AS23" i="1" s="1"/>
  <c r="AU23" i="1" s="1"/>
  <c r="AR24" i="1"/>
  <c r="AS24" i="1"/>
  <c r="AU24" i="1" s="1"/>
  <c r="AR25" i="1"/>
  <c r="AS25" i="1" s="1"/>
  <c r="AR26" i="1"/>
  <c r="AS26" i="1" s="1"/>
  <c r="AU26" i="1" s="1"/>
  <c r="AR27" i="1"/>
  <c r="AS27" i="1"/>
  <c r="AU27" i="1" s="1"/>
  <c r="AR28" i="1"/>
  <c r="AS28" i="1" s="1"/>
  <c r="AU28" i="1" s="1"/>
  <c r="AR29" i="1"/>
  <c r="AS29" i="1"/>
  <c r="AR30" i="1"/>
  <c r="AS30" i="1" s="1"/>
  <c r="AR31" i="1"/>
  <c r="AS31" i="1" s="1"/>
  <c r="AU31" i="1" s="1"/>
  <c r="AR32" i="1"/>
  <c r="AS32" i="1"/>
  <c r="AR33" i="1"/>
  <c r="AS33" i="1" s="1"/>
  <c r="AU33" i="1" s="1"/>
  <c r="AR34" i="1"/>
  <c r="AS34" i="1" s="1"/>
  <c r="AR35" i="1"/>
  <c r="AS35" i="1"/>
  <c r="AU35" i="1" s="1"/>
  <c r="AR36" i="1"/>
  <c r="AS36" i="1" s="1"/>
  <c r="AR37" i="1"/>
  <c r="AS37" i="1"/>
  <c r="AR38" i="1"/>
  <c r="AS38" i="1" s="1"/>
  <c r="AU38" i="1" s="1"/>
  <c r="AR39" i="1"/>
  <c r="AS39" i="1" s="1"/>
  <c r="AR40" i="1"/>
  <c r="AS40" i="1"/>
  <c r="AU40" i="1" s="1"/>
  <c r="AR3" i="1"/>
  <c r="AS3" i="1" s="1"/>
  <c r="AU3" i="1" s="1"/>
  <c r="AP6" i="1"/>
  <c r="AP16" i="1"/>
  <c r="AP17" i="1"/>
  <c r="AP19" i="1"/>
  <c r="AP23" i="1"/>
  <c r="AP24" i="1"/>
  <c r="AP29" i="1"/>
  <c r="AP30" i="1"/>
  <c r="AP34" i="1"/>
  <c r="AP3" i="1"/>
  <c r="AM4" i="1"/>
  <c r="AN4" i="1" s="1"/>
  <c r="AP4" i="1" s="1"/>
  <c r="AM5" i="1"/>
  <c r="AN5" i="1" s="1"/>
  <c r="AP5" i="1" s="1"/>
  <c r="AM6" i="1"/>
  <c r="AN6" i="1" s="1"/>
  <c r="AM7" i="1"/>
  <c r="AN7" i="1" s="1"/>
  <c r="AP7" i="1" s="1"/>
  <c r="AM8" i="1"/>
  <c r="AN8" i="1" s="1"/>
  <c r="AP8" i="1" s="1"/>
  <c r="AM9" i="1"/>
  <c r="AN9" i="1" s="1"/>
  <c r="AP9" i="1" s="1"/>
  <c r="AM10" i="1"/>
  <c r="AN10" i="1"/>
  <c r="AP10" i="1" s="1"/>
  <c r="AM11" i="1"/>
  <c r="AN11" i="1" s="1"/>
  <c r="AP11" i="1" s="1"/>
  <c r="AM12" i="1"/>
  <c r="AN12" i="1"/>
  <c r="AP12" i="1" s="1"/>
  <c r="AM13" i="1"/>
  <c r="AN13" i="1" s="1"/>
  <c r="AP13" i="1" s="1"/>
  <c r="AM14" i="1"/>
  <c r="AN14" i="1" s="1"/>
  <c r="AP14" i="1" s="1"/>
  <c r="AM15" i="1"/>
  <c r="AN15" i="1" s="1"/>
  <c r="AP15" i="1" s="1"/>
  <c r="AM16" i="1"/>
  <c r="AN16" i="1"/>
  <c r="AM17" i="1"/>
  <c r="AN17" i="1" s="1"/>
  <c r="AM18" i="1"/>
  <c r="AN18" i="1" s="1"/>
  <c r="AP18" i="1" s="1"/>
  <c r="AM19" i="1"/>
  <c r="AN19" i="1" s="1"/>
  <c r="AM20" i="1"/>
  <c r="AN20" i="1"/>
  <c r="AP20" i="1" s="1"/>
  <c r="AM21" i="1"/>
  <c r="AN21" i="1" s="1"/>
  <c r="AP21" i="1" s="1"/>
  <c r="AM22" i="1"/>
  <c r="AN22" i="1"/>
  <c r="AP22" i="1" s="1"/>
  <c r="AM23" i="1"/>
  <c r="AN23" i="1" s="1"/>
  <c r="AM24" i="1"/>
  <c r="AN24" i="1" s="1"/>
  <c r="AM25" i="1"/>
  <c r="AN25" i="1"/>
  <c r="AP25" i="1" s="1"/>
  <c r="AM26" i="1"/>
  <c r="AN26" i="1"/>
  <c r="AP26" i="1" s="1"/>
  <c r="AM27" i="1"/>
  <c r="AN27" i="1" s="1"/>
  <c r="AP27" i="1" s="1"/>
  <c r="AM28" i="1"/>
  <c r="AN28" i="1"/>
  <c r="AP28" i="1" s="1"/>
  <c r="AM29" i="1"/>
  <c r="AN29" i="1" s="1"/>
  <c r="AM30" i="1"/>
  <c r="AN30" i="1"/>
  <c r="AM31" i="1"/>
  <c r="AN31" i="1" s="1"/>
  <c r="AP31" i="1" s="1"/>
  <c r="AM32" i="1"/>
  <c r="AN32" i="1" s="1"/>
  <c r="AP32" i="1" s="1"/>
  <c r="AM33" i="1"/>
  <c r="AN33" i="1" s="1"/>
  <c r="AP33" i="1" s="1"/>
  <c r="AM34" i="1"/>
  <c r="AN34" i="1" s="1"/>
  <c r="AM35" i="1"/>
  <c r="AN35" i="1"/>
  <c r="AP35" i="1" s="1"/>
  <c r="AM36" i="1"/>
  <c r="AN36" i="1" s="1"/>
  <c r="AP36" i="1" s="1"/>
  <c r="AM37" i="1"/>
  <c r="AN37" i="1" s="1"/>
  <c r="AP37" i="1" s="1"/>
  <c r="AM38" i="1"/>
  <c r="AN38" i="1"/>
  <c r="AP38" i="1" s="1"/>
  <c r="AM39" i="1"/>
  <c r="AN39" i="1" s="1"/>
  <c r="AP39" i="1" s="1"/>
  <c r="AM40" i="1"/>
  <c r="AN40" i="1" s="1"/>
  <c r="AP40" i="1" s="1"/>
  <c r="AM3" i="1"/>
  <c r="AN3" i="1" s="1"/>
  <c r="AK4" i="1"/>
  <c r="AK6" i="1"/>
  <c r="AK7" i="1"/>
  <c r="AK12" i="1"/>
  <c r="AK13" i="1"/>
  <c r="AK17" i="1"/>
  <c r="AK22" i="1"/>
  <c r="AK24" i="1"/>
  <c r="AK28" i="1"/>
  <c r="AK30" i="1"/>
  <c r="AK31" i="1"/>
  <c r="AK35" i="1"/>
  <c r="AK39" i="1"/>
  <c r="AK40" i="1"/>
  <c r="AH4" i="1"/>
  <c r="AI4" i="1" s="1"/>
  <c r="AH5" i="1"/>
  <c r="AI5" i="1" s="1"/>
  <c r="AK5" i="1" s="1"/>
  <c r="AH6" i="1"/>
  <c r="AI6" i="1" s="1"/>
  <c r="AH7" i="1"/>
  <c r="AI7" i="1"/>
  <c r="AH8" i="1"/>
  <c r="AI8" i="1"/>
  <c r="AK8" i="1" s="1"/>
  <c r="AH9" i="1"/>
  <c r="AI9" i="1" s="1"/>
  <c r="AK9" i="1" s="1"/>
  <c r="AH10" i="1"/>
  <c r="AI10" i="1"/>
  <c r="AK10" i="1" s="1"/>
  <c r="AH11" i="1"/>
  <c r="AI11" i="1" s="1"/>
  <c r="AK11" i="1" s="1"/>
  <c r="AH12" i="1"/>
  <c r="AI12" i="1"/>
  <c r="AH13" i="1"/>
  <c r="AI13" i="1" s="1"/>
  <c r="AH14" i="1"/>
  <c r="AI14" i="1" s="1"/>
  <c r="AK14" i="1" s="1"/>
  <c r="AH15" i="1"/>
  <c r="AI15" i="1" s="1"/>
  <c r="AK15" i="1" s="1"/>
  <c r="AH16" i="1"/>
  <c r="AI16" i="1"/>
  <c r="AK16" i="1" s="1"/>
  <c r="AH17" i="1"/>
  <c r="AI17" i="1" s="1"/>
  <c r="AH18" i="1"/>
  <c r="AI18" i="1"/>
  <c r="AK18" i="1" s="1"/>
  <c r="AH19" i="1"/>
  <c r="AI19" i="1" s="1"/>
  <c r="AK19" i="1" s="1"/>
  <c r="AH20" i="1"/>
  <c r="AI20" i="1" s="1"/>
  <c r="AK20" i="1" s="1"/>
  <c r="AH21" i="1"/>
  <c r="AI21" i="1"/>
  <c r="AK21" i="1" s="1"/>
  <c r="AH22" i="1"/>
  <c r="AI22" i="1" s="1"/>
  <c r="AH23" i="1"/>
  <c r="AI23" i="1" s="1"/>
  <c r="AK23" i="1" s="1"/>
  <c r="AH24" i="1"/>
  <c r="AI24" i="1" s="1"/>
  <c r="AH25" i="1"/>
  <c r="AI25" i="1"/>
  <c r="AK25" i="1" s="1"/>
  <c r="AH26" i="1"/>
  <c r="AI26" i="1" s="1"/>
  <c r="AK26" i="1" s="1"/>
  <c r="AH27" i="1"/>
  <c r="AI27" i="1"/>
  <c r="AK27" i="1" s="1"/>
  <c r="AH28" i="1"/>
  <c r="AI28" i="1" s="1"/>
  <c r="AH29" i="1"/>
  <c r="AI29" i="1" s="1"/>
  <c r="AK29" i="1" s="1"/>
  <c r="AH30" i="1"/>
  <c r="AI30" i="1"/>
  <c r="AH31" i="1"/>
  <c r="AI31" i="1" s="1"/>
  <c r="AH32" i="1"/>
  <c r="AI32" i="1" s="1"/>
  <c r="AK32" i="1" s="1"/>
  <c r="AH33" i="1"/>
  <c r="AI33" i="1" s="1"/>
  <c r="AK33" i="1" s="1"/>
  <c r="AH34" i="1"/>
  <c r="AI34" i="1" s="1"/>
  <c r="AK34" i="1" s="1"/>
  <c r="AH35" i="1"/>
  <c r="AI35" i="1"/>
  <c r="AH36" i="1"/>
  <c r="AI36" i="1"/>
  <c r="AK36" i="1" s="1"/>
  <c r="AH37" i="1"/>
  <c r="AI37" i="1"/>
  <c r="AK37" i="1" s="1"/>
  <c r="AH38" i="1"/>
  <c r="AI38" i="1" s="1"/>
  <c r="AK38" i="1" s="1"/>
  <c r="AH39" i="1"/>
  <c r="AI39" i="1" s="1"/>
  <c r="AH40" i="1"/>
  <c r="AI40" i="1" s="1"/>
  <c r="AH3" i="1"/>
  <c r="AI3" i="1" s="1"/>
  <c r="AK3" i="1" s="1"/>
  <c r="AF4" i="1"/>
  <c r="AF7" i="1"/>
  <c r="AF8" i="1"/>
  <c r="AF14" i="1"/>
  <c r="AF16" i="1"/>
  <c r="AF23" i="1"/>
  <c r="AF26" i="1"/>
  <c r="AF27" i="1"/>
  <c r="AF34" i="1"/>
  <c r="AF40" i="1"/>
  <c r="AF3" i="1"/>
  <c r="AC4" i="1"/>
  <c r="AD4" i="1"/>
  <c r="AC5" i="1"/>
  <c r="AD5" i="1" s="1"/>
  <c r="AF5" i="1" s="1"/>
  <c r="AC6" i="1"/>
  <c r="AD6" i="1" s="1"/>
  <c r="AF6" i="1" s="1"/>
  <c r="AC7" i="1"/>
  <c r="AD7" i="1" s="1"/>
  <c r="AC8" i="1"/>
  <c r="AD8" i="1" s="1"/>
  <c r="AC9" i="1"/>
  <c r="AD9" i="1"/>
  <c r="AF9" i="1" s="1"/>
  <c r="AC10" i="1"/>
  <c r="AD10" i="1"/>
  <c r="AF10" i="1" s="1"/>
  <c r="AC11" i="1"/>
  <c r="AD11" i="1" s="1"/>
  <c r="AF11" i="1" s="1"/>
  <c r="AC12" i="1"/>
  <c r="AD12" i="1" s="1"/>
  <c r="AF12" i="1" s="1"/>
  <c r="AC13" i="1"/>
  <c r="AD13" i="1"/>
  <c r="AF13" i="1" s="1"/>
  <c r="AC14" i="1"/>
  <c r="AD14" i="1" s="1"/>
  <c r="AC15" i="1"/>
  <c r="AD15" i="1" s="1"/>
  <c r="AF15" i="1" s="1"/>
  <c r="AC16" i="1"/>
  <c r="AD16" i="1" s="1"/>
  <c r="AC17" i="1"/>
  <c r="AD17" i="1" s="1"/>
  <c r="AF17" i="1" s="1"/>
  <c r="AC18" i="1"/>
  <c r="AD18" i="1" s="1"/>
  <c r="AF18" i="1" s="1"/>
  <c r="AC19" i="1"/>
  <c r="AD19" i="1"/>
  <c r="AF19" i="1" s="1"/>
  <c r="AC20" i="1"/>
  <c r="AD20" i="1" s="1"/>
  <c r="AF20" i="1" s="1"/>
  <c r="AC21" i="1"/>
  <c r="AD21" i="1"/>
  <c r="AF21" i="1" s="1"/>
  <c r="AC22" i="1"/>
  <c r="AD22" i="1" s="1"/>
  <c r="AF22" i="1" s="1"/>
  <c r="AC23" i="1"/>
  <c r="AD23" i="1" s="1"/>
  <c r="AC24" i="1"/>
  <c r="AD24" i="1" s="1"/>
  <c r="AF24" i="1" s="1"/>
  <c r="AC25" i="1"/>
  <c r="AD25" i="1" s="1"/>
  <c r="AF25" i="1" s="1"/>
  <c r="AC26" i="1"/>
  <c r="AD26" i="1" s="1"/>
  <c r="AC27" i="1"/>
  <c r="AD27" i="1"/>
  <c r="AC28" i="1"/>
  <c r="AD28" i="1" s="1"/>
  <c r="AF28" i="1" s="1"/>
  <c r="AC29" i="1"/>
  <c r="AD29" i="1" s="1"/>
  <c r="AF29" i="1" s="1"/>
  <c r="AC30" i="1"/>
  <c r="AD30" i="1"/>
  <c r="AF30" i="1" s="1"/>
  <c r="AC31" i="1"/>
  <c r="AD31" i="1" s="1"/>
  <c r="AF31" i="1" s="1"/>
  <c r="AC32" i="1"/>
  <c r="AD32" i="1" s="1"/>
  <c r="AF32" i="1" s="1"/>
  <c r="AC33" i="1"/>
  <c r="AD33" i="1" s="1"/>
  <c r="AF33" i="1" s="1"/>
  <c r="AC34" i="1"/>
  <c r="AD34" i="1" s="1"/>
  <c r="AC35" i="1"/>
  <c r="AD35" i="1"/>
  <c r="AF35" i="1" s="1"/>
  <c r="AC36" i="1"/>
  <c r="AD36" i="1"/>
  <c r="AF36" i="1" s="1"/>
  <c r="AC37" i="1"/>
  <c r="AD37" i="1"/>
  <c r="AF37" i="1" s="1"/>
  <c r="AC38" i="1"/>
  <c r="AD38" i="1" s="1"/>
  <c r="AF38" i="1" s="1"/>
  <c r="AC39" i="1"/>
  <c r="AD39" i="1" s="1"/>
  <c r="AF39" i="1" s="1"/>
  <c r="AC40" i="1"/>
  <c r="AD40" i="1" s="1"/>
  <c r="AC3" i="1"/>
  <c r="AD3" i="1" s="1"/>
  <c r="AA4" i="1"/>
  <c r="AA7" i="1"/>
  <c r="AA8" i="1"/>
  <c r="AA11" i="1"/>
  <c r="AA13" i="1"/>
  <c r="AA14" i="1"/>
  <c r="AA22" i="1"/>
  <c r="AA25" i="1"/>
  <c r="AA32" i="1"/>
  <c r="AA35" i="1"/>
  <c r="AA36" i="1"/>
  <c r="X4" i="1"/>
  <c r="Y4" i="1" s="1"/>
  <c r="X5" i="1"/>
  <c r="Y5" i="1" s="1"/>
  <c r="AA5" i="1" s="1"/>
  <c r="X6" i="1"/>
  <c r="Y6" i="1" s="1"/>
  <c r="AA6" i="1" s="1"/>
  <c r="X7" i="1"/>
  <c r="Y7" i="1" s="1"/>
  <c r="X8" i="1"/>
  <c r="Y8" i="1" s="1"/>
  <c r="X9" i="1"/>
  <c r="Y9" i="1"/>
  <c r="AA9" i="1" s="1"/>
  <c r="X10" i="1"/>
  <c r="Y10" i="1" s="1"/>
  <c r="AA10" i="1" s="1"/>
  <c r="X11" i="1"/>
  <c r="Y11" i="1"/>
  <c r="X12" i="1"/>
  <c r="Y12" i="1" s="1"/>
  <c r="AA12" i="1" s="1"/>
  <c r="X13" i="1"/>
  <c r="Y13" i="1" s="1"/>
  <c r="X14" i="1"/>
  <c r="Y14" i="1"/>
  <c r="X15" i="1"/>
  <c r="Y15" i="1" s="1"/>
  <c r="AA15" i="1" s="1"/>
  <c r="X16" i="1"/>
  <c r="Y16" i="1" s="1"/>
  <c r="AA16" i="1" s="1"/>
  <c r="X17" i="1"/>
  <c r="Y17" i="1" s="1"/>
  <c r="AA17" i="1" s="1"/>
  <c r="X18" i="1"/>
  <c r="Y18" i="1" s="1"/>
  <c r="AA18" i="1" s="1"/>
  <c r="X19" i="1"/>
  <c r="Y19" i="1"/>
  <c r="AA19" i="1" s="1"/>
  <c r="X20" i="1"/>
  <c r="Y20" i="1"/>
  <c r="AA20" i="1" s="1"/>
  <c r="X21" i="1"/>
  <c r="Y21" i="1" s="1"/>
  <c r="AA21" i="1" s="1"/>
  <c r="X22" i="1"/>
  <c r="Y22" i="1" s="1"/>
  <c r="X23" i="1"/>
  <c r="Y23" i="1" s="1"/>
  <c r="AA23" i="1" s="1"/>
  <c r="X24" i="1"/>
  <c r="Y24" i="1" s="1"/>
  <c r="AA24" i="1" s="1"/>
  <c r="X25" i="1"/>
  <c r="Y25" i="1"/>
  <c r="X26" i="1"/>
  <c r="Y26" i="1" s="1"/>
  <c r="AA26" i="1" s="1"/>
  <c r="X27" i="1"/>
  <c r="Y27" i="1"/>
  <c r="AA27" i="1" s="1"/>
  <c r="X28" i="1"/>
  <c r="Y28" i="1" s="1"/>
  <c r="AA28" i="1" s="1"/>
  <c r="X29" i="1"/>
  <c r="Y29" i="1"/>
  <c r="AA29" i="1" s="1"/>
  <c r="X30" i="1"/>
  <c r="Y30" i="1"/>
  <c r="AA30" i="1" s="1"/>
  <c r="X31" i="1"/>
  <c r="Y31" i="1" s="1"/>
  <c r="AA31" i="1" s="1"/>
  <c r="X32" i="1"/>
  <c r="Y32" i="1"/>
  <c r="X33" i="1"/>
  <c r="Y33" i="1"/>
  <c r="AA33" i="1" s="1"/>
  <c r="X34" i="1"/>
  <c r="Y34" i="1" s="1"/>
  <c r="AA34" i="1" s="1"/>
  <c r="X35" i="1"/>
  <c r="Y35" i="1" s="1"/>
  <c r="X36" i="1"/>
  <c r="Y36" i="1"/>
  <c r="X37" i="1"/>
  <c r="Y37" i="1"/>
  <c r="AA37" i="1" s="1"/>
  <c r="X38" i="1"/>
  <c r="Y38" i="1" s="1"/>
  <c r="AA38" i="1" s="1"/>
  <c r="X39" i="1"/>
  <c r="Y39" i="1" s="1"/>
  <c r="AA39" i="1" s="1"/>
  <c r="X40" i="1"/>
  <c r="Y40" i="1" s="1"/>
  <c r="AA40" i="1" s="1"/>
  <c r="X3" i="1"/>
  <c r="Y3" i="1" s="1"/>
  <c r="AA3" i="1" s="1"/>
  <c r="V4" i="1"/>
  <c r="V7" i="1"/>
  <c r="V8" i="1"/>
  <c r="V13" i="1"/>
  <c r="V15" i="1"/>
  <c r="V16" i="1"/>
  <c r="V30" i="1"/>
  <c r="V33" i="1"/>
  <c r="V35" i="1"/>
  <c r="V37" i="1"/>
  <c r="V38" i="1"/>
  <c r="V39" i="1"/>
  <c r="S4" i="1"/>
  <c r="T4" i="1" s="1"/>
  <c r="S5" i="1"/>
  <c r="T5" i="1" s="1"/>
  <c r="V5" i="1" s="1"/>
  <c r="S6" i="1"/>
  <c r="T6" i="1" s="1"/>
  <c r="V6" i="1" s="1"/>
  <c r="S7" i="1"/>
  <c r="T7" i="1"/>
  <c r="S8" i="1"/>
  <c r="T8" i="1" s="1"/>
  <c r="S9" i="1"/>
  <c r="T9" i="1" s="1"/>
  <c r="V9" i="1" s="1"/>
  <c r="S10" i="1"/>
  <c r="T10" i="1" s="1"/>
  <c r="V10" i="1" s="1"/>
  <c r="S11" i="1"/>
  <c r="T11" i="1" s="1"/>
  <c r="V11" i="1" s="1"/>
  <c r="S12" i="1"/>
  <c r="T12" i="1"/>
  <c r="V12" i="1" s="1"/>
  <c r="S13" i="1"/>
  <c r="T13" i="1" s="1"/>
  <c r="S14" i="1"/>
  <c r="T14" i="1" s="1"/>
  <c r="V14" i="1" s="1"/>
  <c r="S15" i="1"/>
  <c r="T15" i="1" s="1"/>
  <c r="S16" i="1"/>
  <c r="T16" i="1"/>
  <c r="S17" i="1"/>
  <c r="T17" i="1" s="1"/>
  <c r="V17" i="1" s="1"/>
  <c r="S18" i="1"/>
  <c r="T18" i="1" s="1"/>
  <c r="V18" i="1" s="1"/>
  <c r="S19" i="1"/>
  <c r="T19" i="1"/>
  <c r="V19" i="1" s="1"/>
  <c r="S20" i="1"/>
  <c r="T20" i="1" s="1"/>
  <c r="V20" i="1" s="1"/>
  <c r="S21" i="1"/>
  <c r="T21" i="1"/>
  <c r="V21" i="1" s="1"/>
  <c r="S22" i="1"/>
  <c r="T22" i="1" s="1"/>
  <c r="V22" i="1" s="1"/>
  <c r="S23" i="1"/>
  <c r="T23" i="1" s="1"/>
  <c r="V23" i="1" s="1"/>
  <c r="S24" i="1"/>
  <c r="T24" i="1"/>
  <c r="V24" i="1" s="1"/>
  <c r="S25" i="1"/>
  <c r="T25" i="1"/>
  <c r="V25" i="1" s="1"/>
  <c r="S26" i="1"/>
  <c r="T26" i="1" s="1"/>
  <c r="V26" i="1" s="1"/>
  <c r="S27" i="1"/>
  <c r="T27" i="1"/>
  <c r="V27" i="1" s="1"/>
  <c r="S28" i="1"/>
  <c r="T28" i="1" s="1"/>
  <c r="V28" i="1" s="1"/>
  <c r="S29" i="1"/>
  <c r="T29" i="1" s="1"/>
  <c r="V29" i="1" s="1"/>
  <c r="S30" i="1"/>
  <c r="T30" i="1"/>
  <c r="S31" i="1"/>
  <c r="T31" i="1" s="1"/>
  <c r="V31" i="1" s="1"/>
  <c r="S32" i="1"/>
  <c r="T32" i="1" s="1"/>
  <c r="V32" i="1" s="1"/>
  <c r="S33" i="1"/>
  <c r="T33" i="1"/>
  <c r="S34" i="1"/>
  <c r="T34" i="1" s="1"/>
  <c r="V34" i="1" s="1"/>
  <c r="S35" i="1"/>
  <c r="T35" i="1" s="1"/>
  <c r="S36" i="1"/>
  <c r="T36" i="1"/>
  <c r="V36" i="1" s="1"/>
  <c r="S37" i="1"/>
  <c r="T37" i="1"/>
  <c r="S38" i="1"/>
  <c r="T38" i="1" s="1"/>
  <c r="S39" i="1"/>
  <c r="T39" i="1" s="1"/>
  <c r="S40" i="1"/>
  <c r="T40" i="1" s="1"/>
  <c r="V40" i="1" s="1"/>
  <c r="S3" i="1"/>
  <c r="T3" i="1" s="1"/>
  <c r="V3" i="1" s="1"/>
  <c r="Q7" i="1"/>
  <c r="Q8" i="1"/>
  <c r="Q10" i="1"/>
  <c r="Q11" i="1"/>
  <c r="Q14" i="1"/>
  <c r="Q15" i="1"/>
  <c r="Q21" i="1"/>
  <c r="Q32" i="1"/>
  <c r="Q33" i="1"/>
  <c r="Q34" i="1"/>
  <c r="Q35" i="1"/>
  <c r="N4" i="1"/>
  <c r="O4" i="1"/>
  <c r="Q4" i="1" s="1"/>
  <c r="N5" i="1"/>
  <c r="O5" i="1" s="1"/>
  <c r="Q5" i="1" s="1"/>
  <c r="N6" i="1"/>
  <c r="O6" i="1" s="1"/>
  <c r="Q6" i="1" s="1"/>
  <c r="N7" i="1"/>
  <c r="O7" i="1"/>
  <c r="N8" i="1"/>
  <c r="O8" i="1" s="1"/>
  <c r="N9" i="1"/>
  <c r="O9" i="1" s="1"/>
  <c r="Q9" i="1" s="1"/>
  <c r="N10" i="1"/>
  <c r="O10" i="1"/>
  <c r="N11" i="1"/>
  <c r="O11" i="1"/>
  <c r="N12" i="1"/>
  <c r="O12" i="1"/>
  <c r="Q12" i="1" s="1"/>
  <c r="N13" i="1"/>
  <c r="O13" i="1" s="1"/>
  <c r="Q13" i="1" s="1"/>
  <c r="N14" i="1"/>
  <c r="O14" i="1" s="1"/>
  <c r="N15" i="1"/>
  <c r="O15" i="1" s="1"/>
  <c r="N16" i="1"/>
  <c r="O16" i="1" s="1"/>
  <c r="Q16" i="1" s="1"/>
  <c r="N17" i="1"/>
  <c r="O17" i="1"/>
  <c r="Q17" i="1" s="1"/>
  <c r="N18" i="1"/>
  <c r="O18" i="1" s="1"/>
  <c r="Q18" i="1" s="1"/>
  <c r="N19" i="1"/>
  <c r="O19" i="1"/>
  <c r="Q19" i="1" s="1"/>
  <c r="N20" i="1"/>
  <c r="O20" i="1" s="1"/>
  <c r="Q20" i="1" s="1"/>
  <c r="N21" i="1"/>
  <c r="O21" i="1"/>
  <c r="N22" i="1"/>
  <c r="O22" i="1"/>
  <c r="Q22" i="1" s="1"/>
  <c r="N23" i="1"/>
  <c r="O23" i="1" s="1"/>
  <c r="Q23" i="1" s="1"/>
  <c r="N24" i="1"/>
  <c r="O24" i="1" s="1"/>
  <c r="Q24" i="1" s="1"/>
  <c r="N25" i="1"/>
  <c r="O25" i="1"/>
  <c r="Q25" i="1" s="1"/>
  <c r="N26" i="1"/>
  <c r="O26" i="1" s="1"/>
  <c r="Q26" i="1" s="1"/>
  <c r="N27" i="1"/>
  <c r="O27" i="1"/>
  <c r="Q27" i="1" s="1"/>
  <c r="N28" i="1"/>
  <c r="O28" i="1" s="1"/>
  <c r="Q28" i="1" s="1"/>
  <c r="N29" i="1"/>
  <c r="O29" i="1" s="1"/>
  <c r="Q29" i="1" s="1"/>
  <c r="N30" i="1"/>
  <c r="O30" i="1"/>
  <c r="Q30" i="1" s="1"/>
  <c r="N31" i="1"/>
  <c r="O31" i="1"/>
  <c r="Q31" i="1" s="1"/>
  <c r="N32" i="1"/>
  <c r="O32" i="1" s="1"/>
  <c r="N33" i="1"/>
  <c r="O33" i="1" s="1"/>
  <c r="N34" i="1"/>
  <c r="O34" i="1" s="1"/>
  <c r="N35" i="1"/>
  <c r="O35" i="1"/>
  <c r="N36" i="1"/>
  <c r="O36" i="1" s="1"/>
  <c r="Q36" i="1" s="1"/>
  <c r="N37" i="1"/>
  <c r="O37" i="1"/>
  <c r="Q37" i="1" s="1"/>
  <c r="N38" i="1"/>
  <c r="O38" i="1" s="1"/>
  <c r="Q38" i="1" s="1"/>
  <c r="N39" i="1"/>
  <c r="O39" i="1"/>
  <c r="Q39" i="1" s="1"/>
  <c r="N40" i="1"/>
  <c r="O40" i="1" s="1"/>
  <c r="Q40" i="1" s="1"/>
  <c r="N3" i="1"/>
  <c r="O3" i="1" s="1"/>
  <c r="Q3" i="1" s="1"/>
  <c r="L6" i="1"/>
  <c r="L7" i="1"/>
  <c r="L11" i="1"/>
  <c r="L14" i="1"/>
  <c r="L15" i="1"/>
  <c r="L18" i="1"/>
  <c r="L19" i="1"/>
  <c r="L20" i="1"/>
  <c r="L24" i="1"/>
  <c r="L25" i="1"/>
  <c r="L29" i="1"/>
  <c r="L30" i="1"/>
  <c r="L33" i="1"/>
  <c r="L36" i="1"/>
  <c r="L37" i="1"/>
  <c r="L38" i="1"/>
  <c r="I4" i="1"/>
  <c r="J4" i="1"/>
  <c r="L4" i="1" s="1"/>
  <c r="I5" i="1"/>
  <c r="J5" i="1" s="1"/>
  <c r="L5" i="1" s="1"/>
  <c r="I6" i="1"/>
  <c r="J6" i="1" s="1"/>
  <c r="I7" i="1"/>
  <c r="J7" i="1" s="1"/>
  <c r="I8" i="1"/>
  <c r="J8" i="1"/>
  <c r="L8" i="1" s="1"/>
  <c r="I9" i="1"/>
  <c r="J9" i="1"/>
  <c r="L9" i="1" s="1"/>
  <c r="I10" i="1"/>
  <c r="J10" i="1" s="1"/>
  <c r="L10" i="1" s="1"/>
  <c r="I11" i="1"/>
  <c r="J11" i="1" s="1"/>
  <c r="I12" i="1"/>
  <c r="J12" i="1"/>
  <c r="L12" i="1" s="1"/>
  <c r="I13" i="1"/>
  <c r="J13" i="1"/>
  <c r="L13" i="1" s="1"/>
  <c r="I14" i="1"/>
  <c r="J14" i="1" s="1"/>
  <c r="I15" i="1"/>
  <c r="J15" i="1" s="1"/>
  <c r="I16" i="1"/>
  <c r="J16" i="1"/>
  <c r="L16" i="1" s="1"/>
  <c r="I17" i="1"/>
  <c r="J17" i="1" s="1"/>
  <c r="L17" i="1" s="1"/>
  <c r="I18" i="1"/>
  <c r="J18" i="1"/>
  <c r="I19" i="1"/>
  <c r="J19" i="1" s="1"/>
  <c r="I20" i="1"/>
  <c r="J20" i="1" s="1"/>
  <c r="I21" i="1"/>
  <c r="J21" i="1" s="1"/>
  <c r="L21" i="1" s="1"/>
  <c r="I22" i="1"/>
  <c r="J22" i="1"/>
  <c r="L22" i="1" s="1"/>
  <c r="I23" i="1"/>
  <c r="J23" i="1"/>
  <c r="L23" i="1" s="1"/>
  <c r="I24" i="1"/>
  <c r="J24" i="1" s="1"/>
  <c r="I25" i="1"/>
  <c r="J25" i="1"/>
  <c r="I26" i="1"/>
  <c r="J26" i="1"/>
  <c r="L26" i="1" s="1"/>
  <c r="I27" i="1"/>
  <c r="J27" i="1" s="1"/>
  <c r="L27" i="1" s="1"/>
  <c r="I28" i="1"/>
  <c r="J28" i="1"/>
  <c r="L28" i="1" s="1"/>
  <c r="I29" i="1"/>
  <c r="J29" i="1" s="1"/>
  <c r="I30" i="1"/>
  <c r="J30" i="1"/>
  <c r="I31" i="1"/>
  <c r="J31" i="1" s="1"/>
  <c r="L31" i="1" s="1"/>
  <c r="I32" i="1"/>
  <c r="J32" i="1"/>
  <c r="L32" i="1" s="1"/>
  <c r="I33" i="1"/>
  <c r="J33" i="1" s="1"/>
  <c r="I34" i="1"/>
  <c r="J34" i="1"/>
  <c r="L34" i="1" s="1"/>
  <c r="I35" i="1"/>
  <c r="J35" i="1"/>
  <c r="L35" i="1" s="1"/>
  <c r="I36" i="1"/>
  <c r="J36" i="1"/>
  <c r="I37" i="1"/>
  <c r="J37" i="1" s="1"/>
  <c r="I38" i="1"/>
  <c r="J38" i="1" s="1"/>
  <c r="I39" i="1"/>
  <c r="J39" i="1" s="1"/>
  <c r="L39" i="1" s="1"/>
  <c r="I40" i="1"/>
  <c r="J40" i="1"/>
  <c r="L40" i="1" s="1"/>
  <c r="J3" i="1"/>
  <c r="L3" i="1" s="1"/>
  <c r="DV4" i="1"/>
  <c r="DW4" i="1"/>
  <c r="DV5" i="1"/>
  <c r="DW5" i="1"/>
  <c r="DV6" i="1"/>
  <c r="DW6" i="1"/>
  <c r="DV7" i="1"/>
  <c r="DW7" i="1"/>
  <c r="DV8" i="1"/>
  <c r="DW8" i="1"/>
  <c r="DV9" i="1"/>
  <c r="DW9" i="1"/>
  <c r="DV10" i="1"/>
  <c r="DW10" i="1"/>
  <c r="DV11" i="1"/>
  <c r="DW11" i="1"/>
  <c r="DV12" i="1"/>
  <c r="DW12" i="1"/>
  <c r="DV13" i="1"/>
  <c r="DW13" i="1"/>
  <c r="DV14" i="1"/>
  <c r="DW14" i="1"/>
  <c r="DV15" i="1"/>
  <c r="DW15" i="1"/>
  <c r="DV16" i="1"/>
  <c r="DW16" i="1"/>
  <c r="DV17" i="1"/>
  <c r="DW17" i="1"/>
  <c r="DV18" i="1"/>
  <c r="DW18" i="1"/>
  <c r="DV19" i="1"/>
  <c r="DW19" i="1"/>
  <c r="DV20" i="1"/>
  <c r="DW20" i="1"/>
  <c r="DV21" i="1"/>
  <c r="DW21" i="1"/>
  <c r="DV22" i="1"/>
  <c r="DW22" i="1"/>
  <c r="DV23" i="1"/>
  <c r="DW23" i="1"/>
  <c r="DV24" i="1"/>
  <c r="DW24" i="1"/>
  <c r="DV25" i="1"/>
  <c r="DW25" i="1"/>
  <c r="DV26" i="1"/>
  <c r="DW26" i="1"/>
  <c r="DV27" i="1"/>
  <c r="DW27" i="1"/>
  <c r="DV28" i="1"/>
  <c r="DW28" i="1"/>
  <c r="DV29" i="1"/>
  <c r="DW29" i="1"/>
  <c r="DV30" i="1"/>
  <c r="DW30" i="1"/>
  <c r="DV31" i="1"/>
  <c r="DW31" i="1"/>
  <c r="DV32" i="1"/>
  <c r="DW32" i="1"/>
  <c r="DV33" i="1"/>
  <c r="DW33" i="1"/>
  <c r="DV34" i="1"/>
  <c r="DW34" i="1"/>
  <c r="DV35" i="1"/>
  <c r="DW35" i="1"/>
  <c r="DV36" i="1"/>
  <c r="DW36" i="1"/>
  <c r="DV37" i="1"/>
  <c r="DW37" i="1"/>
  <c r="DV38" i="1"/>
  <c r="DW38" i="1"/>
  <c r="DV39" i="1"/>
  <c r="DW39" i="1"/>
  <c r="DV40" i="1"/>
  <c r="DW40" i="1"/>
  <c r="DW3" i="1"/>
  <c r="DV3" i="1"/>
</calcChain>
</file>

<file path=xl/sharedStrings.xml><?xml version="1.0" encoding="utf-8"?>
<sst xmlns="http://schemas.openxmlformats.org/spreadsheetml/2006/main" count="419" uniqueCount="262">
  <si>
    <t>NO</t>
  </si>
  <si>
    <t>NAMA MAHASISWA</t>
  </si>
  <si>
    <t>NIM</t>
  </si>
  <si>
    <t>FALSAFAH DAN TEORI KEPERAWATAN</t>
  </si>
  <si>
    <t>SISTEM INFORMASI KEPERAWATAN</t>
  </si>
  <si>
    <t>KEPERAWATAN PALIATIF</t>
  </si>
  <si>
    <t>MATRA LAUT</t>
  </si>
  <si>
    <t>TOEFL AND IELTS</t>
  </si>
  <si>
    <t>KEPERAWATAN KESEHATAN REPRODUKSI</t>
  </si>
  <si>
    <t>KEPERAWATAN DEWASA I</t>
  </si>
  <si>
    <t>KEPERAWATAN ANAK</t>
  </si>
  <si>
    <t>METODOLOGI PENELITIAN</t>
  </si>
  <si>
    <t>BIOSTATISTIK</t>
  </si>
  <si>
    <t>ASKEP PENYAKIT TROPIS</t>
  </si>
  <si>
    <t>SMT 1</t>
  </si>
  <si>
    <t>JN</t>
  </si>
  <si>
    <t>JB</t>
  </si>
  <si>
    <t>IPS</t>
  </si>
  <si>
    <t>IPK</t>
  </si>
  <si>
    <t>Nilai</t>
  </si>
  <si>
    <t>LMB</t>
  </si>
  <si>
    <t>MUTU</t>
  </si>
  <si>
    <t>SKS</t>
  </si>
  <si>
    <t>JML</t>
  </si>
  <si>
    <t>N1</t>
  </si>
  <si>
    <t>B1</t>
  </si>
  <si>
    <t>Ade Diana</t>
  </si>
  <si>
    <t>Crisma Yuslinda</t>
  </si>
  <si>
    <t>David Kurniawan</t>
  </si>
  <si>
    <t>Detty Surya Kencana</t>
  </si>
  <si>
    <t>Dewana Magnika</t>
  </si>
  <si>
    <t>Ela Afrida</t>
  </si>
  <si>
    <t>Ellen Ria Kesuma Dewi</t>
  </si>
  <si>
    <t>Esther Veronica</t>
  </si>
  <si>
    <t>Farida Sri Rahayu</t>
  </si>
  <si>
    <t>Firani Agustina</t>
  </si>
  <si>
    <t>Fita Achlianita</t>
  </si>
  <si>
    <t>Freddy Hutahaean</t>
  </si>
  <si>
    <t>Iwan Krisna Dwi Putra</t>
  </si>
  <si>
    <t>Lasminengsih</t>
  </si>
  <si>
    <t>Lindasari</t>
  </si>
  <si>
    <t>Lismawati</t>
  </si>
  <si>
    <t>Maryanto</t>
  </si>
  <si>
    <t>Nada Utami Qoriah</t>
  </si>
  <si>
    <t>Nasri</t>
  </si>
  <si>
    <t>Nilam Elvi Susanti</t>
  </si>
  <si>
    <t>Novi Rawati</t>
  </si>
  <si>
    <t>Novi Wulandini</t>
  </si>
  <si>
    <t>Nur Isra Wahyuni</t>
  </si>
  <si>
    <t>Nuri Eviana</t>
  </si>
  <si>
    <t>Nurul Aisha Desvanny Yolla</t>
  </si>
  <si>
    <t>R. Windhie Lieza Hastuty</t>
  </si>
  <si>
    <t>Rayanti</t>
  </si>
  <si>
    <t>Ririn Farianty</t>
  </si>
  <si>
    <t>Riyawahyuni</t>
  </si>
  <si>
    <t>Sadar Naoli Nainggolan</t>
  </si>
  <si>
    <t>Sapna Juliastuti</t>
  </si>
  <si>
    <t>Sofia Zahra Nabila Wahyudi</t>
  </si>
  <si>
    <t>Suherni</t>
  </si>
  <si>
    <t>Syarah Fauziah Juliasih</t>
  </si>
  <si>
    <t>Titin Asriyanti</t>
  </si>
  <si>
    <t>Vinna Septatiana</t>
  </si>
  <si>
    <t>Yeni Antanika</t>
  </si>
  <si>
    <t>Yolanda F</t>
  </si>
  <si>
    <t>Tempat Lahir</t>
  </si>
  <si>
    <t>Tanggal Lahir</t>
  </si>
  <si>
    <t>No Transkip</t>
  </si>
  <si>
    <t>KEPERAWATAN PSIKIATRI</t>
  </si>
  <si>
    <t>PERAWATAN LUKA MODERN</t>
  </si>
  <si>
    <t xml:space="preserve"> KEPERAWATAN AGREGAT KOMUNITAS</t>
  </si>
  <si>
    <t xml:space="preserve">KEPERAWATAN DEWASA 2 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</si>
  <si>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</si>
  <si>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</si>
  <si>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</si>
  <si>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</si>
  <si>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</si>
  <si>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</si>
  <si>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</si>
  <si>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</si>
  <si>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Tanggal Kelulusan</t>
  </si>
  <si>
    <t>Predikat</t>
  </si>
  <si>
    <t>Predita Inggris</t>
  </si>
  <si>
    <t>Judul</t>
  </si>
  <si>
    <t>12 Februari 1998</t>
  </si>
  <si>
    <t>Dabo Singkep</t>
  </si>
  <si>
    <t>Manna</t>
  </si>
  <si>
    <t xml:space="preserve"> 22 November 1995</t>
  </si>
  <si>
    <t>24 Juni 1981</t>
  </si>
  <si>
    <t>Tanjungpinang</t>
  </si>
  <si>
    <t>02 September 1984</t>
  </si>
  <si>
    <t xml:space="preserve"> 05 Desember 1980</t>
  </si>
  <si>
    <t>Pekanbaru</t>
  </si>
  <si>
    <t xml:space="preserve"> 06 September 1984</t>
  </si>
  <si>
    <t>01 Februari 1991</t>
  </si>
  <si>
    <t>Cilacap</t>
  </si>
  <si>
    <t>16 Februari 1994</t>
  </si>
  <si>
    <t>Lumban Lapo</t>
  </si>
  <si>
    <t xml:space="preserve"> 25 April 1987</t>
  </si>
  <si>
    <t>02 Agustus 1985</t>
  </si>
  <si>
    <t>Karawang</t>
  </si>
  <si>
    <t>05 Juli 1985</t>
  </si>
  <si>
    <t>Tanjungbatu</t>
  </si>
  <si>
    <t xml:space="preserve"> 05 Februari 1988</t>
  </si>
  <si>
    <t>02 Mei 1982</t>
  </si>
  <si>
    <t>Jakarta</t>
  </si>
  <si>
    <t>27 Mei 1971</t>
  </si>
  <si>
    <t xml:space="preserve"> 20 April 1987</t>
  </si>
  <si>
    <t>21 Mei 1990</t>
  </si>
  <si>
    <t>20 Januari 1993</t>
  </si>
  <si>
    <t>27 Desember 1988</t>
  </si>
  <si>
    <t>12 September 1988</t>
  </si>
  <si>
    <t>Melukap Penaga</t>
  </si>
  <si>
    <t>19 Februari 1985</t>
  </si>
  <si>
    <t>Serasan</t>
  </si>
  <si>
    <t>15 September 1987</t>
  </si>
  <si>
    <t>Sawang</t>
  </si>
  <si>
    <t xml:space="preserve"> 16 Oktober 1991</t>
  </si>
  <si>
    <t xml:space="preserve"> 02 Februari 1980</t>
  </si>
  <si>
    <t>28 Juli 1996</t>
  </si>
  <si>
    <t>15 Mei 1998</t>
  </si>
  <si>
    <t>Air Putih</t>
  </si>
  <si>
    <t xml:space="preserve"> 26 Maret 1979</t>
  </si>
  <si>
    <t>22 Juli 2000</t>
  </si>
  <si>
    <t>Tarempa</t>
  </si>
  <si>
    <t>25 Mei 1988</t>
  </si>
  <si>
    <t>04 September 1987</t>
  </si>
  <si>
    <t>Lahat</t>
  </si>
  <si>
    <t>21 Desember 1996</t>
  </si>
  <si>
    <t>09 November 1993</t>
  </si>
  <si>
    <t>Cempa</t>
  </si>
  <si>
    <t xml:space="preserve">24 Agustus 1999 </t>
  </si>
  <si>
    <t>Tambelan</t>
  </si>
  <si>
    <t>11 April 1990</t>
  </si>
  <si>
    <t>Baran</t>
  </si>
  <si>
    <t>08 Maret 1990</t>
  </si>
  <si>
    <t>Kijang</t>
  </si>
  <si>
    <t>21 November 1988</t>
  </si>
  <si>
    <t>09 Juni 1992</t>
  </si>
  <si>
    <t>Duara</t>
  </si>
  <si>
    <t>02 April 1982</t>
  </si>
  <si>
    <t>Hubungan Frekuensi Open Suction Terhadap Kejadian Ventilator Associated Pneumonia (VAP) Di Ruang ICU Rumkital dr. Midiyato Suratani Tanjungpinang</t>
  </si>
  <si>
    <t xml:space="preserve">Pengaruh perawatan luka modern menggunakan madu terhadap penyembuhan ulkus diabetikum di Rumkital dr Midiyato Tanjungpinang </t>
  </si>
  <si>
    <t>Faktor-faktor yang berhubungan dengan stres kerja perawat pelaksana di icu dan IGD RSUD kota Tanjungpinang</t>
  </si>
  <si>
    <t>Pengaruh Mobilisasi Progresif Terhadap Status Hemodinamik Pada Pasien Di ICU RSUD Kota Tanjungpinang</t>
  </si>
  <si>
    <t>Bladder training terhadap kemampuan berkemih pd pasien post operasi BPH di ruang Mangkai &amp; Poli Urologi RSAL midiato.s Tanjungpinang</t>
  </si>
  <si>
    <t>Faktor-faktor yang berhubungan dengan kepatuhan perawat dalam pembuangan limbah medis tajam di ruang rawat inap Rumkital Dr. Midiyato Suratani Tanjungpinang</t>
  </si>
  <si>
    <t>Faktor faktor yg berhubungan dengan imunisasi lengkap pada bayi di UPT Puskesmas rejai</t>
  </si>
  <si>
    <t>Perbandingan Efektivitas Terapi Akupresur Dan Foot Massage Terhadap Tekanan Darah Pada Penderita Hipertensi Di Wilayah Kerja UPTD Puskesmas Kampung Bugis Kota Tanjungpinang</t>
  </si>
  <si>
    <t>Hubungan riwayat pemberian imunisasi dengan riwayat kejadian pertusis pada anak usia 2 - 24 bulan di Puskesmas Tanjung Unggat Tahun 2024</t>
  </si>
  <si>
    <t>Hubungan Dukungan Sosial dengan Kemampuan Keluarga dalam Merawat ODGJ di Wilayah Kerja UPTD Puskesmas Tanjung Unggat Kota Tanjungpinang</t>
  </si>
  <si>
    <t xml:space="preserve">pengaruh pemberian jus nanas terhadap proses penyembuhan luka perinium pada ibu nifas di rumah sakit angkatan laut Dr.Midiyato suratan Tanjungpinang </t>
  </si>
  <si>
    <t xml:space="preserve">Pengaruh terapi CAM seledri terhadap tekanan darah pada lansia di UPTD Puskesmas Kuala Sempang </t>
  </si>
  <si>
    <t>Hubungan jenjang karir perawat dengan kepuasan kerja dan efikasi diri perawat diruang rawat inap rumah sakit umum daerah kota tanjunpinang</t>
  </si>
  <si>
    <t>Pengaruh Pemberian Makanan Tambahan Lokal Tinggi Protein Hewani Terhadap Berat Badan Balita Gizi Buruk di Wilayah Kerja UPTD Puskesmas Batu 10</t>
  </si>
  <si>
    <t xml:space="preserve">Pengaruh Stimulus Oral Exercise terhadap reflfelk hisap BBLR di Ruang Flamboyan RSUD Kota Tanjungpinang </t>
  </si>
  <si>
    <t>Faktor-faktor yang berhubungan dengan kepuasan pasien terhadap pelayanan keperawatan di Puskesmas Teluk Sebong</t>
  </si>
  <si>
    <t>Analisa Respon Time Terhadap Innitial Assesment Untuk Pasien Tidak Gawat dan Tidak Darurat di Instalasi Gawat Darurat RSUD Kota Tanjungpinang</t>
  </si>
  <si>
    <t>23 November 1983</t>
  </si>
  <si>
    <t>Pengaruh Terapi Minyak Esensial Lavender Terhadap Nyeri Insersi Kanulasi Arteri Vena Fistula Pada Pasien Hemodialisa Di Rsud Kota Tanjungpinang</t>
  </si>
  <si>
    <t>Faktor-Faktor Yang Berhubungan Dengan Kepuasan Kerja Dan Efikasi Diri Perawat Di Puskesmas Se-Kota Tanjungpinang</t>
  </si>
  <si>
    <t>Hubungan Beban Keluarga Dengan Motivasi Keluargadalam Merawat Anggota Keluarga Denganskizofrenia Di Wilayah Kerja Puskesmasbatu 10 Tanjungpinang</t>
  </si>
  <si>
    <t>Faktor – Faktor Yang Berhubungan Dengan Risiko Relapse Pada Penyalahguna Narkoba Di Loka Rehabilitasi Bnn Batam</t>
  </si>
  <si>
    <t>Hubungan Pengetahuan Dan Self Efficacy Pasien Tuberkulosis Paru Dengan Pencegahan Penularan Tuberkulosis Paru Di Wilayah Kerja Puskesmas Batu 10 Tanjungpinang</t>
  </si>
  <si>
    <t>Analisis Faktor-Faktor Risiko Hipertensi Pada Calon Jemaah Haji Kota Tanjungpinang</t>
  </si>
  <si>
    <t>Pengaruh Dukungan Spiritual Doa Terhadap Tingkat Kecemasan Pre Operasi Katarak Di Poliklinik Mata RSUD Kota Tanjungpinang</t>
  </si>
  <si>
    <t>Pengaruh Penguatan Edukasi Dengan Media Video Animasi Kateterisasi Jantung Terhadap Penurunan Tingkat Kecemasan Pasien Pre Tindakan Kateterisasi Jantung Di Instalasi Rawat Inap RSUD Raja Ahmad Tabib Tanjungpinang</t>
  </si>
  <si>
    <t>Faktor - Faktor Yang Berhubungan Dengan Kejadian Drop Out Pengobatan Tuberkulosis Di UPTD Puskesmas Batu 10 Kota Tanjungpinang</t>
  </si>
  <si>
    <t>Pengaruh Model Pendidikan FGD (Focus Group Discussion) Terhadap Tingkat Pengetahuan Ibu Usia Subur Dalam Pencegahan Stunting Di Desa Rejai</t>
  </si>
  <si>
    <t>Pengaruh Massage Effleurage Minyak Zaitun Terhadap Risiko Luka Tekan Dengan Penilaian Skala Braden Pada Pasien Tirah Baring Lama Di Instalasi Rawat Inap Mawar RSUD Kota Tanjungpinang</t>
  </si>
  <si>
    <t>Pengaruh Terapi Musik Klasik Terhadap Tekanan Darah Pada Pasien Hipertensi Di RSUD Kota Tanjungpinang</t>
  </si>
  <si>
    <t>Pengaruh Program Gerakan Serentak Terhadap Perilaku Juru Pemantau Jentik Keluarga Dan Angka Bebas Jentik Dengan Pendekatan HPM Di RW VI Wilayah Kerja Puskesmas Tanjung Unggat</t>
  </si>
  <si>
    <t>Hubungan Usia Dan Lama Operasi Dengan Kejadian Hipotermia Pada Pasien Anestesi Spinal Di Instalasi Bedah Sentral RSUD Kota Tanjungpinang</t>
  </si>
  <si>
    <t>Pengaruh Early Warning Score (EWS) Terhadap Hemodinamik Pasien Penyakit Jantung Koroner Di ICU RSUD Kota Tanjungpinang</t>
  </si>
  <si>
    <t>Pengaruh Acceptance And Commitment Therapy (ACT) Dan Zikir Asmaul Husna Terhadap Self Efficacy Pada Pasien Hipertensi Di Wilayah Kerja Puskesmas Rejai</t>
  </si>
  <si>
    <t>Hubungan Perilaku Seksual Dengan Kejadian HIV/AIDS Di Wilayah Kerja Puskesmas Seijang Kota Tanjungpinang</t>
  </si>
  <si>
    <t>Hubungan Tingkat Kecemasan POST Operasi Fraktur Ekstremitas Bawah Terhadap Mobilisasi Dini Di RSAL Dr Midiyato Suratani Tanjungpinang</t>
  </si>
  <si>
    <t>Hubungan Lingkungan Dengan Kejadian HIV/AIDS Pada Perilaku Seksual Lelaki Seks Lelaki (LSL) Di Puskesmas Seijang</t>
  </si>
  <si>
    <t>Hubungan Edukasi Terhadap Keefektifan Penggunaan Alat Nebulizer Pada Pasien Anak Bronkhopneumonia Di Ruang Subi Kecil RSAL Dr.Midiyato Suratani Tanjungpinang</t>
  </si>
  <si>
    <t>Perbandingan Efektivitas Familiar Auditory Sensory Training (FAST) Dan Terapi Murottal Terhadap Tingkat Kesadaran Pada Pasien Stroke Ruang ICU RSUD Kota Tanjungpinang</t>
  </si>
  <si>
    <t>Judul Inggris</t>
  </si>
  <si>
    <t>The Relationship Between Knowledge and Self-Efficacy of Pulmonary Tuberculosis Patients and the Prevention of Tuberculosis Transmission in the Working Area of Batu 10 Health Center, Tanjungpinang</t>
  </si>
  <si>
    <t>Analysis of Hypertension Risk Factors Among Prospective Hajj Pilgrims in Tanjungpinang City</t>
  </si>
  <si>
    <t>The Relationship Between Open Suction Frequency and the Incidence of Ventilator-Associated Pneumonia (VAP) in the ICU of Rumkital Dr. Midiyato Suratani, Tanjungpinang</t>
  </si>
  <si>
    <t>The Effect of Spiritual Prayer Support on Preoperative Anxiety Among Cataract Surgery Patients at the Eye Polyclinic of RSUD Tanjungpinang</t>
  </si>
  <si>
    <t>The Effect of Enhanced Education Using Animated Catheterization Videos on Reducing Anxiety in Patients Undergoing Cardiac Catheterization at RSUD Raja Ahmad Tabib, Tanjungpinang</t>
  </si>
  <si>
    <t>Factors Associated with Treatment Dropout Among Tuberculosis Patients at UPTD Batu 10 Health Center, Tanjungpinang</t>
  </si>
  <si>
    <t>The Effect of Lavender Essential Oil Therapy on Pain During Arteriovenous Fistula Cannulation in Hemodialysis Patients at RSUD Tanjungpinang</t>
  </si>
  <si>
    <t>The Effect of Modern Wound Care Using Honey on the Healing of Diabetic Ulcers at Rumkital Dr. Midiyato, Tanjungpinang</t>
  </si>
  <si>
    <t>Factors Associated with Job Satisfaction and Self-Efficacy Among Nurses in Health Centers Across Tanjungpinang City</t>
  </si>
  <si>
    <t>The Effect of Focus Group Discussion (FGD) Education on Knowledge of Women of Reproductive Age Regarding Stunting Prevention in Rejai Village</t>
  </si>
  <si>
    <t>The Effect of Olive Oil Effleurage Massage on Pressure Ulcer Risk Using the Braden Scale in Long-Term Bedridden Patients at Mawar Inpatient Ward, RSUD Tanjungpinang</t>
  </si>
  <si>
    <t>The Effect of Classical Music Therapy on Blood Pressure in Hypertensive Patients at RSUD Tanjungpinang</t>
  </si>
  <si>
    <t>The Effect of the Simultaneous Movement Program on the Behavior of Family Larvae Monitors and Larvae-Free Rates Using the HPM Approach in RW VI, Tanjung Unggat Health Center</t>
  </si>
  <si>
    <t>Factors Associated with Work Stress Among Nurses in the ICU and ER of RSUD Tanjungpinang</t>
  </si>
  <si>
    <t>The Effect of Progressive Mobilization on Hemodynamic Status of Patients in the ICU of RSUD Tanjungpinang</t>
  </si>
  <si>
    <t>The Effect of Bladder Training on Urination Ability in Post-BPH Surgery Patients in Mangkai Ward and Urology Clinic, RSAL Midiyato S., Tanjungpinang</t>
  </si>
  <si>
    <t>Factors Associated with Nurses’ Compliance in the Disposal of Sharp Medical Waste at Rumkital Dr. Midiyato Suratani, Tanjungpinang</t>
  </si>
  <si>
    <t>The Relationship Between Age, Duration of Surgery, and Incidence of Hypothermia in Patients Undergoing Spinal Anesthesia at the Central Surgical Unit of RSUD Tanjungpinang</t>
  </si>
  <si>
    <t>Factors Associated with Complete Immunization Among Infants at UPT Puskesmas Rejai</t>
  </si>
  <si>
    <t>Comparison of the Effectiveness of Acupressure and Foot Massage on Blood Pressure in Hypertensive Patients in the Kampung Bugis Health Center Area, Tanjungpinang</t>
  </si>
  <si>
    <t>The Effect of the Early Warning Score (EWS) on Hemodynamics of Coronary Heart Disease Patients in the ICU of RSUD Tanjungpinang</t>
  </si>
  <si>
    <t>The Relationship Between Immunization History and Pertussis Incidence in Children Aged 2–24 Months at Tanjung Unggat Health Center, 2024</t>
  </si>
  <si>
    <t>The Effect of Acceptance and Commitment Therapy (ACT) and Asmaul Husna Dhikr on Self-Efficacy in Hypertensive Patients at Rejai Health Center</t>
  </si>
  <si>
    <t>The Relationship Between Social Support and Family Ability in Caring for People with Mental Disorders (PWMD) in the Tanjung Unggat Health Center Area</t>
  </si>
  <si>
    <t>The Effect of Pineapple Juice on Perineal Wound Healing in Postpartum Mothers</t>
  </si>
  <si>
    <t>The Relationship Between Family Burden and Family Motivation in Caring for Relatives with Schizophrenia in Batu 10 Health Center Area</t>
  </si>
  <si>
    <t>The Effect of Celery Complementary Therapy on Blood Pressure in Older Adults at Kuala Sempang Health Center</t>
  </si>
  <si>
    <t>The Relationship Between Nurse Career Levels, Job Satisfaction, and Self-Efficacy in Inpatient Wards of RSUD Tanjungpinang</t>
  </si>
  <si>
    <t>The Effect of Locally Produced High-Animal-Protein Supplementary Food on Weight Gain of Malnourished Toddlers</t>
  </si>
  <si>
    <t>The Relationship Between Sexual Behavior and HIV/AIDS Incidence in the Seijang Health Center Area</t>
  </si>
  <si>
    <t>The Effect of Oral Exercise Stimulation on Sucking Reflex in LBW Infants in Flamboyan Ward, RSUD Tanjungpinang</t>
  </si>
  <si>
    <t>The Relationship Between Postoperative Anxiety After Lower Limb Fracture and Early Mobilization at RSAL Dr. Midiyato Suratani</t>
  </si>
  <si>
    <t>Factors Associated with Patient Satisfaction Toward Nursing Services at Teluk Sebong Health Center</t>
  </si>
  <si>
    <t>Factors Associated with Relapse Risk Among Drug Users in BNN Rehabilitation Center Batam</t>
  </si>
  <si>
    <t>The Relationship Between Environmental Factors and HIV/AIDS Incidence Among Men Who Have Sex with Men (MSM) at Seijang Health Center</t>
  </si>
  <si>
    <t>Analysis of Response Time in Initial Assessment of Non-Emergency Patients in the Emergency Department of RSUD Tanjungpinang</t>
  </si>
  <si>
    <t>The Relationship Between Education and the Effectiveness of Nebulizer Use in Pediatric Bronchopneumonia Patients in Subi Kecil Ward, RSAL Dr. Midiyato Suratani</t>
  </si>
  <si>
    <t>Comparison of the Effectiveness of FAST (Familiar Auditory Sensory Training) and Murottal Therapy on Consciousness Levels of Stroke Patients in the ICU of RSUD Tanjungpinang</t>
  </si>
  <si>
    <t>23 Mei 2025</t>
  </si>
  <si>
    <t>7 November 2025</t>
  </si>
  <si>
    <t>6 Oktober 2025</t>
  </si>
  <si>
    <t>958 / 11 / V / 2025</t>
  </si>
  <si>
    <t>959 / 11 / V / 2025</t>
  </si>
  <si>
    <t>960 / 11 / V / 2025</t>
  </si>
  <si>
    <t>961 / 11 / V / 2025</t>
  </si>
  <si>
    <t>964 / 11 / V / 2025</t>
  </si>
  <si>
    <t>965 / 11 / V / 2025</t>
  </si>
  <si>
    <t>966 / 11 / V / 2025</t>
  </si>
  <si>
    <t>968 / 11 / V / 2025</t>
  </si>
  <si>
    <t>969 / 11 / V / 2025</t>
  </si>
  <si>
    <t>970 / 11 / V / 2025</t>
  </si>
  <si>
    <t>971 / 11 / V / 2025</t>
  </si>
  <si>
    <t>972 / 11 / V / 2025</t>
  </si>
  <si>
    <t>973 / 11 / V / 2025</t>
  </si>
  <si>
    <t>974 / 11 / V / 2025</t>
  </si>
  <si>
    <t>975 / 11 / V / 2025</t>
  </si>
  <si>
    <t>977 / 11 / V / 2025</t>
  </si>
  <si>
    <t>978 / 11 / V / 2025</t>
  </si>
  <si>
    <t>979 / 11 / V / 2025</t>
  </si>
  <si>
    <t>980 / 11 / V / 2025</t>
  </si>
  <si>
    <t>981 / 11 / V / 2025</t>
  </si>
  <si>
    <t>982 / 11 / V / 2025</t>
  </si>
  <si>
    <t>983 / 11 / V / 2025</t>
  </si>
  <si>
    <t>984 / 11 / V / 2025</t>
  </si>
  <si>
    <t>985 / 11 / V / 2025</t>
  </si>
  <si>
    <t>986 / 11 / V / 2025</t>
  </si>
  <si>
    <t>987 / 11 / V / 2025</t>
  </si>
  <si>
    <t>988 / 11 / V / 2025</t>
  </si>
  <si>
    <t>989 / 11 / V / 2025</t>
  </si>
  <si>
    <t>990 / 11 / V / 2025</t>
  </si>
  <si>
    <t>991 / 11 / V / 2025</t>
  </si>
  <si>
    <t>992 / 11 / V / 2025</t>
  </si>
  <si>
    <t>993 / 11 / V / 2025</t>
  </si>
  <si>
    <t>994 / 11 / V / 2025</t>
  </si>
  <si>
    <t>995 / 11 / V / 2025</t>
  </si>
  <si>
    <t>963 / 11 / XI / 2025</t>
  </si>
  <si>
    <t>967 / 11 / X / 2025</t>
  </si>
  <si>
    <t>962 / 11 / X / 2025</t>
  </si>
  <si>
    <t>976 / 11 / XI / 2025</t>
  </si>
  <si>
    <t>Padang</t>
  </si>
  <si>
    <t xml:space="preserve">Muara Jalai </t>
  </si>
  <si>
    <t>Kabawetan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</si>
</sst>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0"/>
      <color rgb="FF434343"/>
      <name val="Arial"/>
      <family val="2"/>
    </font>
    <font>
      <sz val="9"/>
      <color theme="1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1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11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9" fillId="0" borderId="1" xfId="2" applyNumberFormat="1" applyFont="1" applyBorder="1" applyAlignment="1">
      <alignment horizontal="center" vertical="center"/>
    </xf>
    <xf numFmtId="2" fontId="6" fillId="0" borderId="1" xfId="1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4" fontId="8" fillId="3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0" fillId="0" borderId="1" xfId="0" applyFont="1" applyBorder="1"/>
    <xf numFmtId="49" fontId="4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Normal" xfId="0" builtinId="0"/>
    <cellStyle name="Normal_Sheet1" xfId="1" xr:uid="{10767138-5971-4EB0-97BD-6C19C7E4ADF9}"/>
    <cellStyle name="Normal_Sheet1 2" xfId="2" xr:uid="{096DB9FF-75F7-41B2-8DB1-13603FB6B2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C482-1510-43F8-A2D8-9629FAD08083}">
  <dimension ref="A1:DY40"/>
  <sheetViews>
    <sheetView tabSelected="1" zoomScale="145" zoomScaleNormal="145" workbookViewId="0">
      <pane xSplit="2" ySplit="2" topLeftCell="DJ45" activePane="bottomRight" state="frozen"/>
      <selection pane="topRight" activeCell="C1" sqref="C1"/>
      <selection pane="bottomLeft" activeCell="A3" sqref="A3"/>
      <selection pane="bottomRight" activeCell="A3" sqref="A3:XFD3"/>
    </sheetView>
  </sheetViews>
  <sheetFormatPr defaultRowHeight="15" x14ac:dyDescent="0.25"/>
  <cols>
    <col min="1" max="1" width="4.28515625" customWidth="1"/>
    <col min="2" max="2" width="23.85546875" customWidth="1"/>
    <col min="3" max="3" width="14.7109375" customWidth="1"/>
    <col min="4" max="4" width="20.85546875" customWidth="1"/>
    <col min="5" max="6" width="21.7109375" style="10" customWidth="1"/>
    <col min="7" max="7" width="24.85546875" customWidth="1"/>
    <col min="8" max="8" width="8.5703125" customWidth="1"/>
    <col min="9" max="10" width="5.7109375" customWidth="1"/>
    <col min="11" max="11" width="4.85546875" bestFit="1" customWidth="1"/>
    <col min="12" max="12" width="4.42578125" bestFit="1" customWidth="1"/>
    <col min="13" max="13" width="8.85546875" customWidth="1"/>
    <col min="14" max="16" width="5.7109375" customWidth="1"/>
    <col min="17" max="17" width="4.42578125" bestFit="1" customWidth="1"/>
    <col min="18" max="18" width="8.5703125" customWidth="1"/>
    <col min="19" max="21" width="5.7109375" customWidth="1"/>
    <col min="22" max="22" width="4.42578125" bestFit="1" customWidth="1"/>
    <col min="23" max="23" width="7.7109375" customWidth="1"/>
    <col min="24" max="27" width="5.7109375" customWidth="1"/>
    <col min="28" max="28" width="9.28515625" customWidth="1"/>
    <col min="29" max="31" width="5.7109375" customWidth="1"/>
    <col min="32" max="32" width="4.42578125" bestFit="1" customWidth="1"/>
    <col min="33" max="33" width="7.85546875" customWidth="1"/>
    <col min="34" max="36" width="5.7109375" customWidth="1"/>
    <col min="37" max="37" width="6.28515625" customWidth="1"/>
    <col min="38" max="38" width="8.28515625" customWidth="1"/>
    <col min="39" max="42" width="5.7109375" customWidth="1"/>
    <col min="43" max="43" width="8" customWidth="1"/>
    <col min="44" max="47" width="5.7109375" customWidth="1"/>
    <col min="48" max="48" width="8.28515625" customWidth="1"/>
    <col min="49" max="66" width="5.7109375" customWidth="1"/>
    <col min="67" max="68" width="8" customWidth="1"/>
    <col min="70" max="70" width="6.7109375" customWidth="1"/>
    <col min="126" max="127" width="18.42578125" customWidth="1"/>
    <col min="128" max="128" width="181.28515625" style="24" customWidth="1"/>
    <col min="129" max="129" width="184.42578125" style="25" bestFit="1" customWidth="1"/>
  </cols>
  <sheetData>
    <row r="1" spans="1:129" x14ac:dyDescent="0.25">
      <c r="A1" s="30" t="s">
        <v>0</v>
      </c>
      <c r="B1" s="30" t="s">
        <v>1</v>
      </c>
      <c r="C1" s="30" t="s">
        <v>2</v>
      </c>
      <c r="D1" s="37" t="s">
        <v>64</v>
      </c>
      <c r="E1" s="34" t="s">
        <v>65</v>
      </c>
      <c r="F1" s="31" t="s">
        <v>79</v>
      </c>
      <c r="G1" s="30" t="s">
        <v>66</v>
      </c>
      <c r="H1" s="33" t="s">
        <v>3</v>
      </c>
      <c r="I1" s="33"/>
      <c r="J1" s="33"/>
      <c r="K1" s="33"/>
      <c r="L1" s="33"/>
      <c r="M1" s="35" t="s">
        <v>4</v>
      </c>
      <c r="N1" s="35"/>
      <c r="O1" s="35"/>
      <c r="P1" s="35"/>
      <c r="Q1" s="35"/>
      <c r="R1" s="30" t="s">
        <v>5</v>
      </c>
      <c r="S1" s="30"/>
      <c r="T1" s="30"/>
      <c r="U1" s="30"/>
      <c r="V1" s="30"/>
      <c r="W1" s="30" t="s">
        <v>6</v>
      </c>
      <c r="X1" s="30"/>
      <c r="Y1" s="30"/>
      <c r="Z1" s="30"/>
      <c r="AA1" s="30"/>
      <c r="AB1" s="30" t="s">
        <v>7</v>
      </c>
      <c r="AC1" s="30"/>
      <c r="AD1" s="30"/>
      <c r="AE1" s="30"/>
      <c r="AF1" s="30"/>
      <c r="AG1" s="33" t="s">
        <v>8</v>
      </c>
      <c r="AH1" s="33"/>
      <c r="AI1" s="33"/>
      <c r="AJ1" s="33"/>
      <c r="AK1" s="33"/>
      <c r="AL1" s="30" t="s">
        <v>9</v>
      </c>
      <c r="AM1" s="30"/>
      <c r="AN1" s="30"/>
      <c r="AO1" s="30"/>
      <c r="AP1" s="30"/>
      <c r="AQ1" s="30" t="s">
        <v>10</v>
      </c>
      <c r="AR1" s="30"/>
      <c r="AS1" s="30"/>
      <c r="AT1" s="30"/>
      <c r="AU1" s="30"/>
      <c r="AV1" s="30" t="s">
        <v>11</v>
      </c>
      <c r="AW1" s="30"/>
      <c r="AX1" s="30"/>
      <c r="AY1" s="30"/>
      <c r="AZ1" s="30"/>
      <c r="BA1" s="30" t="s">
        <v>12</v>
      </c>
      <c r="BB1" s="30"/>
      <c r="BC1" s="30"/>
      <c r="BD1" s="30"/>
      <c r="BE1" s="30"/>
      <c r="BF1" s="30" t="s">
        <v>13</v>
      </c>
      <c r="BG1" s="30"/>
      <c r="BH1" s="30"/>
      <c r="BI1" s="30"/>
      <c r="BJ1" s="30"/>
      <c r="BK1" s="33" t="s">
        <v>67</v>
      </c>
      <c r="BL1" s="33"/>
      <c r="BM1" s="33"/>
      <c r="BN1" s="33"/>
      <c r="BO1" s="33"/>
      <c r="BP1" s="35" t="s">
        <v>68</v>
      </c>
      <c r="BQ1" s="35"/>
      <c r="BR1" s="35"/>
      <c r="BS1" s="35"/>
      <c r="BT1" s="35"/>
      <c r="BU1" s="30" t="s">
        <v>69</v>
      </c>
      <c r="BV1" s="30"/>
      <c r="BW1" s="30"/>
      <c r="BX1" s="30"/>
      <c r="BY1" s="30"/>
      <c r="BZ1" s="30" t="s">
        <v>70</v>
      </c>
      <c r="CA1" s="30"/>
      <c r="CB1" s="30"/>
      <c r="CC1" s="30"/>
      <c r="CD1" s="30"/>
      <c r="CE1" s="30" t="s">
        <v>71</v>
      </c>
      <c r="CF1" s="30"/>
      <c r="CG1" s="30"/>
      <c r="CH1" s="30"/>
      <c r="CI1" s="30"/>
      <c r="CJ1" s="33" t="s">
        <v>72</v>
      </c>
      <c r="CK1" s="33"/>
      <c r="CL1" s="33"/>
      <c r="CM1" s="33"/>
      <c r="CN1" s="33"/>
      <c r="CO1" s="30" t="s">
        <v>73</v>
      </c>
      <c r="CP1" s="30"/>
      <c r="CQ1" s="30"/>
      <c r="CR1" s="30"/>
      <c r="CS1" s="30"/>
      <c r="CT1" s="30" t="s">
        <v>74</v>
      </c>
      <c r="CU1" s="30"/>
      <c r="CV1" s="30"/>
      <c r="CW1" s="30"/>
      <c r="CX1" s="30"/>
      <c r="CY1" s="30" t="s">
        <v>75</v>
      </c>
      <c r="CZ1" s="30"/>
      <c r="DA1" s="30"/>
      <c r="DB1" s="30"/>
      <c r="DC1" s="30"/>
      <c r="DD1" s="30" t="s">
        <v>76</v>
      </c>
      <c r="DE1" s="30"/>
      <c r="DF1" s="30"/>
      <c r="DG1" s="30"/>
      <c r="DH1" s="30"/>
      <c r="DI1" s="30" t="s">
        <v>77</v>
      </c>
      <c r="DJ1" s="30"/>
      <c r="DK1" s="30"/>
      <c r="DL1" s="30"/>
      <c r="DM1" s="30"/>
      <c r="DN1" s="30" t="s">
        <v>14</v>
      </c>
      <c r="DO1" s="30"/>
      <c r="DP1" s="32" t="s">
        <v>78</v>
      </c>
      <c r="DQ1" s="32"/>
      <c r="DR1" s="32" t="s">
        <v>15</v>
      </c>
      <c r="DS1" s="32" t="s">
        <v>16</v>
      </c>
      <c r="DT1" s="30" t="s">
        <v>17</v>
      </c>
      <c r="DU1" s="30" t="s">
        <v>18</v>
      </c>
      <c r="DV1" s="32" t="s">
        <v>80</v>
      </c>
      <c r="DW1" s="32" t="s">
        <v>81</v>
      </c>
      <c r="DX1" s="32" t="s">
        <v>82</v>
      </c>
      <c r="DY1" s="36" t="s">
        <v>179</v>
      </c>
    </row>
    <row r="2" spans="1:129" x14ac:dyDescent="0.25">
      <c r="A2" s="30"/>
      <c r="B2" s="30"/>
      <c r="C2" s="30"/>
      <c r="D2" s="37"/>
      <c r="E2" s="34"/>
      <c r="F2" s="31"/>
      <c r="G2" s="30"/>
      <c r="H2" s="1" t="s">
        <v>19</v>
      </c>
      <c r="I2" s="1" t="s">
        <v>20</v>
      </c>
      <c r="J2" s="1" t="s">
        <v>21</v>
      </c>
      <c r="K2" s="1" t="s">
        <v>22</v>
      </c>
      <c r="L2" s="1" t="s">
        <v>23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19</v>
      </c>
      <c r="S2" s="1" t="s">
        <v>20</v>
      </c>
      <c r="T2" s="1" t="s">
        <v>21</v>
      </c>
      <c r="U2" s="1" t="s">
        <v>22</v>
      </c>
      <c r="V2" s="1" t="s">
        <v>23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19</v>
      </c>
      <c r="AC2" s="1" t="s">
        <v>20</v>
      </c>
      <c r="AD2" s="1" t="s">
        <v>21</v>
      </c>
      <c r="AE2" s="1" t="s">
        <v>22</v>
      </c>
      <c r="AF2" s="1" t="s">
        <v>23</v>
      </c>
      <c r="AG2" s="1" t="s">
        <v>19</v>
      </c>
      <c r="AH2" s="1" t="s">
        <v>20</v>
      </c>
      <c r="AI2" s="1" t="s">
        <v>21</v>
      </c>
      <c r="AJ2" s="1" t="s">
        <v>22</v>
      </c>
      <c r="AK2" s="1" t="s">
        <v>23</v>
      </c>
      <c r="AL2" s="1" t="s">
        <v>19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19</v>
      </c>
      <c r="AR2" s="1" t="s">
        <v>20</v>
      </c>
      <c r="AS2" s="1" t="s">
        <v>21</v>
      </c>
      <c r="AT2" s="1" t="s">
        <v>22</v>
      </c>
      <c r="AU2" s="1" t="s">
        <v>23</v>
      </c>
      <c r="AV2" s="1" t="s">
        <v>19</v>
      </c>
      <c r="AW2" s="1" t="s">
        <v>20</v>
      </c>
      <c r="AX2" s="1" t="s">
        <v>21</v>
      </c>
      <c r="AY2" s="1" t="s">
        <v>22</v>
      </c>
      <c r="AZ2" s="1" t="s">
        <v>23</v>
      </c>
      <c r="BA2" s="1" t="s">
        <v>19</v>
      </c>
      <c r="BB2" s="1" t="s">
        <v>20</v>
      </c>
      <c r="BC2" s="1" t="s">
        <v>21</v>
      </c>
      <c r="BD2" s="1" t="s">
        <v>22</v>
      </c>
      <c r="BE2" s="1" t="s">
        <v>23</v>
      </c>
      <c r="BF2" s="1" t="s">
        <v>19</v>
      </c>
      <c r="BG2" s="1" t="s">
        <v>20</v>
      </c>
      <c r="BH2" s="1" t="s">
        <v>21</v>
      </c>
      <c r="BI2" s="1" t="s">
        <v>22</v>
      </c>
      <c r="BJ2" s="1" t="s">
        <v>23</v>
      </c>
      <c r="BK2" s="1" t="s">
        <v>19</v>
      </c>
      <c r="BL2" s="1" t="s">
        <v>20</v>
      </c>
      <c r="BM2" s="1" t="s">
        <v>21</v>
      </c>
      <c r="BN2" s="1" t="s">
        <v>22</v>
      </c>
      <c r="BO2" s="1" t="s">
        <v>23</v>
      </c>
      <c r="BP2" s="1" t="s">
        <v>19</v>
      </c>
      <c r="BQ2" s="1" t="s">
        <v>20</v>
      </c>
      <c r="BR2" s="1" t="s">
        <v>21</v>
      </c>
      <c r="BS2" s="1" t="s">
        <v>22</v>
      </c>
      <c r="BT2" s="1" t="s">
        <v>23</v>
      </c>
      <c r="BU2" s="1" t="s">
        <v>19</v>
      </c>
      <c r="BV2" s="1" t="s">
        <v>20</v>
      </c>
      <c r="BW2" s="1" t="s">
        <v>21</v>
      </c>
      <c r="BX2" s="1" t="s">
        <v>22</v>
      </c>
      <c r="BY2" s="1" t="s">
        <v>23</v>
      </c>
      <c r="BZ2" s="1" t="s">
        <v>19</v>
      </c>
      <c r="CA2" s="1" t="s">
        <v>20</v>
      </c>
      <c r="CB2" s="1" t="s">
        <v>21</v>
      </c>
      <c r="CC2" s="1" t="s">
        <v>22</v>
      </c>
      <c r="CD2" s="1" t="s">
        <v>23</v>
      </c>
      <c r="CE2" s="1" t="s">
        <v>19</v>
      </c>
      <c r="CF2" s="1" t="s">
        <v>20</v>
      </c>
      <c r="CG2" s="1" t="s">
        <v>21</v>
      </c>
      <c r="CH2" s="1" t="s">
        <v>22</v>
      </c>
      <c r="CI2" s="1" t="s">
        <v>23</v>
      </c>
      <c r="CJ2" s="1" t="s">
        <v>19</v>
      </c>
      <c r="CK2" s="1" t="s">
        <v>20</v>
      </c>
      <c r="CL2" s="1" t="s">
        <v>21</v>
      </c>
      <c r="CM2" s="1" t="s">
        <v>22</v>
      </c>
      <c r="CN2" s="1" t="s">
        <v>23</v>
      </c>
      <c r="CO2" s="1" t="s">
        <v>19</v>
      </c>
      <c r="CP2" s="1" t="s">
        <v>20</v>
      </c>
      <c r="CQ2" s="1" t="s">
        <v>21</v>
      </c>
      <c r="CR2" s="1" t="s">
        <v>22</v>
      </c>
      <c r="CS2" s="1" t="s">
        <v>23</v>
      </c>
      <c r="CT2" s="1" t="s">
        <v>19</v>
      </c>
      <c r="CU2" s="1" t="s">
        <v>20</v>
      </c>
      <c r="CV2" s="1" t="s">
        <v>21</v>
      </c>
      <c r="CW2" s="1" t="s">
        <v>22</v>
      </c>
      <c r="CX2" s="1" t="s">
        <v>23</v>
      </c>
      <c r="CY2" s="1" t="s">
        <v>19</v>
      </c>
      <c r="CZ2" s="1" t="s">
        <v>20</v>
      </c>
      <c r="DA2" s="1" t="s">
        <v>21</v>
      </c>
      <c r="DB2" s="1" t="s">
        <v>22</v>
      </c>
      <c r="DC2" s="1" t="s">
        <v>23</v>
      </c>
      <c r="DD2" s="1" t="s">
        <v>19</v>
      </c>
      <c r="DE2" s="1" t="s">
        <v>20</v>
      </c>
      <c r="DF2" s="1" t="s">
        <v>21</v>
      </c>
      <c r="DG2" s="1" t="s">
        <v>22</v>
      </c>
      <c r="DH2" s="1" t="s">
        <v>23</v>
      </c>
      <c r="DI2" s="1" t="s">
        <v>19</v>
      </c>
      <c r="DJ2" s="1" t="s">
        <v>20</v>
      </c>
      <c r="DK2" s="1" t="s">
        <v>21</v>
      </c>
      <c r="DL2" s="1" t="s">
        <v>22</v>
      </c>
      <c r="DM2" s="1" t="s">
        <v>23</v>
      </c>
      <c r="DN2" s="1" t="s">
        <v>24</v>
      </c>
      <c r="DO2" s="1" t="s">
        <v>25</v>
      </c>
      <c r="DP2" s="1" t="s">
        <v>24</v>
      </c>
      <c r="DQ2" s="1" t="s">
        <v>25</v>
      </c>
      <c r="DR2" s="32"/>
      <c r="DS2" s="32"/>
      <c r="DT2" s="30"/>
      <c r="DU2" s="30"/>
      <c r="DV2" s="32"/>
      <c r="DW2" s="32"/>
      <c r="DX2" s="32"/>
      <c r="DY2" s="36"/>
    </row>
    <row r="3" spans="1:129" ht="15" customHeight="1" x14ac:dyDescent="0.25">
      <c r="A3" s="29">
        <v>1</v>
      </c>
      <c r="B3" s="2" t="s">
        <v>26</v>
      </c>
      <c r="C3" s="2">
        <v>172312019</v>
      </c>
      <c r="D3" s="11" t="s">
        <v>259</v>
      </c>
      <c r="E3" s="13" t="s">
        <v>83</v>
      </c>
      <c r="F3" s="28" t="s">
        <v>218</v>
      </c>
      <c r="G3" s="27" t="s">
        <v>221</v>
      </c>
      <c r="H3" s="6">
        <v>76.266666666666666</v>
      </c>
      <c r="I3" s="4" t="str">
        <f>IF(H3&gt;=80,"A",IF(H3&gt;=75,"B+",IF(H3&gt;=70,"B",IF(H3&gt;=65,"C+",IF(H3&gt;=60,"C",IF(H3&gt;=55,"D",IF(H3&lt;54,"E")))))))</f>
        <v>B+</v>
      </c>
      <c r="J3" s="3">
        <f t="shared" ref="J3" si="0">IF(I3="A",4,IF(I3="B+",3.5,IF(I3="B",3,IF(I3="C+",2.5,IF(I3="C",2,IF(I3="D",1,0))))))</f>
        <v>3.5</v>
      </c>
      <c r="K3" s="3">
        <v>2</v>
      </c>
      <c r="L3" s="12">
        <f>J3*K3</f>
        <v>7</v>
      </c>
      <c r="M3" s="7">
        <v>86.233333333333334</v>
      </c>
      <c r="N3" s="4" t="str">
        <f>IF(M3&gt;=80,"A",IF(M3&gt;=75,"B+",IF(M3&gt;=70,"B",IF(M3&gt;=65,"C+",IF(M3&gt;=60,"C",IF(M3&gt;=55,"D",IF(M3&lt;54,"E")))))))</f>
        <v>A</v>
      </c>
      <c r="O3" s="3">
        <f t="shared" ref="O3" si="1">IF(N3="A",4,IF(N3="B+",3.5,IF(N3="B",3,IF(N3="C+",2.5,IF(N3="C",2,IF(N3="D",1,0))))))</f>
        <v>4</v>
      </c>
      <c r="P3" s="3">
        <v>2</v>
      </c>
      <c r="Q3" s="12">
        <f>O3*P3</f>
        <v>8</v>
      </c>
      <c r="R3" s="15">
        <v>78.2</v>
      </c>
      <c r="S3" s="4" t="str">
        <f>IF(R3&gt;=80,"A",IF(R3&gt;=75,"B+",IF(R3&gt;=70,"B",IF(R3&gt;=65,"C+",IF(R3&gt;=60,"C",IF(R3&gt;=55,"D",IF(R3&lt;54,"E")))))))</f>
        <v>B+</v>
      </c>
      <c r="T3" s="3">
        <f t="shared" ref="T3" si="2">IF(S3="A",4,IF(S3="B+",3.5,IF(S3="B",3,IF(S3="C+",2.5,IF(S3="C",2,IF(S3="D",1,0))))))</f>
        <v>3.5</v>
      </c>
      <c r="U3" s="3">
        <v>2</v>
      </c>
      <c r="V3" s="12">
        <f>T3*U3</f>
        <v>7</v>
      </c>
      <c r="W3" s="8">
        <v>80</v>
      </c>
      <c r="X3" s="4" t="str">
        <f>IF(W3&gt;=80,"A",IF(W3&gt;=75,"B+",IF(W3&gt;=70,"B",IF(W3&gt;=65,"C+",IF(W3&gt;=60,"C",IF(W3&gt;=55,"D",IF(W3&lt;54,"E")))))))</f>
        <v>A</v>
      </c>
      <c r="Y3" s="3">
        <f t="shared" ref="Y3" si="3">IF(X3="A",4,IF(X3="B+",3.5,IF(X3="B",3,IF(X3="C+",2.5,IF(X3="C",2,IF(X3="D",1,0))))))</f>
        <v>4</v>
      </c>
      <c r="Z3" s="3">
        <v>3</v>
      </c>
      <c r="AA3" s="12">
        <f>Y3*Z3</f>
        <v>12</v>
      </c>
      <c r="AB3" s="3">
        <v>83.15</v>
      </c>
      <c r="AC3" s="4" t="str">
        <f>IF(AB3&gt;=80,"A",IF(AB3&gt;=75,"B+",IF(AB3&gt;=70,"B",IF(AB3&gt;=65,"C+",IF(AB3&gt;=60,"C",IF(AB3&gt;=55,"D",IF(AB3&lt;54,"E")))))))</f>
        <v>A</v>
      </c>
      <c r="AD3" s="3">
        <f t="shared" ref="AD3" si="4">IF(AC3="A",4,IF(AC3="B+",3.5,IF(AC3="B",3,IF(AC3="C+",2.5,IF(AC3="C",2,IF(AC3="D",1,0))))))</f>
        <v>4</v>
      </c>
      <c r="AE3" s="3">
        <v>2</v>
      </c>
      <c r="AF3" s="12">
        <f>AD3*AE3</f>
        <v>8</v>
      </c>
      <c r="AG3" s="3">
        <v>86.233333333333334</v>
      </c>
      <c r="AH3" s="4" t="str">
        <f>IF(AG3&gt;=80,"A",IF(AG3&gt;=75,"B+",IF(AG3&gt;=70,"B",IF(AG3&gt;=65,"C+",IF(AG3&gt;=60,"C",IF(AG3&gt;=55,"D",IF(AG3&lt;54,"E")))))))</f>
        <v>A</v>
      </c>
      <c r="AI3" s="3">
        <f t="shared" ref="AI3" si="5">IF(AH3="A",4,IF(AH3="B+",3.5,IF(AH3="B",3,IF(AH3="C+",2.5,IF(AH3="C",2,IF(AH3="D",1,0))))))</f>
        <v>4</v>
      </c>
      <c r="AJ3" s="3">
        <v>2</v>
      </c>
      <c r="AK3" s="12">
        <f>AI3*AJ3</f>
        <v>8</v>
      </c>
      <c r="AL3" s="3">
        <v>79.2</v>
      </c>
      <c r="AM3" s="4" t="str">
        <f>IF(AL3&gt;=80,"A",IF(AL3&gt;=75,"B+",IF(AL3&gt;=70,"B",IF(AL3&gt;=65,"C+",IF(AL3&gt;=60,"C",IF(AL3&gt;=55,"D",IF(AL3&lt;54,"E")))))))</f>
        <v>B+</v>
      </c>
      <c r="AN3" s="3">
        <f t="shared" ref="AN3" si="6">IF(AM3="A",4,IF(AM3="B+",3.5,IF(AM3="B",3,IF(AM3="C+",2.5,IF(AM3="C",2,IF(AM3="D",1,0))))))</f>
        <v>3.5</v>
      </c>
      <c r="AO3" s="3">
        <v>2</v>
      </c>
      <c r="AP3" s="12">
        <f>AN3*AO3</f>
        <v>7</v>
      </c>
      <c r="AQ3" s="9">
        <v>85.3</v>
      </c>
      <c r="AR3" s="4" t="str">
        <f>IF(AQ3&gt;=80,"A",IF(AQ3&gt;=75,"B+",IF(AQ3&gt;=70,"B",IF(AQ3&gt;=65,"C+",IF(AQ3&gt;=60,"C",IF(AQ3&gt;=55,"D",IF(AQ3&lt;54,"E")))))))</f>
        <v>A</v>
      </c>
      <c r="AS3" s="3">
        <f t="shared" ref="AS3" si="7">IF(AR3="A",4,IF(AR3="B+",3.5,IF(AR3="B",3,IF(AR3="C+",2.5,IF(AR3="C",2,IF(AR3="D",1,0))))))</f>
        <v>4</v>
      </c>
      <c r="AT3" s="3">
        <v>2</v>
      </c>
      <c r="AU3" s="12">
        <f>AS3*AT3</f>
        <v>8</v>
      </c>
      <c r="AV3" s="8">
        <v>77</v>
      </c>
      <c r="AW3" s="4" t="str">
        <f>IF(AV3&gt;=80,"A",IF(AV3&gt;=75,"B+",IF(AV3&gt;=70,"B",IF(AV3&gt;=65,"C+",IF(AV3&gt;=60,"C",IF(AV3&gt;=55,"D",IF(AV3&lt;54,"E")))))))</f>
        <v>B+</v>
      </c>
      <c r="AX3" s="3">
        <f t="shared" ref="AX3" si="8">IF(AW3="A",4,IF(AW3="B+",3.5,IF(AW3="B",3,IF(AW3="C+",2.5,IF(AW3="C",2,IF(AW3="D",1,0))))))</f>
        <v>3.5</v>
      </c>
      <c r="AY3" s="3">
        <v>3</v>
      </c>
      <c r="AZ3" s="12">
        <f>AX3*AY3</f>
        <v>10.5</v>
      </c>
      <c r="BA3" s="3">
        <v>75.400000000000006</v>
      </c>
      <c r="BB3" s="4" t="str">
        <f>IF(BA3&gt;=80,"A",IF(BA3&gt;=75,"B+",IF(BA3&gt;=70,"B",IF(BA3&gt;=65,"C+",IF(BA3&gt;=60,"C",IF(BA3&gt;=55,"D",IF(BA3&lt;54,"E")))))))</f>
        <v>B+</v>
      </c>
      <c r="BC3" s="3">
        <f t="shared" ref="BC3" si="9">IF(BB3="A",4,IF(BB3="B+",3.5,IF(BB3="B",3,IF(BB3="C+",2.5,IF(BB3="C",2,IF(BB3="D",1,0))))))</f>
        <v>3.5</v>
      </c>
      <c r="BD3" s="3">
        <v>2</v>
      </c>
      <c r="BE3" s="12">
        <f>BC3*BD3</f>
        <v>7</v>
      </c>
      <c r="BF3" s="3">
        <v>80</v>
      </c>
      <c r="BG3" s="4" t="str">
        <f>IF(BF3&gt;=80,"A",IF(BF3&gt;=75,"B+",IF(BF3&gt;=70,"B",IF(BF3&gt;=65,"C+",IF(BF3&gt;=60,"C",IF(BF3&gt;=55,"D",IF(BF3&lt;54,"E")))))))</f>
        <v>A</v>
      </c>
      <c r="BH3" s="3">
        <f t="shared" ref="BH3" si="10">IF(BG3="A",4,IF(BG3="B+",3.5,IF(BG3="B",3,IF(BG3="C+",2.5,IF(BG3="C",2,IF(BG3="D",1,0))))))</f>
        <v>4</v>
      </c>
      <c r="BI3" s="3">
        <v>2</v>
      </c>
      <c r="BJ3" s="12">
        <f>BH3*BI3</f>
        <v>8</v>
      </c>
      <c r="BK3" s="16">
        <v>81.2</v>
      </c>
      <c r="BL3" s="4" t="str">
        <f>IF(BK3&gt;=80,"A",IF(BK3&gt;=75,"B+",IF(BK3&gt;=70,"B",IF(BK3&gt;=65,"C+",IF(BK3&gt;=60,"C",IF(BK3&gt;=55,"D",IF(BK3&lt;54,"E")))))))</f>
        <v>A</v>
      </c>
      <c r="BM3" s="3">
        <f t="shared" ref="BM3" si="11">IF(BL3="A",4,IF(BL3="B+",3.5,IF(BL3="B",3,IF(BL3="C+",2.5,IF(BL3="C",2,IF(BL3="D",1,0))))))</f>
        <v>4</v>
      </c>
      <c r="BN3" s="3">
        <v>2</v>
      </c>
      <c r="BO3" s="12">
        <f>BM3*BN3</f>
        <v>8</v>
      </c>
      <c r="BP3" s="19">
        <v>80.349999999999994</v>
      </c>
      <c r="BQ3" s="4" t="str">
        <f>IF(BP3&gt;=80,"A",IF(BP3&gt;=75,"B+",IF(BP3&gt;=70,"B",IF(BP3&gt;=65,"C+",IF(BP3&gt;=60,"C",IF(BP3&gt;=55,"D",IF(BP3&lt;54,"E")))))))</f>
        <v>A</v>
      </c>
      <c r="BR3" s="3">
        <f t="shared" ref="BR3" si="12">IF(BQ3="A",4,IF(BQ3="B+",3.5,IF(BQ3="B",3,IF(BQ3="C+",2.5,IF(BQ3="C",2,IF(BQ3="D",1,0))))))</f>
        <v>4</v>
      </c>
      <c r="BS3" s="3">
        <v>2</v>
      </c>
      <c r="BT3" s="12">
        <f>BR3*BS3</f>
        <v>8</v>
      </c>
      <c r="BU3" s="5">
        <v>70</v>
      </c>
      <c r="BV3" s="4" t="str">
        <f>IF(BU3&gt;=80,"A",IF(BU3&gt;=75,"B+",IF(BU3&gt;=70,"B",IF(BU3&gt;=65,"C+",IF(BU3&gt;=60,"C",IF(BU3&gt;=55,"D",IF(BU3&lt;54,"E")))))))</f>
        <v>B</v>
      </c>
      <c r="BW3" s="3">
        <f t="shared" ref="BW3" si="13">IF(BV3="A",4,IF(BV3="B+",3.5,IF(BV3="B",3,IF(BV3="C+",2.5,IF(BV3="C",2,IF(BV3="D",1,0))))))</f>
        <v>3</v>
      </c>
      <c r="BX3" s="3">
        <v>2</v>
      </c>
      <c r="BY3" s="12">
        <f>BW3*BX3</f>
        <v>6</v>
      </c>
      <c r="BZ3" s="3">
        <v>77.3</v>
      </c>
      <c r="CA3" s="4" t="str">
        <f t="shared" ref="CA3:CA14" si="14">IF(BZ3&gt;=80,"A",IF(BZ3&gt;=75,"B+",IF(BZ3&gt;=70,"B",IF(BZ3&gt;=65,"C+",IF(BZ3&gt;=60,"C",IF(BZ3&gt;=55,"D",IF(BZ3&lt;54,"E")))))))</f>
        <v>B+</v>
      </c>
      <c r="CB3" s="3">
        <f t="shared" ref="CB3:CB14" si="15">IF(CA3="A",4,IF(CA3="B+",3.5,IF(CA3="B",3,IF(CA3="C+",2.5,IF(CA3="C",2,IF(CA3="D",1,0))))))</f>
        <v>3.5</v>
      </c>
      <c r="CC3" s="3">
        <v>2</v>
      </c>
      <c r="CD3" s="12">
        <f>CB3*CC3</f>
        <v>7</v>
      </c>
      <c r="CE3" s="20">
        <v>82.4</v>
      </c>
      <c r="CF3" s="4" t="str">
        <f t="shared" ref="CF3:CF40" si="16">IF(CE3&gt;=80,"A",IF(CE3&gt;=75,"B+",IF(CE3&gt;=70,"B",IF(CE3&gt;=65,"C+",IF(CE3&gt;=60,"C",IF(CE3&gt;=55,"D",IF(CE3&lt;54,"E")))))))</f>
        <v>A</v>
      </c>
      <c r="CG3" s="3">
        <f t="shared" ref="CG3" si="17">IF(CF3="A",4,IF(CF3="B+",3.5,IF(CF3="B",3,IF(CF3="C+",2.5,IF(CF3="C",2,IF(CF3="D",1,0))))))</f>
        <v>4</v>
      </c>
      <c r="CH3" s="3">
        <v>2</v>
      </c>
      <c r="CI3" s="12">
        <f>CG3*CH3</f>
        <v>8</v>
      </c>
      <c r="CJ3" s="6">
        <v>74.125</v>
      </c>
      <c r="CK3" s="4" t="str">
        <f t="shared" ref="CK3:CK40" si="18">IF(CJ3&gt;=80,"A",IF(CJ3&gt;=75,"B+",IF(CJ3&gt;=70,"B",IF(CJ3&gt;=65,"C+",IF(CJ3&gt;=60,"C",IF(CJ3&gt;=55,"D",IF(CJ3&lt;54,"E")))))))</f>
        <v>B</v>
      </c>
      <c r="CL3" s="3">
        <f t="shared" ref="CL3" si="19">IF(CK3="A",4,IF(CK3="B+",3.5,IF(CK3="B",3,IF(CK3="C+",2.5,IF(CK3="C",2,IF(CK3="D",1,0))))))</f>
        <v>3</v>
      </c>
      <c r="CM3" s="3">
        <v>2</v>
      </c>
      <c r="CN3" s="12">
        <f>CL3*CM3</f>
        <v>6</v>
      </c>
      <c r="CO3" s="7">
        <v>80</v>
      </c>
      <c r="CP3" s="4" t="str">
        <f t="shared" ref="CP3:CP14" si="20">IF(CO3&gt;=80,"A",IF(CO3&gt;=75,"B+",IF(CO3&gt;=70,"B",IF(CO3&gt;=65,"C+",IF(CO3&gt;=60,"C",IF(CO3&gt;=55,"D",IF(CO3&lt;54,"E")))))))</f>
        <v>A</v>
      </c>
      <c r="CQ3" s="3">
        <f t="shared" ref="CQ3:CQ14" si="21">IF(CP3="A",4,IF(CP3="B+",3.5,IF(CP3="B",3,IF(CP3="C+",2.5,IF(CP3="C",2,IF(CP3="D",1,0))))))</f>
        <v>4</v>
      </c>
      <c r="CR3" s="3">
        <v>2</v>
      </c>
      <c r="CS3" s="12">
        <f>CQ3*CR3</f>
        <v>8</v>
      </c>
      <c r="CT3" s="15">
        <v>80.2</v>
      </c>
      <c r="CU3" s="4" t="str">
        <f t="shared" ref="CU3:CU40" si="22">IF(CT3&gt;=80,"A",IF(CT3&gt;=75,"B+",IF(CT3&gt;=70,"B",IF(CT3&gt;=65,"C+",IF(CT3&gt;=60,"C",IF(CT3&gt;=55,"D",IF(CT3&lt;54,"E")))))))</f>
        <v>A</v>
      </c>
      <c r="CV3" s="3">
        <f t="shared" ref="CV3" si="23">IF(CU3="A",4,IF(CU3="B+",3.5,IF(CU3="B",3,IF(CU3="C+",2.5,IF(CU3="C",2,IF(CU3="D",1,0))))))</f>
        <v>4</v>
      </c>
      <c r="CW3" s="3">
        <v>2</v>
      </c>
      <c r="CX3" s="12">
        <f>CV3*CW3</f>
        <v>8</v>
      </c>
      <c r="CY3" s="8">
        <v>80.2</v>
      </c>
      <c r="CZ3" s="4" t="str">
        <f t="shared" ref="CZ3:CZ40" si="24">IF(CY3&gt;=80,"A",IF(CY3&gt;=75,"B+",IF(CY3&gt;=70,"B",IF(CY3&gt;=65,"C+",IF(CY3&gt;=60,"C",IF(CY3&gt;=55,"D",IF(CY3&lt;54,"E")))))))</f>
        <v>A</v>
      </c>
      <c r="DA3" s="3">
        <f t="shared" ref="DA3" si="25">IF(CZ3="A",4,IF(CZ3="B+",3.5,IF(CZ3="B",3,IF(CZ3="C+",2.5,IF(CZ3="C",2,IF(CZ3="D",1,0))))))</f>
        <v>4</v>
      </c>
      <c r="DB3" s="3">
        <v>2</v>
      </c>
      <c r="DC3" s="12">
        <f>DA3*DB3</f>
        <v>8</v>
      </c>
      <c r="DD3" s="3">
        <v>79</v>
      </c>
      <c r="DE3" s="4" t="str">
        <f t="shared" ref="DE3:DE40" si="26">IF(DD3&gt;=80,"A",IF(DD3&gt;=75,"B+",IF(DD3&gt;=70,"B",IF(DD3&gt;=65,"C+",IF(DD3&gt;=60,"C",IF(DD3&gt;=55,"D",IF(DD3&lt;54,"E")))))))</f>
        <v>B+</v>
      </c>
      <c r="DF3" s="3">
        <f t="shared" ref="DF3" si="27">IF(DE3="A",4,IF(DE3="B+",3.5,IF(DE3="B",3,IF(DE3="C+",2.5,IF(DE3="C",2,IF(DE3="D",1,0))))))</f>
        <v>3.5</v>
      </c>
      <c r="DG3" s="3">
        <v>2</v>
      </c>
      <c r="DH3" s="12">
        <f>DF3*DG3</f>
        <v>7</v>
      </c>
      <c r="DI3" s="3">
        <v>82.814999999999998</v>
      </c>
      <c r="DJ3" s="4" t="str">
        <f t="shared" ref="DJ3:DJ40" si="28">IF(DI3&gt;=80,"A",IF(DI3&gt;=75,"B+",IF(DI3&gt;=70,"B",IF(DI3&gt;=65,"C+",IF(DI3&gt;=60,"C",IF(DI3&gt;=55,"D",IF(DI3&lt;54,"E")))))))</f>
        <v>A</v>
      </c>
      <c r="DK3" s="3">
        <f t="shared" ref="DK3" si="29">IF(DJ3="A",4,IF(DJ3="B+",3.5,IF(DJ3="B",3,IF(DJ3="C+",2.5,IF(DJ3="C",2,IF(DJ3="D",1,0))))))</f>
        <v>4</v>
      </c>
      <c r="DL3" s="3">
        <v>4</v>
      </c>
      <c r="DM3" s="12">
        <f>DK3*DL3</f>
        <v>16</v>
      </c>
      <c r="DN3" s="3">
        <v>90.5</v>
      </c>
      <c r="DO3" s="3">
        <v>24</v>
      </c>
      <c r="DP3" s="3">
        <v>90</v>
      </c>
      <c r="DQ3" s="3">
        <v>24</v>
      </c>
      <c r="DR3" s="3">
        <v>180.5</v>
      </c>
      <c r="DS3" s="3">
        <v>48</v>
      </c>
      <c r="DT3" s="9">
        <v>3.7604166666666701</v>
      </c>
      <c r="DU3" s="9">
        <f>DR3/DS3</f>
        <v>3.7604166666666665</v>
      </c>
      <c r="DV3" s="12" t="str">
        <f>IF(DU3&gt;=3.51,"Cum Laude",(IF(DU3&gt;=2.75,"Sangat Memuaskan",(IF(DU3&gt;=2,"Memuaskan","GAGAL")))))</f>
        <v>Cum Laude</v>
      </c>
      <c r="DW3" s="12" t="str">
        <f>IF(DU3&gt;=3.51,"Excellent",(IF(DU3&gt;=2.75,"Highly Satisfactory",(IF(DU3&gt;=2,"Satisfactory","FAILED")))))</f>
        <v>Excellent</v>
      </c>
      <c r="DX3" s="22" t="s">
        <v>162</v>
      </c>
      <c r="DY3" s="26" t="s">
        <v>180</v>
      </c>
    </row>
    <row r="4" spans="1:129" ht="15.75" customHeight="1" x14ac:dyDescent="0.25">
      <c r="A4" s="3">
        <v>2</v>
      </c>
      <c r="B4" s="2" t="s">
        <v>27</v>
      </c>
      <c r="C4" s="2">
        <v>172312021</v>
      </c>
      <c r="D4" s="11" t="s">
        <v>84</v>
      </c>
      <c r="E4" s="13" t="s">
        <v>87</v>
      </c>
      <c r="F4" s="28" t="s">
        <v>218</v>
      </c>
      <c r="G4" s="27" t="s">
        <v>222</v>
      </c>
      <c r="H4" s="6">
        <v>76.333333333333329</v>
      </c>
      <c r="I4" s="4" t="str">
        <f t="shared" ref="I4:I40" si="30">IF(H4&gt;=80,"A",IF(H4&gt;=75,"B+",IF(H4&gt;=70,"B",IF(H4&gt;=65,"C+",IF(H4&gt;=60,"C",IF(H4&gt;=55,"D",IF(H4&lt;54,"E")))))))</f>
        <v>B+</v>
      </c>
      <c r="J4" s="3">
        <f t="shared" ref="J4:J40" si="31">IF(I4="A",4,IF(I4="B+",3.5,IF(I4="B",3,IF(I4="C+",2.5,IF(I4="C",2,IF(I4="D",1,0))))))</f>
        <v>3.5</v>
      </c>
      <c r="K4" s="3">
        <v>2</v>
      </c>
      <c r="L4" s="12">
        <f t="shared" ref="L4:L40" si="32">J4*K4</f>
        <v>7</v>
      </c>
      <c r="M4" s="7">
        <v>82.1</v>
      </c>
      <c r="N4" s="4" t="str">
        <f t="shared" ref="N4:N40" si="33">IF(M4&gt;=80,"A",IF(M4&gt;=75,"B+",IF(M4&gt;=70,"B",IF(M4&gt;=65,"C+",IF(M4&gt;=60,"C",IF(M4&gt;=55,"D",IF(M4&lt;54,"E")))))))</f>
        <v>A</v>
      </c>
      <c r="O4" s="3">
        <f t="shared" ref="O4:O40" si="34">IF(N4="A",4,IF(N4="B+",3.5,IF(N4="B",3,IF(N4="C+",2.5,IF(N4="C",2,IF(N4="D",1,0))))))</f>
        <v>4</v>
      </c>
      <c r="P4" s="3">
        <v>2</v>
      </c>
      <c r="Q4" s="12">
        <f t="shared" ref="Q4:Q40" si="35">O4*P4</f>
        <v>8</v>
      </c>
      <c r="R4" s="15">
        <v>79</v>
      </c>
      <c r="S4" s="4" t="str">
        <f t="shared" ref="S4:S40" si="36">IF(R4&gt;=80,"A",IF(R4&gt;=75,"B+",IF(R4&gt;=70,"B",IF(R4&gt;=65,"C+",IF(R4&gt;=60,"C",IF(R4&gt;=55,"D",IF(R4&lt;54,"E")))))))</f>
        <v>B+</v>
      </c>
      <c r="T4" s="3">
        <f t="shared" ref="T4:T40" si="37">IF(S4="A",4,IF(S4="B+",3.5,IF(S4="B",3,IF(S4="C+",2.5,IF(S4="C",2,IF(S4="D",1,0))))))</f>
        <v>3.5</v>
      </c>
      <c r="U4" s="3">
        <v>2</v>
      </c>
      <c r="V4" s="12">
        <f t="shared" ref="V4:V40" si="38">T4*U4</f>
        <v>7</v>
      </c>
      <c r="W4" s="8">
        <v>80</v>
      </c>
      <c r="X4" s="4" t="str">
        <f t="shared" ref="X4:X40" si="39">IF(W4&gt;=80,"A",IF(W4&gt;=75,"B+",IF(W4&gt;=70,"B",IF(W4&gt;=65,"C+",IF(W4&gt;=60,"C",IF(W4&gt;=55,"D",IF(W4&lt;54,"E")))))))</f>
        <v>A</v>
      </c>
      <c r="Y4" s="3">
        <f t="shared" ref="Y4:Y40" si="40">IF(X4="A",4,IF(X4="B+",3.5,IF(X4="B",3,IF(X4="C+",2.5,IF(X4="C",2,IF(X4="D",1,0))))))</f>
        <v>4</v>
      </c>
      <c r="Z4" s="3">
        <v>3</v>
      </c>
      <c r="AA4" s="12">
        <f t="shared" ref="AA4:AA40" si="41">Y4*Z4</f>
        <v>12</v>
      </c>
      <c r="AB4" s="3">
        <v>78.900000000000006</v>
      </c>
      <c r="AC4" s="4" t="str">
        <f t="shared" ref="AC4:AC40" si="42">IF(AB4&gt;=80,"A",IF(AB4&gt;=75,"B+",IF(AB4&gt;=70,"B",IF(AB4&gt;=65,"C+",IF(AB4&gt;=60,"C",IF(AB4&gt;=55,"D",IF(AB4&lt;54,"E")))))))</f>
        <v>B+</v>
      </c>
      <c r="AD4" s="3">
        <f t="shared" ref="AD4:AD40" si="43">IF(AC4="A",4,IF(AC4="B+",3.5,IF(AC4="B",3,IF(AC4="C+",2.5,IF(AC4="C",2,IF(AC4="D",1,0))))))</f>
        <v>3.5</v>
      </c>
      <c r="AE4" s="3">
        <v>2</v>
      </c>
      <c r="AF4" s="12">
        <f t="shared" ref="AF4:AF40" si="44">AD4*AE4</f>
        <v>7</v>
      </c>
      <c r="AG4" s="3">
        <v>82.1</v>
      </c>
      <c r="AH4" s="4" t="str">
        <f t="shared" ref="AH4:AH40" si="45">IF(AG4&gt;=80,"A",IF(AG4&gt;=75,"B+",IF(AG4&gt;=70,"B",IF(AG4&gt;=65,"C+",IF(AG4&gt;=60,"C",IF(AG4&gt;=55,"D",IF(AG4&lt;54,"E")))))))</f>
        <v>A</v>
      </c>
      <c r="AI4" s="3">
        <f t="shared" ref="AI4:AI40" si="46">IF(AH4="A",4,IF(AH4="B+",3.5,IF(AH4="B",3,IF(AH4="C+",2.5,IF(AH4="C",2,IF(AH4="D",1,0))))))</f>
        <v>4</v>
      </c>
      <c r="AJ4" s="3">
        <v>2</v>
      </c>
      <c r="AK4" s="12">
        <f t="shared" ref="AK4:AK40" si="47">AI4*AJ4</f>
        <v>8</v>
      </c>
      <c r="AL4" s="3">
        <v>80</v>
      </c>
      <c r="AM4" s="4" t="str">
        <f t="shared" ref="AM4:AM40" si="48">IF(AL4&gt;=80,"A",IF(AL4&gt;=75,"B+",IF(AL4&gt;=70,"B",IF(AL4&gt;=65,"C+",IF(AL4&gt;=60,"C",IF(AL4&gt;=55,"D",IF(AL4&lt;54,"E")))))))</f>
        <v>A</v>
      </c>
      <c r="AN4" s="3">
        <f t="shared" ref="AN4:AN40" si="49">IF(AM4="A",4,IF(AM4="B+",3.5,IF(AM4="B",3,IF(AM4="C+",2.5,IF(AM4="C",2,IF(AM4="D",1,0))))))</f>
        <v>4</v>
      </c>
      <c r="AO4" s="3">
        <v>2</v>
      </c>
      <c r="AP4" s="12">
        <f t="shared" ref="AP4:AP40" si="50">AN4*AO4</f>
        <v>8</v>
      </c>
      <c r="AQ4" s="9">
        <v>84.633333333333326</v>
      </c>
      <c r="AR4" s="4" t="str">
        <f t="shared" ref="AR4:AR40" si="51">IF(AQ4&gt;=80,"A",IF(AQ4&gt;=75,"B+",IF(AQ4&gt;=70,"B",IF(AQ4&gt;=65,"C+",IF(AQ4&gt;=60,"C",IF(AQ4&gt;=55,"D",IF(AQ4&lt;54,"E")))))))</f>
        <v>A</v>
      </c>
      <c r="AS4" s="3">
        <f t="shared" ref="AS4:AS40" si="52">IF(AR4="A",4,IF(AR4="B+",3.5,IF(AR4="B",3,IF(AR4="C+",2.5,IF(AR4="C",2,IF(AR4="D",1,0))))))</f>
        <v>4</v>
      </c>
      <c r="AT4" s="3">
        <v>2</v>
      </c>
      <c r="AU4" s="12">
        <f t="shared" ref="AU4:AU40" si="53">AS4*AT4</f>
        <v>8</v>
      </c>
      <c r="AV4" s="8">
        <v>71</v>
      </c>
      <c r="AW4" s="4" t="str">
        <f t="shared" ref="AW4:AW40" si="54">IF(AV4&gt;=80,"A",IF(AV4&gt;=75,"B+",IF(AV4&gt;=70,"B",IF(AV4&gt;=65,"C+",IF(AV4&gt;=60,"C",IF(AV4&gt;=55,"D",IF(AV4&lt;54,"E")))))))</f>
        <v>B</v>
      </c>
      <c r="AX4" s="3">
        <f t="shared" ref="AX4:AX40" si="55">IF(AW4="A",4,IF(AW4="B+",3.5,IF(AW4="B",3,IF(AW4="C+",2.5,IF(AW4="C",2,IF(AW4="D",1,0))))))</f>
        <v>3</v>
      </c>
      <c r="AY4" s="3">
        <v>3</v>
      </c>
      <c r="AZ4" s="12">
        <f t="shared" ref="AZ4:AZ40" si="56">AX4*AY4</f>
        <v>9</v>
      </c>
      <c r="BA4" s="3">
        <v>74.525000000000006</v>
      </c>
      <c r="BB4" s="4" t="str">
        <f t="shared" ref="BB4:BB40" si="57">IF(BA4&gt;=80,"A",IF(BA4&gt;=75,"B+",IF(BA4&gt;=70,"B",IF(BA4&gt;=65,"C+",IF(BA4&gt;=60,"C",IF(BA4&gt;=55,"D",IF(BA4&lt;54,"E")))))))</f>
        <v>B</v>
      </c>
      <c r="BC4" s="3">
        <f t="shared" ref="BC4:BC40" si="58">IF(BB4="A",4,IF(BB4="B+",3.5,IF(BB4="B",3,IF(BB4="C+",2.5,IF(BB4="C",2,IF(BB4="D",1,0))))))</f>
        <v>3</v>
      </c>
      <c r="BD4" s="3">
        <v>2</v>
      </c>
      <c r="BE4" s="12">
        <f t="shared" ref="BE4:BE40" si="59">BC4*BD4</f>
        <v>6</v>
      </c>
      <c r="BF4" s="3">
        <v>80</v>
      </c>
      <c r="BG4" s="4" t="str">
        <f t="shared" ref="BG4:BG40" si="60">IF(BF4&gt;=80,"A",IF(BF4&gt;=75,"B+",IF(BF4&gt;=70,"B",IF(BF4&gt;=65,"C+",IF(BF4&gt;=60,"C",IF(BF4&gt;=55,"D",IF(BF4&lt;54,"E")))))))</f>
        <v>A</v>
      </c>
      <c r="BH4" s="3">
        <f t="shared" ref="BH4:BH40" si="61">IF(BG4="A",4,IF(BG4="B+",3.5,IF(BG4="B",3,IF(BG4="C+",2.5,IF(BG4="C",2,IF(BG4="D",1,0))))))</f>
        <v>4</v>
      </c>
      <c r="BI4" s="3">
        <v>2</v>
      </c>
      <c r="BJ4" s="12">
        <f t="shared" ref="BJ4:BJ40" si="62">BH4*BI4</f>
        <v>8</v>
      </c>
      <c r="BK4" s="16">
        <v>81.680000000000007</v>
      </c>
      <c r="BL4" s="4" t="str">
        <f t="shared" ref="BL4:BL40" si="63">IF(BK4&gt;=80,"A",IF(BK4&gt;=75,"B+",IF(BK4&gt;=70,"B",IF(BK4&gt;=65,"C+",IF(BK4&gt;=60,"C",IF(BK4&gt;=55,"D",IF(BK4&lt;54,"E")))))))</f>
        <v>A</v>
      </c>
      <c r="BM4" s="3">
        <f t="shared" ref="BM4:BM40" si="64">IF(BL4="A",4,IF(BL4="B+",3.5,IF(BL4="B",3,IF(BL4="C+",2.5,IF(BL4="C",2,IF(BL4="D",1,0))))))</f>
        <v>4</v>
      </c>
      <c r="BN4" s="3">
        <v>2</v>
      </c>
      <c r="BO4" s="12">
        <f t="shared" ref="BO4:BO40" si="65">BM4*BN4</f>
        <v>8</v>
      </c>
      <c r="BP4" s="19">
        <v>79.349999999999994</v>
      </c>
      <c r="BQ4" s="4" t="str">
        <f t="shared" ref="BQ4:BQ40" si="66">IF(BP4&gt;=80,"A",IF(BP4&gt;=75,"B+",IF(BP4&gt;=70,"B",IF(BP4&gt;=65,"C+",IF(BP4&gt;=60,"C",IF(BP4&gt;=55,"D",IF(BP4&lt;54,"E")))))))</f>
        <v>B+</v>
      </c>
      <c r="BR4" s="3">
        <f t="shared" ref="BR4:BR40" si="67">IF(BQ4="A",4,IF(BQ4="B+",3.5,IF(BQ4="B",3,IF(BQ4="C+",2.5,IF(BQ4="C",2,IF(BQ4="D",1,0))))))</f>
        <v>3.5</v>
      </c>
      <c r="BS4" s="3">
        <v>2</v>
      </c>
      <c r="BT4" s="12">
        <f t="shared" ref="BT4:BT40" si="68">BR4*BS4</f>
        <v>7</v>
      </c>
      <c r="BU4" s="5">
        <v>79.599999999999994</v>
      </c>
      <c r="BV4" s="4" t="str">
        <f t="shared" ref="BV4:BV40" si="69">IF(BU4&gt;=80,"A",IF(BU4&gt;=75,"B+",IF(BU4&gt;=70,"B",IF(BU4&gt;=65,"C+",IF(BU4&gt;=60,"C",IF(BU4&gt;=55,"D",IF(BU4&lt;54,"E")))))))</f>
        <v>B+</v>
      </c>
      <c r="BW4" s="3">
        <f t="shared" ref="BW4:BW40" si="70">IF(BV4="A",4,IF(BV4="B+",3.5,IF(BV4="B",3,IF(BV4="C+",2.5,IF(BV4="C",2,IF(BV4="D",1,0))))))</f>
        <v>3.5</v>
      </c>
      <c r="BX4" s="3">
        <v>2</v>
      </c>
      <c r="BY4" s="12">
        <f t="shared" ref="BY4:BY40" si="71">BW4*BX4</f>
        <v>7</v>
      </c>
      <c r="BZ4" s="14">
        <v>79.95</v>
      </c>
      <c r="CA4" s="4" t="str">
        <f t="shared" si="14"/>
        <v>B+</v>
      </c>
      <c r="CB4" s="3">
        <f t="shared" si="15"/>
        <v>3.5</v>
      </c>
      <c r="CC4" s="3">
        <v>2</v>
      </c>
      <c r="CD4" s="12">
        <f t="shared" ref="CD4:CD40" si="72">CB4*CC4</f>
        <v>7</v>
      </c>
      <c r="CE4" s="20">
        <v>76.8</v>
      </c>
      <c r="CF4" s="4" t="str">
        <f t="shared" si="16"/>
        <v>B+</v>
      </c>
      <c r="CG4" s="3">
        <f t="shared" ref="CG4:CG40" si="73">IF(CF4="A",4,IF(CF4="B+",3.5,IF(CF4="B",3,IF(CF4="C+",2.5,IF(CF4="C",2,IF(CF4="D",1,0))))))</f>
        <v>3.5</v>
      </c>
      <c r="CH4" s="3">
        <v>2</v>
      </c>
      <c r="CI4" s="12">
        <f t="shared" ref="CI4:CI40" si="74">CG4*CH4</f>
        <v>7</v>
      </c>
      <c r="CJ4" s="6">
        <v>79.95</v>
      </c>
      <c r="CK4" s="4" t="str">
        <f t="shared" si="18"/>
        <v>B+</v>
      </c>
      <c r="CL4" s="3">
        <f t="shared" ref="CL4:CL40" si="75">IF(CK4="A",4,IF(CK4="B+",3.5,IF(CK4="B",3,IF(CK4="C+",2.5,IF(CK4="C",2,IF(CK4="D",1,0))))))</f>
        <v>3.5</v>
      </c>
      <c r="CM4" s="3">
        <v>2</v>
      </c>
      <c r="CN4" s="12">
        <f t="shared" ref="CN4:CN40" si="76">CL4*CM4</f>
        <v>7</v>
      </c>
      <c r="CO4" s="7">
        <v>73.599999999999994</v>
      </c>
      <c r="CP4" s="4" t="str">
        <f t="shared" si="20"/>
        <v>B</v>
      </c>
      <c r="CQ4" s="3">
        <f t="shared" si="21"/>
        <v>3</v>
      </c>
      <c r="CR4" s="3">
        <v>2</v>
      </c>
      <c r="CS4" s="12">
        <f t="shared" ref="CS4:CS40" si="77">CQ4*CR4</f>
        <v>6</v>
      </c>
      <c r="CT4" s="15">
        <v>80</v>
      </c>
      <c r="CU4" s="4" t="str">
        <f t="shared" si="22"/>
        <v>A</v>
      </c>
      <c r="CV4" s="3">
        <f t="shared" ref="CV4:CV40" si="78">IF(CU4="A",4,IF(CU4="B+",3.5,IF(CU4="B",3,IF(CU4="C+",2.5,IF(CU4="C",2,IF(CU4="D",1,0))))))</f>
        <v>4</v>
      </c>
      <c r="CW4" s="3">
        <v>2</v>
      </c>
      <c r="CX4" s="12">
        <f t="shared" ref="CX4:CX40" si="79">CV4*CW4</f>
        <v>8</v>
      </c>
      <c r="CY4" s="8">
        <v>80</v>
      </c>
      <c r="CZ4" s="4" t="str">
        <f t="shared" si="24"/>
        <v>A</v>
      </c>
      <c r="DA4" s="3">
        <f t="shared" ref="DA4:DA40" si="80">IF(CZ4="A",4,IF(CZ4="B+",3.5,IF(CZ4="B",3,IF(CZ4="C+",2.5,IF(CZ4="C",2,IF(CZ4="D",1,0))))))</f>
        <v>4</v>
      </c>
      <c r="DB4" s="3">
        <v>2</v>
      </c>
      <c r="DC4" s="12">
        <f t="shared" ref="DC4:DC40" si="81">DA4*DB4</f>
        <v>8</v>
      </c>
      <c r="DD4" s="3">
        <v>78.800000000000011</v>
      </c>
      <c r="DE4" s="4" t="str">
        <f t="shared" si="26"/>
        <v>B+</v>
      </c>
      <c r="DF4" s="3">
        <f t="shared" ref="DF4:DF40" si="82">IF(DE4="A",4,IF(DE4="B+",3.5,IF(DE4="B",3,IF(DE4="C+",2.5,IF(DE4="C",2,IF(DE4="D",1,0))))))</f>
        <v>3.5</v>
      </c>
      <c r="DG4" s="3">
        <v>2</v>
      </c>
      <c r="DH4" s="12">
        <f t="shared" ref="DH4:DH40" si="83">DF4*DG4</f>
        <v>7</v>
      </c>
      <c r="DI4" s="3">
        <v>80.164999999999992</v>
      </c>
      <c r="DJ4" s="4" t="str">
        <f t="shared" si="28"/>
        <v>A</v>
      </c>
      <c r="DK4" s="3">
        <f t="shared" ref="DK4:DK40" si="84">IF(DJ4="A",4,IF(DJ4="B+",3.5,IF(DJ4="B",3,IF(DJ4="C+",2.5,IF(DJ4="C",2,IF(DJ4="D",1,0))))))</f>
        <v>4</v>
      </c>
      <c r="DL4" s="3">
        <v>4</v>
      </c>
      <c r="DM4" s="12">
        <f t="shared" ref="DM4:DM40" si="85">DK4*DL4</f>
        <v>16</v>
      </c>
      <c r="DN4" s="3">
        <v>88</v>
      </c>
      <c r="DO4" s="3">
        <v>24</v>
      </c>
      <c r="DP4" s="3">
        <v>88</v>
      </c>
      <c r="DQ4" s="3">
        <v>24</v>
      </c>
      <c r="DR4" s="3">
        <v>176</v>
      </c>
      <c r="DS4" s="3">
        <v>48</v>
      </c>
      <c r="DT4" s="9">
        <v>3.6666666666666665</v>
      </c>
      <c r="DU4" s="9">
        <v>3.6666666666666665</v>
      </c>
      <c r="DV4" s="12" t="str">
        <f t="shared" ref="DV4:DV40" si="86">IF(DU4&gt;=3.51,"Cum Laude",(IF(DU4&gt;=2.75,"Sangat Memuaskan",(IF(DU4&gt;=2,"Memuaskan","GAGAL")))))</f>
        <v>Cum Laude</v>
      </c>
      <c r="DW4" s="12" t="str">
        <f t="shared" ref="DW4:DW40" si="87">IF(DU4&gt;=3.51,"Excellent",(IF(DU4&gt;=2.75,"Highly Satisfactory",(IF(DU4&gt;=2,"Satisfactory","FAILED")))))</f>
        <v>Excellent</v>
      </c>
      <c r="DX4" s="22" t="s">
        <v>163</v>
      </c>
      <c r="DY4" s="26" t="s">
        <v>181</v>
      </c>
    </row>
    <row r="5" spans="1:129" x14ac:dyDescent="0.25">
      <c r="A5" s="3">
        <v>3</v>
      </c>
      <c r="B5" s="2" t="s">
        <v>28</v>
      </c>
      <c r="C5" s="2">
        <v>172312022</v>
      </c>
      <c r="D5" s="11" t="s">
        <v>85</v>
      </c>
      <c r="E5" s="13" t="s">
        <v>86</v>
      </c>
      <c r="F5" s="28" t="s">
        <v>218</v>
      </c>
      <c r="G5" s="27" t="s">
        <v>223</v>
      </c>
      <c r="H5" s="6">
        <v>76.333333333333329</v>
      </c>
      <c r="I5" s="4" t="str">
        <f t="shared" si="30"/>
        <v>B+</v>
      </c>
      <c r="J5" s="3">
        <f t="shared" si="31"/>
        <v>3.5</v>
      </c>
      <c r="K5" s="3">
        <v>2</v>
      </c>
      <c r="L5" s="12">
        <f t="shared" si="32"/>
        <v>7</v>
      </c>
      <c r="M5" s="7">
        <v>84.633333333333326</v>
      </c>
      <c r="N5" s="4" t="str">
        <f t="shared" si="33"/>
        <v>A</v>
      </c>
      <c r="O5" s="3">
        <f t="shared" si="34"/>
        <v>4</v>
      </c>
      <c r="P5" s="3">
        <v>2</v>
      </c>
      <c r="Q5" s="12">
        <f t="shared" si="35"/>
        <v>8</v>
      </c>
      <c r="R5" s="15">
        <v>78.599999999999994</v>
      </c>
      <c r="S5" s="4" t="str">
        <f t="shared" si="36"/>
        <v>B+</v>
      </c>
      <c r="T5" s="3">
        <f t="shared" si="37"/>
        <v>3.5</v>
      </c>
      <c r="U5" s="3">
        <v>2</v>
      </c>
      <c r="V5" s="12">
        <f t="shared" si="38"/>
        <v>7</v>
      </c>
      <c r="W5" s="8">
        <v>80.599999999999994</v>
      </c>
      <c r="X5" s="4" t="str">
        <f t="shared" si="39"/>
        <v>A</v>
      </c>
      <c r="Y5" s="3">
        <f t="shared" si="40"/>
        <v>4</v>
      </c>
      <c r="Z5" s="3">
        <v>3</v>
      </c>
      <c r="AA5" s="12">
        <f t="shared" si="41"/>
        <v>12</v>
      </c>
      <c r="AB5" s="3">
        <v>72.25</v>
      </c>
      <c r="AC5" s="4" t="str">
        <f t="shared" si="42"/>
        <v>B</v>
      </c>
      <c r="AD5" s="3">
        <f t="shared" si="43"/>
        <v>3</v>
      </c>
      <c r="AE5" s="3">
        <v>2</v>
      </c>
      <c r="AF5" s="12">
        <f t="shared" si="44"/>
        <v>6</v>
      </c>
      <c r="AG5" s="3">
        <v>84.633333333333326</v>
      </c>
      <c r="AH5" s="4" t="str">
        <f t="shared" si="45"/>
        <v>A</v>
      </c>
      <c r="AI5" s="3">
        <f t="shared" si="46"/>
        <v>4</v>
      </c>
      <c r="AJ5" s="3">
        <v>2</v>
      </c>
      <c r="AK5" s="12">
        <f t="shared" si="47"/>
        <v>8</v>
      </c>
      <c r="AL5" s="3">
        <v>80.599999999999994</v>
      </c>
      <c r="AM5" s="4" t="str">
        <f t="shared" si="48"/>
        <v>A</v>
      </c>
      <c r="AN5" s="3">
        <f t="shared" si="49"/>
        <v>4</v>
      </c>
      <c r="AO5" s="3">
        <v>2</v>
      </c>
      <c r="AP5" s="12">
        <f t="shared" si="50"/>
        <v>8</v>
      </c>
      <c r="AQ5" s="9">
        <v>85.566666666666663</v>
      </c>
      <c r="AR5" s="4" t="str">
        <f t="shared" si="51"/>
        <v>A</v>
      </c>
      <c r="AS5" s="3">
        <f t="shared" si="52"/>
        <v>4</v>
      </c>
      <c r="AT5" s="3">
        <v>2</v>
      </c>
      <c r="AU5" s="12">
        <f t="shared" si="53"/>
        <v>8</v>
      </c>
      <c r="AV5" s="8">
        <v>68.400000000000006</v>
      </c>
      <c r="AW5" s="4" t="str">
        <f t="shared" si="54"/>
        <v>C+</v>
      </c>
      <c r="AX5" s="3">
        <f t="shared" si="55"/>
        <v>2.5</v>
      </c>
      <c r="AY5" s="3">
        <v>3</v>
      </c>
      <c r="AZ5" s="12">
        <f t="shared" si="56"/>
        <v>7.5</v>
      </c>
      <c r="BA5" s="3">
        <v>71.325000000000003</v>
      </c>
      <c r="BB5" s="4" t="str">
        <f t="shared" si="57"/>
        <v>B</v>
      </c>
      <c r="BC5" s="3">
        <f t="shared" si="58"/>
        <v>3</v>
      </c>
      <c r="BD5" s="3">
        <v>2</v>
      </c>
      <c r="BE5" s="12">
        <f t="shared" si="59"/>
        <v>6</v>
      </c>
      <c r="BF5" s="3">
        <v>80.599999999999994</v>
      </c>
      <c r="BG5" s="4" t="str">
        <f t="shared" si="60"/>
        <v>A</v>
      </c>
      <c r="BH5" s="3">
        <f t="shared" si="61"/>
        <v>4</v>
      </c>
      <c r="BI5" s="3">
        <v>2</v>
      </c>
      <c r="BJ5" s="12">
        <f t="shared" si="62"/>
        <v>8</v>
      </c>
      <c r="BK5" s="16">
        <v>80.506666666666675</v>
      </c>
      <c r="BL5" s="4" t="str">
        <f t="shared" si="63"/>
        <v>A</v>
      </c>
      <c r="BM5" s="3">
        <f t="shared" si="64"/>
        <v>4</v>
      </c>
      <c r="BN5" s="3">
        <v>2</v>
      </c>
      <c r="BO5" s="12">
        <f t="shared" si="65"/>
        <v>8</v>
      </c>
      <c r="BP5" s="19">
        <v>80.650000000000006</v>
      </c>
      <c r="BQ5" s="4" t="str">
        <f t="shared" si="66"/>
        <v>A</v>
      </c>
      <c r="BR5" s="3">
        <f t="shared" si="67"/>
        <v>4</v>
      </c>
      <c r="BS5" s="3">
        <v>2</v>
      </c>
      <c r="BT5" s="12">
        <f t="shared" si="68"/>
        <v>8</v>
      </c>
      <c r="BU5" s="5">
        <v>77</v>
      </c>
      <c r="BV5" s="4" t="str">
        <f t="shared" si="69"/>
        <v>B+</v>
      </c>
      <c r="BW5" s="3">
        <f t="shared" si="70"/>
        <v>3.5</v>
      </c>
      <c r="BX5" s="3">
        <v>2</v>
      </c>
      <c r="BY5" s="12">
        <f t="shared" si="71"/>
        <v>7</v>
      </c>
      <c r="BZ5" s="3">
        <v>78</v>
      </c>
      <c r="CA5" s="4" t="str">
        <f t="shared" si="14"/>
        <v>B+</v>
      </c>
      <c r="CB5" s="3">
        <f t="shared" si="15"/>
        <v>3.5</v>
      </c>
      <c r="CC5" s="3">
        <v>2</v>
      </c>
      <c r="CD5" s="12">
        <f t="shared" si="72"/>
        <v>7</v>
      </c>
      <c r="CE5" s="20">
        <v>78.400000000000006</v>
      </c>
      <c r="CF5" s="4" t="str">
        <f t="shared" si="16"/>
        <v>B+</v>
      </c>
      <c r="CG5" s="3">
        <f t="shared" si="73"/>
        <v>3.5</v>
      </c>
      <c r="CH5" s="3">
        <v>2</v>
      </c>
      <c r="CI5" s="12">
        <f t="shared" si="74"/>
        <v>7</v>
      </c>
      <c r="CJ5" s="6">
        <v>77.775000000000006</v>
      </c>
      <c r="CK5" s="4" t="str">
        <f t="shared" si="18"/>
        <v>B+</v>
      </c>
      <c r="CL5" s="3">
        <f t="shared" si="75"/>
        <v>3.5</v>
      </c>
      <c r="CM5" s="3">
        <v>2</v>
      </c>
      <c r="CN5" s="12">
        <f t="shared" si="76"/>
        <v>7</v>
      </c>
      <c r="CO5" s="7">
        <v>80</v>
      </c>
      <c r="CP5" s="4" t="str">
        <f t="shared" si="20"/>
        <v>A</v>
      </c>
      <c r="CQ5" s="3">
        <f t="shared" si="21"/>
        <v>4</v>
      </c>
      <c r="CR5" s="3">
        <v>2</v>
      </c>
      <c r="CS5" s="12">
        <f t="shared" si="77"/>
        <v>8</v>
      </c>
      <c r="CT5" s="15">
        <v>80.2</v>
      </c>
      <c r="CU5" s="4" t="str">
        <f t="shared" si="22"/>
        <v>A</v>
      </c>
      <c r="CV5" s="3">
        <f t="shared" si="78"/>
        <v>4</v>
      </c>
      <c r="CW5" s="3">
        <v>2</v>
      </c>
      <c r="CX5" s="12">
        <f t="shared" si="79"/>
        <v>8</v>
      </c>
      <c r="CY5" s="21">
        <v>80.2</v>
      </c>
      <c r="CZ5" s="4" t="str">
        <f t="shared" si="24"/>
        <v>A</v>
      </c>
      <c r="DA5" s="3">
        <f t="shared" si="80"/>
        <v>4</v>
      </c>
      <c r="DB5" s="3">
        <v>2</v>
      </c>
      <c r="DC5" s="12">
        <f t="shared" si="81"/>
        <v>8</v>
      </c>
      <c r="DD5" s="3">
        <v>79.599999999999994</v>
      </c>
      <c r="DE5" s="4" t="str">
        <f t="shared" si="26"/>
        <v>B+</v>
      </c>
      <c r="DF5" s="3">
        <f t="shared" si="82"/>
        <v>3.5</v>
      </c>
      <c r="DG5" s="3">
        <v>2</v>
      </c>
      <c r="DH5" s="12">
        <f t="shared" si="83"/>
        <v>7</v>
      </c>
      <c r="DI5" s="3">
        <v>81.8</v>
      </c>
      <c r="DJ5" s="4" t="str">
        <f t="shared" si="28"/>
        <v>A</v>
      </c>
      <c r="DK5" s="3">
        <f t="shared" si="84"/>
        <v>4</v>
      </c>
      <c r="DL5" s="3">
        <v>4</v>
      </c>
      <c r="DM5" s="12">
        <f t="shared" si="85"/>
        <v>16</v>
      </c>
      <c r="DN5" s="3">
        <v>85.5</v>
      </c>
      <c r="DO5" s="3">
        <v>24</v>
      </c>
      <c r="DP5" s="3">
        <v>91</v>
      </c>
      <c r="DQ5" s="3">
        <v>24</v>
      </c>
      <c r="DR5" s="3">
        <v>176.5</v>
      </c>
      <c r="DS5" s="3">
        <v>48</v>
      </c>
      <c r="DT5" s="9">
        <v>3.6770833333333335</v>
      </c>
      <c r="DU5" s="9">
        <v>3.6770833333333335</v>
      </c>
      <c r="DV5" s="12" t="str">
        <f t="shared" si="86"/>
        <v>Cum Laude</v>
      </c>
      <c r="DW5" s="12" t="str">
        <f t="shared" si="87"/>
        <v>Excellent</v>
      </c>
      <c r="DX5" s="22" t="s">
        <v>140</v>
      </c>
      <c r="DY5" s="26" t="s">
        <v>182</v>
      </c>
    </row>
    <row r="6" spans="1:129" ht="30" customHeight="1" x14ac:dyDescent="0.25">
      <c r="A6" s="3">
        <v>4</v>
      </c>
      <c r="B6" s="2" t="s">
        <v>29</v>
      </c>
      <c r="C6" s="2">
        <v>172312023</v>
      </c>
      <c r="D6" s="11" t="s">
        <v>88</v>
      </c>
      <c r="E6" s="13" t="s">
        <v>89</v>
      </c>
      <c r="F6" s="28" t="s">
        <v>218</v>
      </c>
      <c r="G6" s="27" t="s">
        <v>224</v>
      </c>
      <c r="H6" s="6">
        <v>80.666666666666671</v>
      </c>
      <c r="I6" s="4" t="str">
        <f t="shared" si="30"/>
        <v>A</v>
      </c>
      <c r="J6" s="3">
        <f t="shared" si="31"/>
        <v>4</v>
      </c>
      <c r="K6" s="3">
        <v>2</v>
      </c>
      <c r="L6" s="12">
        <f t="shared" si="32"/>
        <v>8</v>
      </c>
      <c r="M6" s="7">
        <v>85.566666666666663</v>
      </c>
      <c r="N6" s="4" t="str">
        <f t="shared" si="33"/>
        <v>A</v>
      </c>
      <c r="O6" s="3">
        <f t="shared" si="34"/>
        <v>4</v>
      </c>
      <c r="P6" s="3">
        <v>2</v>
      </c>
      <c r="Q6" s="12">
        <f t="shared" si="35"/>
        <v>8</v>
      </c>
      <c r="R6" s="15">
        <v>80.650000000000006</v>
      </c>
      <c r="S6" s="4" t="str">
        <f t="shared" si="36"/>
        <v>A</v>
      </c>
      <c r="T6" s="3">
        <f t="shared" si="37"/>
        <v>4</v>
      </c>
      <c r="U6" s="3">
        <v>2</v>
      </c>
      <c r="V6" s="12">
        <f t="shared" si="38"/>
        <v>8</v>
      </c>
      <c r="W6" s="8">
        <v>80</v>
      </c>
      <c r="X6" s="4" t="str">
        <f t="shared" si="39"/>
        <v>A</v>
      </c>
      <c r="Y6" s="3">
        <f t="shared" si="40"/>
        <v>4</v>
      </c>
      <c r="Z6" s="3">
        <v>3</v>
      </c>
      <c r="AA6" s="12">
        <f t="shared" si="41"/>
        <v>12</v>
      </c>
      <c r="AB6" s="3">
        <v>81.350000000000009</v>
      </c>
      <c r="AC6" s="4" t="str">
        <f t="shared" si="42"/>
        <v>A</v>
      </c>
      <c r="AD6" s="3">
        <f t="shared" si="43"/>
        <v>4</v>
      </c>
      <c r="AE6" s="3">
        <v>2</v>
      </c>
      <c r="AF6" s="12">
        <f t="shared" si="44"/>
        <v>8</v>
      </c>
      <c r="AG6" s="3">
        <v>85.566666666666663</v>
      </c>
      <c r="AH6" s="4" t="str">
        <f t="shared" si="45"/>
        <v>A</v>
      </c>
      <c r="AI6" s="3">
        <f t="shared" si="46"/>
        <v>4</v>
      </c>
      <c r="AJ6" s="3">
        <v>2</v>
      </c>
      <c r="AK6" s="12">
        <f t="shared" si="47"/>
        <v>8</v>
      </c>
      <c r="AL6" s="3">
        <v>80</v>
      </c>
      <c r="AM6" s="4" t="str">
        <f t="shared" si="48"/>
        <v>A</v>
      </c>
      <c r="AN6" s="3">
        <f t="shared" si="49"/>
        <v>4</v>
      </c>
      <c r="AO6" s="3">
        <v>2</v>
      </c>
      <c r="AP6" s="12">
        <f t="shared" si="50"/>
        <v>8</v>
      </c>
      <c r="AQ6" s="9">
        <v>81.3</v>
      </c>
      <c r="AR6" s="4" t="str">
        <f t="shared" si="51"/>
        <v>A</v>
      </c>
      <c r="AS6" s="3">
        <f t="shared" si="52"/>
        <v>4</v>
      </c>
      <c r="AT6" s="3">
        <v>2</v>
      </c>
      <c r="AU6" s="12">
        <f t="shared" si="53"/>
        <v>8</v>
      </c>
      <c r="AV6" s="8">
        <v>71</v>
      </c>
      <c r="AW6" s="4" t="str">
        <f t="shared" si="54"/>
        <v>B</v>
      </c>
      <c r="AX6" s="3">
        <f t="shared" si="55"/>
        <v>3</v>
      </c>
      <c r="AY6" s="3">
        <v>3</v>
      </c>
      <c r="AZ6" s="12">
        <f t="shared" si="56"/>
        <v>9</v>
      </c>
      <c r="BA6" s="3">
        <v>73.525000000000006</v>
      </c>
      <c r="BB6" s="4" t="str">
        <f t="shared" si="57"/>
        <v>B</v>
      </c>
      <c r="BC6" s="3">
        <f t="shared" si="58"/>
        <v>3</v>
      </c>
      <c r="BD6" s="3">
        <v>2</v>
      </c>
      <c r="BE6" s="12">
        <f t="shared" si="59"/>
        <v>6</v>
      </c>
      <c r="BF6" s="3">
        <v>80</v>
      </c>
      <c r="BG6" s="4" t="str">
        <f t="shared" si="60"/>
        <v>A</v>
      </c>
      <c r="BH6" s="3">
        <f t="shared" si="61"/>
        <v>4</v>
      </c>
      <c r="BI6" s="3">
        <v>2</v>
      </c>
      <c r="BJ6" s="12">
        <f t="shared" si="62"/>
        <v>8</v>
      </c>
      <c r="BK6" s="16">
        <v>78.26666666666668</v>
      </c>
      <c r="BL6" s="4" t="str">
        <f t="shared" si="63"/>
        <v>B+</v>
      </c>
      <c r="BM6" s="3">
        <f t="shared" si="64"/>
        <v>3.5</v>
      </c>
      <c r="BN6" s="3">
        <v>2</v>
      </c>
      <c r="BO6" s="12">
        <f t="shared" si="65"/>
        <v>7</v>
      </c>
      <c r="BP6" s="19">
        <v>80.45</v>
      </c>
      <c r="BQ6" s="4" t="str">
        <f t="shared" si="66"/>
        <v>A</v>
      </c>
      <c r="BR6" s="3">
        <f t="shared" si="67"/>
        <v>4</v>
      </c>
      <c r="BS6" s="3">
        <v>2</v>
      </c>
      <c r="BT6" s="12">
        <f t="shared" si="68"/>
        <v>8</v>
      </c>
      <c r="BU6" s="5">
        <v>73</v>
      </c>
      <c r="BV6" s="4" t="str">
        <f t="shared" si="69"/>
        <v>B</v>
      </c>
      <c r="BW6" s="3">
        <f t="shared" si="70"/>
        <v>3</v>
      </c>
      <c r="BX6" s="3">
        <v>2</v>
      </c>
      <c r="BY6" s="12">
        <f t="shared" si="71"/>
        <v>6</v>
      </c>
      <c r="BZ6" s="3">
        <v>79.400000000000006</v>
      </c>
      <c r="CA6" s="4" t="str">
        <f t="shared" si="14"/>
        <v>B+</v>
      </c>
      <c r="CB6" s="3">
        <f t="shared" si="15"/>
        <v>3.5</v>
      </c>
      <c r="CC6" s="3">
        <v>2</v>
      </c>
      <c r="CD6" s="12">
        <f t="shared" si="72"/>
        <v>7</v>
      </c>
      <c r="CE6" s="20">
        <v>78.400000000000006</v>
      </c>
      <c r="CF6" s="4" t="str">
        <f t="shared" si="16"/>
        <v>B+</v>
      </c>
      <c r="CG6" s="3">
        <f t="shared" si="73"/>
        <v>3.5</v>
      </c>
      <c r="CH6" s="3">
        <v>2</v>
      </c>
      <c r="CI6" s="12">
        <f t="shared" si="74"/>
        <v>7</v>
      </c>
      <c r="CJ6" s="6">
        <v>78.025000000000006</v>
      </c>
      <c r="CK6" s="4" t="str">
        <f t="shared" si="18"/>
        <v>B+</v>
      </c>
      <c r="CL6" s="3">
        <f t="shared" si="75"/>
        <v>3.5</v>
      </c>
      <c r="CM6" s="3">
        <v>2</v>
      </c>
      <c r="CN6" s="12">
        <f t="shared" si="76"/>
        <v>7</v>
      </c>
      <c r="CO6" s="7">
        <v>76.8</v>
      </c>
      <c r="CP6" s="4" t="str">
        <f t="shared" si="20"/>
        <v>B+</v>
      </c>
      <c r="CQ6" s="3">
        <f t="shared" si="21"/>
        <v>3.5</v>
      </c>
      <c r="CR6" s="3">
        <v>2</v>
      </c>
      <c r="CS6" s="12">
        <f t="shared" si="77"/>
        <v>7</v>
      </c>
      <c r="CT6" s="15">
        <v>80.599999999999994</v>
      </c>
      <c r="CU6" s="4" t="str">
        <f t="shared" si="22"/>
        <v>A</v>
      </c>
      <c r="CV6" s="3">
        <f t="shared" si="78"/>
        <v>4</v>
      </c>
      <c r="CW6" s="3">
        <v>2</v>
      </c>
      <c r="CX6" s="12">
        <f t="shared" si="79"/>
        <v>8</v>
      </c>
      <c r="CY6" s="21">
        <v>80.599999999999994</v>
      </c>
      <c r="CZ6" s="4" t="str">
        <f t="shared" si="24"/>
        <v>A</v>
      </c>
      <c r="DA6" s="3">
        <f t="shared" si="80"/>
        <v>4</v>
      </c>
      <c r="DB6" s="3">
        <v>2</v>
      </c>
      <c r="DC6" s="12">
        <f t="shared" si="81"/>
        <v>8</v>
      </c>
      <c r="DD6" s="3">
        <v>79.650000000000006</v>
      </c>
      <c r="DE6" s="4" t="str">
        <f t="shared" si="26"/>
        <v>B+</v>
      </c>
      <c r="DF6" s="3">
        <f t="shared" si="82"/>
        <v>3.5</v>
      </c>
      <c r="DG6" s="3">
        <v>2</v>
      </c>
      <c r="DH6" s="12">
        <f t="shared" si="83"/>
        <v>7</v>
      </c>
      <c r="DI6" s="3">
        <v>80.16</v>
      </c>
      <c r="DJ6" s="4" t="str">
        <f t="shared" si="28"/>
        <v>A</v>
      </c>
      <c r="DK6" s="3">
        <f t="shared" si="84"/>
        <v>4</v>
      </c>
      <c r="DL6" s="3">
        <v>4</v>
      </c>
      <c r="DM6" s="12">
        <f t="shared" si="85"/>
        <v>16</v>
      </c>
      <c r="DN6" s="3">
        <v>91</v>
      </c>
      <c r="DO6" s="3">
        <v>24</v>
      </c>
      <c r="DP6" s="3">
        <v>88</v>
      </c>
      <c r="DQ6" s="3">
        <v>24</v>
      </c>
      <c r="DR6" s="3">
        <v>179</v>
      </c>
      <c r="DS6" s="3">
        <v>48</v>
      </c>
      <c r="DT6" s="9">
        <v>3.7291666666666665</v>
      </c>
      <c r="DU6" s="9">
        <v>3.7291666666666665</v>
      </c>
      <c r="DV6" s="12" t="str">
        <f t="shared" si="86"/>
        <v>Cum Laude</v>
      </c>
      <c r="DW6" s="12" t="str">
        <f t="shared" si="87"/>
        <v>Excellent</v>
      </c>
      <c r="DX6" s="22" t="s">
        <v>164</v>
      </c>
      <c r="DY6" s="26" t="s">
        <v>183</v>
      </c>
    </row>
    <row r="7" spans="1:129" x14ac:dyDescent="0.25">
      <c r="A7" s="3">
        <v>5</v>
      </c>
      <c r="B7" s="2" t="s">
        <v>30</v>
      </c>
      <c r="C7" s="2">
        <v>172312024</v>
      </c>
      <c r="D7" s="12" t="s">
        <v>84</v>
      </c>
      <c r="E7" s="13" t="s">
        <v>128</v>
      </c>
      <c r="F7" s="28" t="s">
        <v>220</v>
      </c>
      <c r="G7" s="27" t="s">
        <v>257</v>
      </c>
      <c r="H7" s="6">
        <v>76.266666666666666</v>
      </c>
      <c r="I7" s="4" t="str">
        <f t="shared" si="30"/>
        <v>B+</v>
      </c>
      <c r="J7" s="3">
        <f t="shared" si="31"/>
        <v>3.5</v>
      </c>
      <c r="K7" s="3">
        <v>2</v>
      </c>
      <c r="L7" s="12">
        <f t="shared" si="32"/>
        <v>7</v>
      </c>
      <c r="M7" s="7">
        <v>82.366666666666674</v>
      </c>
      <c r="N7" s="4" t="str">
        <f t="shared" si="33"/>
        <v>A</v>
      </c>
      <c r="O7" s="3">
        <f t="shared" si="34"/>
        <v>4</v>
      </c>
      <c r="P7" s="3">
        <v>2</v>
      </c>
      <c r="Q7" s="12">
        <f t="shared" si="35"/>
        <v>8</v>
      </c>
      <c r="R7" s="15">
        <v>78.8</v>
      </c>
      <c r="S7" s="4" t="str">
        <f t="shared" si="36"/>
        <v>B+</v>
      </c>
      <c r="T7" s="3">
        <f t="shared" si="37"/>
        <v>3.5</v>
      </c>
      <c r="U7" s="3">
        <v>2</v>
      </c>
      <c r="V7" s="12">
        <f t="shared" si="38"/>
        <v>7</v>
      </c>
      <c r="W7" s="8">
        <v>80.599999999999994</v>
      </c>
      <c r="X7" s="4" t="str">
        <f t="shared" si="39"/>
        <v>A</v>
      </c>
      <c r="Y7" s="3">
        <f t="shared" si="40"/>
        <v>4</v>
      </c>
      <c r="Z7" s="3">
        <v>3</v>
      </c>
      <c r="AA7" s="12">
        <f t="shared" si="41"/>
        <v>12</v>
      </c>
      <c r="AB7" s="3">
        <v>76.350000000000009</v>
      </c>
      <c r="AC7" s="4" t="str">
        <f t="shared" si="42"/>
        <v>B+</v>
      </c>
      <c r="AD7" s="3">
        <f t="shared" si="43"/>
        <v>3.5</v>
      </c>
      <c r="AE7" s="3">
        <v>2</v>
      </c>
      <c r="AF7" s="12">
        <f t="shared" si="44"/>
        <v>7</v>
      </c>
      <c r="AG7" s="3">
        <v>82.366666666666674</v>
      </c>
      <c r="AH7" s="4" t="str">
        <f t="shared" si="45"/>
        <v>A</v>
      </c>
      <c r="AI7" s="3">
        <f t="shared" si="46"/>
        <v>4</v>
      </c>
      <c r="AJ7" s="3">
        <v>2</v>
      </c>
      <c r="AK7" s="12">
        <f t="shared" si="47"/>
        <v>8</v>
      </c>
      <c r="AL7" s="3">
        <v>77</v>
      </c>
      <c r="AM7" s="4" t="str">
        <f t="shared" si="48"/>
        <v>B+</v>
      </c>
      <c r="AN7" s="3">
        <f t="shared" si="49"/>
        <v>3.5</v>
      </c>
      <c r="AO7" s="3">
        <v>2</v>
      </c>
      <c r="AP7" s="12">
        <f t="shared" si="50"/>
        <v>7</v>
      </c>
      <c r="AQ7" s="9">
        <v>83.166666666666671</v>
      </c>
      <c r="AR7" s="4" t="str">
        <f t="shared" si="51"/>
        <v>A</v>
      </c>
      <c r="AS7" s="3">
        <f t="shared" si="52"/>
        <v>4</v>
      </c>
      <c r="AT7" s="3">
        <v>2</v>
      </c>
      <c r="AU7" s="12">
        <f t="shared" si="53"/>
        <v>8</v>
      </c>
      <c r="AV7" s="8">
        <v>71.599999999999994</v>
      </c>
      <c r="AW7" s="4" t="str">
        <f t="shared" si="54"/>
        <v>B</v>
      </c>
      <c r="AX7" s="3">
        <f t="shared" si="55"/>
        <v>3</v>
      </c>
      <c r="AY7" s="3">
        <v>3</v>
      </c>
      <c r="AZ7" s="12">
        <f t="shared" si="56"/>
        <v>9</v>
      </c>
      <c r="BA7" s="3">
        <v>72.2</v>
      </c>
      <c r="BB7" s="4" t="str">
        <f t="shared" si="57"/>
        <v>B</v>
      </c>
      <c r="BC7" s="3">
        <f t="shared" si="58"/>
        <v>3</v>
      </c>
      <c r="BD7" s="3">
        <v>2</v>
      </c>
      <c r="BE7" s="12">
        <f t="shared" si="59"/>
        <v>6</v>
      </c>
      <c r="BF7" s="3">
        <v>80.599999999999994</v>
      </c>
      <c r="BG7" s="4" t="str">
        <f t="shared" si="60"/>
        <v>A</v>
      </c>
      <c r="BH7" s="3">
        <f t="shared" si="61"/>
        <v>4</v>
      </c>
      <c r="BI7" s="3">
        <v>2</v>
      </c>
      <c r="BJ7" s="12">
        <f t="shared" si="62"/>
        <v>8</v>
      </c>
      <c r="BK7" s="16">
        <v>80.92</v>
      </c>
      <c r="BL7" s="4" t="str">
        <f t="shared" si="63"/>
        <v>A</v>
      </c>
      <c r="BM7" s="3">
        <f t="shared" si="64"/>
        <v>4</v>
      </c>
      <c r="BN7" s="3">
        <v>2</v>
      </c>
      <c r="BO7" s="12">
        <f t="shared" si="65"/>
        <v>8</v>
      </c>
      <c r="BP7" s="19">
        <v>80.55</v>
      </c>
      <c r="BQ7" s="4" t="str">
        <f t="shared" si="66"/>
        <v>A</v>
      </c>
      <c r="BR7" s="3">
        <f t="shared" si="67"/>
        <v>4</v>
      </c>
      <c r="BS7" s="3">
        <v>2</v>
      </c>
      <c r="BT7" s="12">
        <f t="shared" si="68"/>
        <v>8</v>
      </c>
      <c r="BU7" s="5">
        <v>75.2</v>
      </c>
      <c r="BV7" s="4" t="str">
        <f t="shared" si="69"/>
        <v>B+</v>
      </c>
      <c r="BW7" s="3">
        <f t="shared" si="70"/>
        <v>3.5</v>
      </c>
      <c r="BX7" s="3">
        <v>2</v>
      </c>
      <c r="BY7" s="12">
        <f t="shared" si="71"/>
        <v>7</v>
      </c>
      <c r="BZ7" s="3">
        <v>80.2</v>
      </c>
      <c r="CA7" s="4" t="str">
        <f t="shared" si="14"/>
        <v>A</v>
      </c>
      <c r="CB7" s="3">
        <f t="shared" si="15"/>
        <v>4</v>
      </c>
      <c r="CC7" s="3">
        <v>2</v>
      </c>
      <c r="CD7" s="12">
        <f t="shared" si="72"/>
        <v>8</v>
      </c>
      <c r="CE7" s="20">
        <v>78.400000000000006</v>
      </c>
      <c r="CF7" s="4" t="str">
        <f t="shared" si="16"/>
        <v>B+</v>
      </c>
      <c r="CG7" s="3">
        <f t="shared" si="73"/>
        <v>3.5</v>
      </c>
      <c r="CH7" s="3">
        <v>2</v>
      </c>
      <c r="CI7" s="12">
        <f t="shared" si="74"/>
        <v>7</v>
      </c>
      <c r="CJ7" s="6">
        <v>73.724999999999994</v>
      </c>
      <c r="CK7" s="4" t="str">
        <f t="shared" si="18"/>
        <v>B</v>
      </c>
      <c r="CL7" s="3">
        <f t="shared" si="75"/>
        <v>3</v>
      </c>
      <c r="CM7" s="3">
        <v>2</v>
      </c>
      <c r="CN7" s="12">
        <f t="shared" si="76"/>
        <v>6</v>
      </c>
      <c r="CO7" s="7">
        <v>78.400000000000006</v>
      </c>
      <c r="CP7" s="4" t="str">
        <f t="shared" si="20"/>
        <v>B+</v>
      </c>
      <c r="CQ7" s="3">
        <f t="shared" si="21"/>
        <v>3.5</v>
      </c>
      <c r="CR7" s="3">
        <v>2</v>
      </c>
      <c r="CS7" s="12">
        <f t="shared" si="77"/>
        <v>7</v>
      </c>
      <c r="CT7" s="15">
        <v>80.2</v>
      </c>
      <c r="CU7" s="4" t="str">
        <f t="shared" si="22"/>
        <v>A</v>
      </c>
      <c r="CV7" s="3">
        <f t="shared" si="78"/>
        <v>4</v>
      </c>
      <c r="CW7" s="3">
        <v>2</v>
      </c>
      <c r="CX7" s="12">
        <f t="shared" si="79"/>
        <v>8</v>
      </c>
      <c r="CY7" s="21">
        <v>80.2</v>
      </c>
      <c r="CZ7" s="4" t="str">
        <f t="shared" si="24"/>
        <v>A</v>
      </c>
      <c r="DA7" s="3">
        <f t="shared" si="80"/>
        <v>4</v>
      </c>
      <c r="DB7" s="3">
        <v>2</v>
      </c>
      <c r="DC7" s="12">
        <f t="shared" si="81"/>
        <v>8</v>
      </c>
      <c r="DD7" s="3">
        <v>78.400000000000006</v>
      </c>
      <c r="DE7" s="4" t="str">
        <f t="shared" si="26"/>
        <v>B+</v>
      </c>
      <c r="DF7" s="3">
        <f t="shared" si="82"/>
        <v>3.5</v>
      </c>
      <c r="DG7" s="3">
        <v>2</v>
      </c>
      <c r="DH7" s="12">
        <f t="shared" si="83"/>
        <v>7</v>
      </c>
      <c r="DI7" s="3">
        <v>78.5</v>
      </c>
      <c r="DJ7" s="4" t="str">
        <f t="shared" si="28"/>
        <v>B+</v>
      </c>
      <c r="DK7" s="3">
        <f t="shared" si="84"/>
        <v>3.5</v>
      </c>
      <c r="DL7" s="3">
        <v>4</v>
      </c>
      <c r="DM7" s="12">
        <f t="shared" si="85"/>
        <v>14</v>
      </c>
      <c r="DN7" s="3">
        <v>87</v>
      </c>
      <c r="DO7" s="3">
        <v>24</v>
      </c>
      <c r="DP7" s="3">
        <v>88</v>
      </c>
      <c r="DQ7" s="3">
        <v>24</v>
      </c>
      <c r="DR7" s="3">
        <v>175</v>
      </c>
      <c r="DS7" s="3">
        <v>48</v>
      </c>
      <c r="DT7" s="9">
        <v>3.6458333333333335</v>
      </c>
      <c r="DU7" s="9">
        <v>3.6458333333333335</v>
      </c>
      <c r="DV7" s="12" t="str">
        <f t="shared" si="86"/>
        <v>Cum Laude</v>
      </c>
      <c r="DW7" s="12" t="str">
        <f t="shared" si="87"/>
        <v>Excellent</v>
      </c>
      <c r="DX7" s="22" t="s">
        <v>165</v>
      </c>
      <c r="DY7" s="26" t="s">
        <v>184</v>
      </c>
    </row>
    <row r="8" spans="1:129" ht="15" customHeight="1" x14ac:dyDescent="0.25">
      <c r="A8" s="3">
        <v>6</v>
      </c>
      <c r="B8" s="2" t="s">
        <v>31</v>
      </c>
      <c r="C8" s="2">
        <v>172312025</v>
      </c>
      <c r="D8" s="11" t="s">
        <v>131</v>
      </c>
      <c r="E8" s="13" t="s">
        <v>132</v>
      </c>
      <c r="F8" s="28" t="s">
        <v>219</v>
      </c>
      <c r="G8" s="27" t="s">
        <v>255</v>
      </c>
      <c r="H8" s="6">
        <v>76.333333333333329</v>
      </c>
      <c r="I8" s="4" t="str">
        <f t="shared" si="30"/>
        <v>B+</v>
      </c>
      <c r="J8" s="3">
        <f t="shared" si="31"/>
        <v>3.5</v>
      </c>
      <c r="K8" s="3">
        <v>2</v>
      </c>
      <c r="L8" s="12">
        <f t="shared" si="32"/>
        <v>7</v>
      </c>
      <c r="M8" s="7">
        <v>81.7</v>
      </c>
      <c r="N8" s="4" t="str">
        <f t="shared" si="33"/>
        <v>A</v>
      </c>
      <c r="O8" s="3">
        <f t="shared" si="34"/>
        <v>4</v>
      </c>
      <c r="P8" s="3">
        <v>2</v>
      </c>
      <c r="Q8" s="12">
        <f t="shared" si="35"/>
        <v>8</v>
      </c>
      <c r="R8" s="14">
        <v>78.800000000000011</v>
      </c>
      <c r="S8" s="4" t="str">
        <f t="shared" si="36"/>
        <v>B+</v>
      </c>
      <c r="T8" s="3">
        <f t="shared" si="37"/>
        <v>3.5</v>
      </c>
      <c r="U8" s="3">
        <v>2</v>
      </c>
      <c r="V8" s="12">
        <f t="shared" si="38"/>
        <v>7</v>
      </c>
      <c r="W8" s="9">
        <v>80</v>
      </c>
      <c r="X8" s="4" t="str">
        <f t="shared" si="39"/>
        <v>A</v>
      </c>
      <c r="Y8" s="3">
        <f t="shared" si="40"/>
        <v>4</v>
      </c>
      <c r="Z8" s="3">
        <v>3</v>
      </c>
      <c r="AA8" s="12">
        <f t="shared" si="41"/>
        <v>12</v>
      </c>
      <c r="AB8" s="3">
        <v>85.850000000000009</v>
      </c>
      <c r="AC8" s="4" t="str">
        <f t="shared" si="42"/>
        <v>A</v>
      </c>
      <c r="AD8" s="3">
        <f t="shared" si="43"/>
        <v>4</v>
      </c>
      <c r="AE8" s="3">
        <v>2</v>
      </c>
      <c r="AF8" s="12">
        <f t="shared" si="44"/>
        <v>8</v>
      </c>
      <c r="AG8" s="3">
        <v>81.7</v>
      </c>
      <c r="AH8" s="4" t="str">
        <f t="shared" si="45"/>
        <v>A</v>
      </c>
      <c r="AI8" s="3">
        <f t="shared" si="46"/>
        <v>4</v>
      </c>
      <c r="AJ8" s="3">
        <v>2</v>
      </c>
      <c r="AK8" s="12">
        <f t="shared" si="47"/>
        <v>8</v>
      </c>
      <c r="AL8" s="3">
        <v>80.599999999999994</v>
      </c>
      <c r="AM8" s="4" t="str">
        <f t="shared" si="48"/>
        <v>A</v>
      </c>
      <c r="AN8" s="3">
        <f t="shared" si="49"/>
        <v>4</v>
      </c>
      <c r="AO8" s="3">
        <v>2</v>
      </c>
      <c r="AP8" s="12">
        <f t="shared" si="50"/>
        <v>8</v>
      </c>
      <c r="AQ8" s="9">
        <v>85.166666666666671</v>
      </c>
      <c r="AR8" s="4" t="str">
        <f t="shared" si="51"/>
        <v>A</v>
      </c>
      <c r="AS8" s="3">
        <f t="shared" si="52"/>
        <v>4</v>
      </c>
      <c r="AT8" s="3">
        <v>2</v>
      </c>
      <c r="AU8" s="12">
        <f t="shared" si="53"/>
        <v>8</v>
      </c>
      <c r="AV8" s="8">
        <v>73.599999999999994</v>
      </c>
      <c r="AW8" s="4" t="str">
        <f t="shared" si="54"/>
        <v>B</v>
      </c>
      <c r="AX8" s="3">
        <f t="shared" si="55"/>
        <v>3</v>
      </c>
      <c r="AY8" s="3">
        <v>3</v>
      </c>
      <c r="AZ8" s="12">
        <f t="shared" si="56"/>
        <v>9</v>
      </c>
      <c r="BA8" s="3">
        <v>76.724999999999994</v>
      </c>
      <c r="BB8" s="4" t="str">
        <f t="shared" si="57"/>
        <v>B+</v>
      </c>
      <c r="BC8" s="3">
        <f t="shared" si="58"/>
        <v>3.5</v>
      </c>
      <c r="BD8" s="3">
        <v>2</v>
      </c>
      <c r="BE8" s="12">
        <f t="shared" si="59"/>
        <v>7</v>
      </c>
      <c r="BF8" s="3">
        <v>80.599999999999994</v>
      </c>
      <c r="BG8" s="4" t="str">
        <f t="shared" si="60"/>
        <v>A</v>
      </c>
      <c r="BH8" s="3">
        <f t="shared" si="61"/>
        <v>4</v>
      </c>
      <c r="BI8" s="3">
        <v>2</v>
      </c>
      <c r="BJ8" s="12">
        <f t="shared" si="62"/>
        <v>8</v>
      </c>
      <c r="BK8" s="16">
        <v>80.92</v>
      </c>
      <c r="BL8" s="4" t="str">
        <f t="shared" si="63"/>
        <v>A</v>
      </c>
      <c r="BM8" s="3">
        <f t="shared" si="64"/>
        <v>4</v>
      </c>
      <c r="BN8" s="17">
        <v>2</v>
      </c>
      <c r="BO8" s="12">
        <f t="shared" si="65"/>
        <v>8</v>
      </c>
      <c r="BP8" s="19">
        <v>79.75</v>
      </c>
      <c r="BQ8" s="4" t="str">
        <f t="shared" si="66"/>
        <v>B+</v>
      </c>
      <c r="BR8" s="3">
        <f t="shared" si="67"/>
        <v>3.5</v>
      </c>
      <c r="BS8" s="3">
        <v>2</v>
      </c>
      <c r="BT8" s="12">
        <f t="shared" si="68"/>
        <v>7</v>
      </c>
      <c r="BU8" s="5">
        <v>70</v>
      </c>
      <c r="BV8" s="4" t="str">
        <f t="shared" si="69"/>
        <v>B</v>
      </c>
      <c r="BW8" s="3">
        <f t="shared" si="70"/>
        <v>3</v>
      </c>
      <c r="BX8" s="3">
        <v>2</v>
      </c>
      <c r="BY8" s="12">
        <f t="shared" si="71"/>
        <v>6</v>
      </c>
      <c r="BZ8" s="3">
        <v>78.599999999999994</v>
      </c>
      <c r="CA8" s="4" t="str">
        <f t="shared" si="14"/>
        <v>B+</v>
      </c>
      <c r="CB8" s="3">
        <f t="shared" si="15"/>
        <v>3.5</v>
      </c>
      <c r="CC8" s="3">
        <v>2</v>
      </c>
      <c r="CD8" s="12">
        <f t="shared" si="72"/>
        <v>7</v>
      </c>
      <c r="CE8" s="20">
        <v>81.199999999999989</v>
      </c>
      <c r="CF8" s="4" t="str">
        <f t="shared" si="16"/>
        <v>A</v>
      </c>
      <c r="CG8" s="3">
        <f t="shared" si="73"/>
        <v>4</v>
      </c>
      <c r="CH8" s="3">
        <v>2</v>
      </c>
      <c r="CI8" s="12">
        <f t="shared" si="74"/>
        <v>8</v>
      </c>
      <c r="CJ8" s="6">
        <v>74.125</v>
      </c>
      <c r="CK8" s="4" t="str">
        <f t="shared" si="18"/>
        <v>B</v>
      </c>
      <c r="CL8" s="3">
        <f t="shared" si="75"/>
        <v>3</v>
      </c>
      <c r="CM8" s="3">
        <v>2</v>
      </c>
      <c r="CN8" s="12">
        <f t="shared" si="76"/>
        <v>6</v>
      </c>
      <c r="CO8" s="7">
        <v>80</v>
      </c>
      <c r="CP8" s="4" t="str">
        <f t="shared" si="20"/>
        <v>A</v>
      </c>
      <c r="CQ8" s="3">
        <f t="shared" si="21"/>
        <v>4</v>
      </c>
      <c r="CR8" s="3">
        <v>2</v>
      </c>
      <c r="CS8" s="12">
        <f t="shared" si="77"/>
        <v>8</v>
      </c>
      <c r="CT8" s="15">
        <v>80.2</v>
      </c>
      <c r="CU8" s="4" t="str">
        <f t="shared" si="22"/>
        <v>A</v>
      </c>
      <c r="CV8" s="3">
        <f t="shared" si="78"/>
        <v>4</v>
      </c>
      <c r="CW8" s="3">
        <v>2</v>
      </c>
      <c r="CX8" s="12">
        <f t="shared" si="79"/>
        <v>8</v>
      </c>
      <c r="CY8" s="21">
        <v>80.2</v>
      </c>
      <c r="CZ8" s="4" t="str">
        <f t="shared" si="24"/>
        <v>A</v>
      </c>
      <c r="DA8" s="3">
        <f t="shared" si="80"/>
        <v>4</v>
      </c>
      <c r="DB8" s="3">
        <v>2</v>
      </c>
      <c r="DC8" s="12">
        <f t="shared" si="81"/>
        <v>8</v>
      </c>
      <c r="DD8" s="3">
        <v>78.2</v>
      </c>
      <c r="DE8" s="4" t="str">
        <f t="shared" si="26"/>
        <v>B+</v>
      </c>
      <c r="DF8" s="3">
        <f t="shared" si="82"/>
        <v>3.5</v>
      </c>
      <c r="DG8" s="3">
        <v>2</v>
      </c>
      <c r="DH8" s="12">
        <f t="shared" si="83"/>
        <v>7</v>
      </c>
      <c r="DI8" s="3">
        <v>70</v>
      </c>
      <c r="DJ8" s="4" t="str">
        <f t="shared" si="28"/>
        <v>B</v>
      </c>
      <c r="DK8" s="3">
        <f t="shared" si="84"/>
        <v>3</v>
      </c>
      <c r="DL8" s="3">
        <v>4</v>
      </c>
      <c r="DM8" s="12">
        <f t="shared" si="85"/>
        <v>12</v>
      </c>
      <c r="DN8" s="3">
        <v>90</v>
      </c>
      <c r="DO8" s="3">
        <v>24</v>
      </c>
      <c r="DP8" s="3">
        <v>85</v>
      </c>
      <c r="DQ8" s="3">
        <v>24</v>
      </c>
      <c r="DR8" s="3">
        <v>175</v>
      </c>
      <c r="DS8" s="3">
        <v>48</v>
      </c>
      <c r="DT8" s="9">
        <v>3.6458333333333335</v>
      </c>
      <c r="DU8" s="9">
        <v>3.6458333333333335</v>
      </c>
      <c r="DV8" s="12" t="str">
        <f t="shared" si="86"/>
        <v>Cum Laude</v>
      </c>
      <c r="DW8" s="12" t="str">
        <f t="shared" si="87"/>
        <v>Excellent</v>
      </c>
      <c r="DX8" s="22" t="s">
        <v>166</v>
      </c>
      <c r="DY8" s="26" t="s">
        <v>185</v>
      </c>
    </row>
    <row r="9" spans="1:129" ht="30" x14ac:dyDescent="0.25">
      <c r="A9" s="3">
        <v>7</v>
      </c>
      <c r="B9" s="2" t="s">
        <v>32</v>
      </c>
      <c r="C9" s="2">
        <v>172312026</v>
      </c>
      <c r="D9" s="11" t="s">
        <v>88</v>
      </c>
      <c r="E9" s="13" t="s">
        <v>90</v>
      </c>
      <c r="F9" s="28" t="s">
        <v>218</v>
      </c>
      <c r="G9" s="27" t="s">
        <v>225</v>
      </c>
      <c r="H9" s="6">
        <v>76.333333333333329</v>
      </c>
      <c r="I9" s="4" t="str">
        <f t="shared" si="30"/>
        <v>B+</v>
      </c>
      <c r="J9" s="3">
        <f t="shared" si="31"/>
        <v>3.5</v>
      </c>
      <c r="K9" s="3">
        <v>2</v>
      </c>
      <c r="L9" s="12">
        <f t="shared" si="32"/>
        <v>7</v>
      </c>
      <c r="M9" s="7">
        <v>81.033333333333331</v>
      </c>
      <c r="N9" s="4" t="str">
        <f t="shared" si="33"/>
        <v>A</v>
      </c>
      <c r="O9" s="3">
        <f t="shared" si="34"/>
        <v>4</v>
      </c>
      <c r="P9" s="3">
        <v>2</v>
      </c>
      <c r="Q9" s="12">
        <f t="shared" si="35"/>
        <v>8</v>
      </c>
      <c r="R9" s="14">
        <v>78.599999999999994</v>
      </c>
      <c r="S9" s="4" t="str">
        <f t="shared" si="36"/>
        <v>B+</v>
      </c>
      <c r="T9" s="3">
        <f t="shared" si="37"/>
        <v>3.5</v>
      </c>
      <c r="U9" s="3">
        <v>2</v>
      </c>
      <c r="V9" s="12">
        <f t="shared" si="38"/>
        <v>7</v>
      </c>
      <c r="W9" s="9">
        <v>80.599999999999994</v>
      </c>
      <c r="X9" s="4" t="str">
        <f t="shared" si="39"/>
        <v>A</v>
      </c>
      <c r="Y9" s="3">
        <f t="shared" si="40"/>
        <v>4</v>
      </c>
      <c r="Z9" s="3">
        <v>3</v>
      </c>
      <c r="AA9" s="12">
        <f t="shared" si="41"/>
        <v>12</v>
      </c>
      <c r="AB9" s="3">
        <v>71.150000000000006</v>
      </c>
      <c r="AC9" s="4" t="str">
        <f t="shared" si="42"/>
        <v>B</v>
      </c>
      <c r="AD9" s="3">
        <f t="shared" si="43"/>
        <v>3</v>
      </c>
      <c r="AE9" s="3">
        <v>2</v>
      </c>
      <c r="AF9" s="12">
        <f t="shared" si="44"/>
        <v>6</v>
      </c>
      <c r="AG9" s="3">
        <v>81.033333333333331</v>
      </c>
      <c r="AH9" s="4" t="str">
        <f t="shared" si="45"/>
        <v>A</v>
      </c>
      <c r="AI9" s="3">
        <f t="shared" si="46"/>
        <v>4</v>
      </c>
      <c r="AJ9" s="3">
        <v>2</v>
      </c>
      <c r="AK9" s="12">
        <f t="shared" si="47"/>
        <v>8</v>
      </c>
      <c r="AL9" s="3">
        <v>80.599999999999994</v>
      </c>
      <c r="AM9" s="4" t="str">
        <f t="shared" si="48"/>
        <v>A</v>
      </c>
      <c r="AN9" s="3">
        <f t="shared" si="49"/>
        <v>4</v>
      </c>
      <c r="AO9" s="3">
        <v>2</v>
      </c>
      <c r="AP9" s="12">
        <f t="shared" si="50"/>
        <v>8</v>
      </c>
      <c r="AQ9" s="9">
        <v>83.433333333333337</v>
      </c>
      <c r="AR9" s="4" t="str">
        <f t="shared" si="51"/>
        <v>A</v>
      </c>
      <c r="AS9" s="3">
        <f t="shared" si="52"/>
        <v>4</v>
      </c>
      <c r="AT9" s="3">
        <v>2</v>
      </c>
      <c r="AU9" s="12">
        <f t="shared" si="53"/>
        <v>8</v>
      </c>
      <c r="AV9" s="8">
        <v>66.400000000000006</v>
      </c>
      <c r="AW9" s="4" t="str">
        <f t="shared" si="54"/>
        <v>C+</v>
      </c>
      <c r="AX9" s="3">
        <f t="shared" si="55"/>
        <v>2.5</v>
      </c>
      <c r="AY9" s="3">
        <v>3</v>
      </c>
      <c r="AZ9" s="12">
        <f t="shared" si="56"/>
        <v>7.5</v>
      </c>
      <c r="BA9" s="3">
        <v>65.924999999999997</v>
      </c>
      <c r="BB9" s="4" t="str">
        <f t="shared" si="57"/>
        <v>C+</v>
      </c>
      <c r="BC9" s="3">
        <f t="shared" si="58"/>
        <v>2.5</v>
      </c>
      <c r="BD9" s="3">
        <v>2</v>
      </c>
      <c r="BE9" s="12">
        <f t="shared" si="59"/>
        <v>5</v>
      </c>
      <c r="BF9" s="3">
        <v>80.599999999999994</v>
      </c>
      <c r="BG9" s="4" t="str">
        <f t="shared" si="60"/>
        <v>A</v>
      </c>
      <c r="BH9" s="3">
        <f t="shared" si="61"/>
        <v>4</v>
      </c>
      <c r="BI9" s="3">
        <v>2</v>
      </c>
      <c r="BJ9" s="12">
        <f t="shared" si="62"/>
        <v>8</v>
      </c>
      <c r="BK9" s="16">
        <v>82.226666666666659</v>
      </c>
      <c r="BL9" s="4" t="str">
        <f t="shared" si="63"/>
        <v>A</v>
      </c>
      <c r="BM9" s="3">
        <f t="shared" si="64"/>
        <v>4</v>
      </c>
      <c r="BN9" s="17">
        <v>2</v>
      </c>
      <c r="BO9" s="12">
        <f t="shared" si="65"/>
        <v>8</v>
      </c>
      <c r="BP9" s="19">
        <v>81.150000000000006</v>
      </c>
      <c r="BQ9" s="4" t="str">
        <f t="shared" si="66"/>
        <v>A</v>
      </c>
      <c r="BR9" s="3">
        <f t="shared" si="67"/>
        <v>4</v>
      </c>
      <c r="BS9" s="3">
        <v>2</v>
      </c>
      <c r="BT9" s="12">
        <f t="shared" si="68"/>
        <v>8</v>
      </c>
      <c r="BU9" s="5">
        <v>71.599999999999994</v>
      </c>
      <c r="BV9" s="4" t="str">
        <f t="shared" si="69"/>
        <v>B</v>
      </c>
      <c r="BW9" s="3">
        <f t="shared" si="70"/>
        <v>3</v>
      </c>
      <c r="BX9" s="3">
        <v>2</v>
      </c>
      <c r="BY9" s="12">
        <f t="shared" si="71"/>
        <v>6</v>
      </c>
      <c r="BZ9" s="3">
        <v>80.599999999999994</v>
      </c>
      <c r="CA9" s="4" t="str">
        <f t="shared" si="14"/>
        <v>A</v>
      </c>
      <c r="CB9" s="3">
        <f t="shared" si="15"/>
        <v>4</v>
      </c>
      <c r="CC9" s="3">
        <v>2</v>
      </c>
      <c r="CD9" s="12">
        <f t="shared" si="72"/>
        <v>8</v>
      </c>
      <c r="CE9" s="20">
        <v>76.8</v>
      </c>
      <c r="CF9" s="4" t="str">
        <f t="shared" si="16"/>
        <v>B+</v>
      </c>
      <c r="CG9" s="3">
        <f t="shared" si="73"/>
        <v>3.5</v>
      </c>
      <c r="CH9" s="3">
        <v>2</v>
      </c>
      <c r="CI9" s="12">
        <f t="shared" si="74"/>
        <v>7</v>
      </c>
      <c r="CJ9" s="6">
        <v>76.724999999999994</v>
      </c>
      <c r="CK9" s="4" t="str">
        <f t="shared" si="18"/>
        <v>B+</v>
      </c>
      <c r="CL9" s="3">
        <f t="shared" si="75"/>
        <v>3.5</v>
      </c>
      <c r="CM9" s="3">
        <v>2</v>
      </c>
      <c r="CN9" s="12">
        <f t="shared" si="76"/>
        <v>7</v>
      </c>
      <c r="CO9" s="7">
        <v>76.8</v>
      </c>
      <c r="CP9" s="4" t="str">
        <f t="shared" si="20"/>
        <v>B+</v>
      </c>
      <c r="CQ9" s="3">
        <f t="shared" si="21"/>
        <v>3.5</v>
      </c>
      <c r="CR9" s="3">
        <v>2</v>
      </c>
      <c r="CS9" s="12">
        <f t="shared" si="77"/>
        <v>7</v>
      </c>
      <c r="CT9" s="15">
        <v>80</v>
      </c>
      <c r="CU9" s="4" t="str">
        <f t="shared" si="22"/>
        <v>A</v>
      </c>
      <c r="CV9" s="3">
        <f t="shared" si="78"/>
        <v>4</v>
      </c>
      <c r="CW9" s="3">
        <v>2</v>
      </c>
      <c r="CX9" s="12">
        <f t="shared" si="79"/>
        <v>8</v>
      </c>
      <c r="CY9" s="21">
        <v>80</v>
      </c>
      <c r="CZ9" s="4" t="str">
        <f t="shared" si="24"/>
        <v>A</v>
      </c>
      <c r="DA9" s="3">
        <f t="shared" si="80"/>
        <v>4</v>
      </c>
      <c r="DB9" s="3">
        <v>2</v>
      </c>
      <c r="DC9" s="12">
        <f t="shared" si="81"/>
        <v>8</v>
      </c>
      <c r="DD9" s="3">
        <v>81.25</v>
      </c>
      <c r="DE9" s="4" t="str">
        <f t="shared" si="26"/>
        <v>A</v>
      </c>
      <c r="DF9" s="3">
        <f t="shared" si="82"/>
        <v>4</v>
      </c>
      <c r="DG9" s="3">
        <v>2</v>
      </c>
      <c r="DH9" s="12">
        <f t="shared" si="83"/>
        <v>8</v>
      </c>
      <c r="DI9" s="3">
        <v>80.67</v>
      </c>
      <c r="DJ9" s="4" t="str">
        <f t="shared" si="28"/>
        <v>A</v>
      </c>
      <c r="DK9" s="3">
        <f t="shared" si="84"/>
        <v>4</v>
      </c>
      <c r="DL9" s="3">
        <v>4</v>
      </c>
      <c r="DM9" s="12">
        <f t="shared" si="85"/>
        <v>16</v>
      </c>
      <c r="DN9" s="3">
        <v>84.5</v>
      </c>
      <c r="DO9" s="3">
        <v>24</v>
      </c>
      <c r="DP9" s="3">
        <v>91</v>
      </c>
      <c r="DQ9" s="3">
        <v>24</v>
      </c>
      <c r="DR9" s="3">
        <v>175.5</v>
      </c>
      <c r="DS9" s="3">
        <v>48</v>
      </c>
      <c r="DT9" s="9">
        <v>3.65625</v>
      </c>
      <c r="DU9" s="9">
        <v>3.65625</v>
      </c>
      <c r="DV9" s="12" t="str">
        <f t="shared" si="86"/>
        <v>Cum Laude</v>
      </c>
      <c r="DW9" s="12" t="str">
        <f t="shared" si="87"/>
        <v>Excellent</v>
      </c>
      <c r="DX9" s="22" t="s">
        <v>158</v>
      </c>
      <c r="DY9" s="26" t="s">
        <v>186</v>
      </c>
    </row>
    <row r="10" spans="1:129" ht="15" customHeight="1" x14ac:dyDescent="0.25">
      <c r="A10" s="29">
        <v>8</v>
      </c>
      <c r="B10" s="2" t="s">
        <v>33</v>
      </c>
      <c r="C10" s="2">
        <v>172312027</v>
      </c>
      <c r="D10" s="11" t="s">
        <v>91</v>
      </c>
      <c r="E10" s="13" t="s">
        <v>92</v>
      </c>
      <c r="F10" s="28" t="s">
        <v>218</v>
      </c>
      <c r="G10" s="27" t="s">
        <v>226</v>
      </c>
      <c r="H10" s="6">
        <v>80.2</v>
      </c>
      <c r="I10" s="4" t="str">
        <f t="shared" si="30"/>
        <v>A</v>
      </c>
      <c r="J10" s="3">
        <f t="shared" si="31"/>
        <v>4</v>
      </c>
      <c r="K10" s="3">
        <v>2</v>
      </c>
      <c r="L10" s="12">
        <f t="shared" si="32"/>
        <v>8</v>
      </c>
      <c r="M10" s="7">
        <v>82.1</v>
      </c>
      <c r="N10" s="4" t="str">
        <f t="shared" si="33"/>
        <v>A</v>
      </c>
      <c r="O10" s="3">
        <f t="shared" si="34"/>
        <v>4</v>
      </c>
      <c r="P10" s="3">
        <v>2</v>
      </c>
      <c r="Q10" s="12">
        <f t="shared" si="35"/>
        <v>8</v>
      </c>
      <c r="R10" s="14">
        <v>78.400000000000006</v>
      </c>
      <c r="S10" s="4" t="str">
        <f t="shared" si="36"/>
        <v>B+</v>
      </c>
      <c r="T10" s="3">
        <f t="shared" si="37"/>
        <v>3.5</v>
      </c>
      <c r="U10" s="3">
        <v>2</v>
      </c>
      <c r="V10" s="12">
        <f t="shared" si="38"/>
        <v>7</v>
      </c>
      <c r="W10" s="9">
        <v>77</v>
      </c>
      <c r="X10" s="4" t="str">
        <f t="shared" si="39"/>
        <v>B+</v>
      </c>
      <c r="Y10" s="3">
        <f t="shared" si="40"/>
        <v>3.5</v>
      </c>
      <c r="Z10" s="3">
        <v>3</v>
      </c>
      <c r="AA10" s="12">
        <f t="shared" si="41"/>
        <v>10.5</v>
      </c>
      <c r="AB10" s="3">
        <v>82.000000000000014</v>
      </c>
      <c r="AC10" s="4" t="str">
        <f t="shared" si="42"/>
        <v>A</v>
      </c>
      <c r="AD10" s="3">
        <f t="shared" si="43"/>
        <v>4</v>
      </c>
      <c r="AE10" s="3">
        <v>2</v>
      </c>
      <c r="AF10" s="12">
        <f t="shared" si="44"/>
        <v>8</v>
      </c>
      <c r="AG10" s="3">
        <v>82.1</v>
      </c>
      <c r="AH10" s="4" t="str">
        <f t="shared" si="45"/>
        <v>A</v>
      </c>
      <c r="AI10" s="3">
        <f t="shared" si="46"/>
        <v>4</v>
      </c>
      <c r="AJ10" s="3">
        <v>2</v>
      </c>
      <c r="AK10" s="12">
        <f t="shared" si="47"/>
        <v>8</v>
      </c>
      <c r="AL10" s="3">
        <v>77</v>
      </c>
      <c r="AM10" s="4" t="str">
        <f t="shared" si="48"/>
        <v>B+</v>
      </c>
      <c r="AN10" s="3">
        <f t="shared" si="49"/>
        <v>3.5</v>
      </c>
      <c r="AO10" s="3">
        <v>2</v>
      </c>
      <c r="AP10" s="12">
        <f t="shared" si="50"/>
        <v>7</v>
      </c>
      <c r="AQ10" s="9">
        <v>83.3</v>
      </c>
      <c r="AR10" s="4" t="str">
        <f t="shared" si="51"/>
        <v>A</v>
      </c>
      <c r="AS10" s="3">
        <f t="shared" si="52"/>
        <v>4</v>
      </c>
      <c r="AT10" s="3">
        <v>2</v>
      </c>
      <c r="AU10" s="12">
        <f t="shared" si="53"/>
        <v>8</v>
      </c>
      <c r="AV10" s="8">
        <v>69.599999999999994</v>
      </c>
      <c r="AW10" s="4" t="str">
        <f t="shared" si="54"/>
        <v>C+</v>
      </c>
      <c r="AX10" s="3">
        <f t="shared" si="55"/>
        <v>2.5</v>
      </c>
      <c r="AY10" s="3">
        <v>3</v>
      </c>
      <c r="AZ10" s="12">
        <f t="shared" si="56"/>
        <v>7.5</v>
      </c>
      <c r="BA10" s="3">
        <v>73.924999999999997</v>
      </c>
      <c r="BB10" s="4" t="str">
        <f t="shared" si="57"/>
        <v>B</v>
      </c>
      <c r="BC10" s="3">
        <f t="shared" si="58"/>
        <v>3</v>
      </c>
      <c r="BD10" s="3">
        <v>2</v>
      </c>
      <c r="BE10" s="12">
        <f t="shared" si="59"/>
        <v>6</v>
      </c>
      <c r="BF10" s="3">
        <v>78.2</v>
      </c>
      <c r="BG10" s="4" t="str">
        <f t="shared" si="60"/>
        <v>B+</v>
      </c>
      <c r="BH10" s="3">
        <f t="shared" si="61"/>
        <v>3.5</v>
      </c>
      <c r="BI10" s="3">
        <v>2</v>
      </c>
      <c r="BJ10" s="12">
        <f t="shared" si="62"/>
        <v>7</v>
      </c>
      <c r="BK10" s="16">
        <v>78.12</v>
      </c>
      <c r="BL10" s="4" t="str">
        <f t="shared" si="63"/>
        <v>B+</v>
      </c>
      <c r="BM10" s="3">
        <f t="shared" si="64"/>
        <v>3.5</v>
      </c>
      <c r="BN10" s="3">
        <v>2</v>
      </c>
      <c r="BO10" s="12">
        <f t="shared" si="65"/>
        <v>7</v>
      </c>
      <c r="BP10" s="19">
        <v>78.45</v>
      </c>
      <c r="BQ10" s="4" t="str">
        <f t="shared" si="66"/>
        <v>B+</v>
      </c>
      <c r="BR10" s="3">
        <f t="shared" si="67"/>
        <v>3.5</v>
      </c>
      <c r="BS10" s="3">
        <v>2</v>
      </c>
      <c r="BT10" s="12">
        <f t="shared" si="68"/>
        <v>7</v>
      </c>
      <c r="BU10" s="5">
        <v>75.400000000000006</v>
      </c>
      <c r="BV10" s="4" t="str">
        <f t="shared" si="69"/>
        <v>B+</v>
      </c>
      <c r="BW10" s="3">
        <f t="shared" si="70"/>
        <v>3.5</v>
      </c>
      <c r="BX10" s="3">
        <v>2</v>
      </c>
      <c r="BY10" s="12">
        <f t="shared" si="71"/>
        <v>7</v>
      </c>
      <c r="BZ10" s="3">
        <v>79.400000000000006</v>
      </c>
      <c r="CA10" s="4" t="str">
        <f t="shared" si="14"/>
        <v>B+</v>
      </c>
      <c r="CB10" s="3">
        <f t="shared" si="15"/>
        <v>3.5</v>
      </c>
      <c r="CC10" s="3">
        <v>2</v>
      </c>
      <c r="CD10" s="12">
        <f t="shared" si="72"/>
        <v>7</v>
      </c>
      <c r="CE10" s="20">
        <v>75.599999999999994</v>
      </c>
      <c r="CF10" s="4" t="str">
        <f t="shared" si="16"/>
        <v>B+</v>
      </c>
      <c r="CG10" s="3">
        <f t="shared" si="73"/>
        <v>3.5</v>
      </c>
      <c r="CH10" s="3">
        <v>2</v>
      </c>
      <c r="CI10" s="12">
        <f t="shared" si="74"/>
        <v>7</v>
      </c>
      <c r="CJ10" s="6">
        <v>76.125</v>
      </c>
      <c r="CK10" s="4" t="str">
        <f t="shared" si="18"/>
        <v>B+</v>
      </c>
      <c r="CL10" s="3">
        <f t="shared" si="75"/>
        <v>3.5</v>
      </c>
      <c r="CM10" s="3">
        <v>2</v>
      </c>
      <c r="CN10" s="12">
        <f t="shared" si="76"/>
        <v>7</v>
      </c>
      <c r="CO10" s="7">
        <v>76.8</v>
      </c>
      <c r="CP10" s="4" t="str">
        <f t="shared" si="20"/>
        <v>B+</v>
      </c>
      <c r="CQ10" s="3">
        <f t="shared" si="21"/>
        <v>3.5</v>
      </c>
      <c r="CR10" s="3">
        <v>2</v>
      </c>
      <c r="CS10" s="12">
        <f t="shared" si="77"/>
        <v>7</v>
      </c>
      <c r="CT10" s="15">
        <v>80.599999999999994</v>
      </c>
      <c r="CU10" s="4" t="str">
        <f t="shared" si="22"/>
        <v>A</v>
      </c>
      <c r="CV10" s="3">
        <f t="shared" si="78"/>
        <v>4</v>
      </c>
      <c r="CW10" s="3">
        <v>2</v>
      </c>
      <c r="CX10" s="12">
        <f t="shared" si="79"/>
        <v>8</v>
      </c>
      <c r="CY10" s="21">
        <v>80.599999999999994</v>
      </c>
      <c r="CZ10" s="4" t="str">
        <f t="shared" si="24"/>
        <v>A</v>
      </c>
      <c r="DA10" s="3">
        <f t="shared" si="80"/>
        <v>4</v>
      </c>
      <c r="DB10" s="3">
        <v>2</v>
      </c>
      <c r="DC10" s="12">
        <f t="shared" si="81"/>
        <v>8</v>
      </c>
      <c r="DD10" s="3">
        <v>78.800000000000011</v>
      </c>
      <c r="DE10" s="4" t="str">
        <f t="shared" si="26"/>
        <v>B+</v>
      </c>
      <c r="DF10" s="3">
        <f t="shared" si="82"/>
        <v>3.5</v>
      </c>
      <c r="DG10" s="3">
        <v>2</v>
      </c>
      <c r="DH10" s="12">
        <f t="shared" si="83"/>
        <v>7</v>
      </c>
      <c r="DI10" s="3">
        <v>79.349999999999994</v>
      </c>
      <c r="DJ10" s="4" t="str">
        <f t="shared" si="28"/>
        <v>B+</v>
      </c>
      <c r="DK10" s="3">
        <f t="shared" si="84"/>
        <v>3.5</v>
      </c>
      <c r="DL10" s="3">
        <v>4</v>
      </c>
      <c r="DM10" s="12">
        <f t="shared" si="85"/>
        <v>14</v>
      </c>
      <c r="DN10" s="3">
        <v>85</v>
      </c>
      <c r="DO10" s="3">
        <v>24</v>
      </c>
      <c r="DP10" s="3">
        <v>86</v>
      </c>
      <c r="DQ10" s="3">
        <v>24</v>
      </c>
      <c r="DR10" s="3">
        <v>171</v>
      </c>
      <c r="DS10" s="3">
        <v>48</v>
      </c>
      <c r="DT10" s="9">
        <v>3.5625</v>
      </c>
      <c r="DU10" s="9">
        <v>3.5625</v>
      </c>
      <c r="DV10" s="12" t="str">
        <f t="shared" si="86"/>
        <v>Cum Laude</v>
      </c>
      <c r="DW10" s="12" t="str">
        <f t="shared" si="87"/>
        <v>Excellent</v>
      </c>
      <c r="DX10" s="22" t="s">
        <v>141</v>
      </c>
      <c r="DY10" s="26" t="s">
        <v>187</v>
      </c>
    </row>
    <row r="11" spans="1:129" ht="15.75" customHeight="1" x14ac:dyDescent="0.25">
      <c r="A11" s="3">
        <v>9</v>
      </c>
      <c r="B11" s="2" t="s">
        <v>34</v>
      </c>
      <c r="C11" s="2">
        <v>172312028</v>
      </c>
      <c r="D11" s="11" t="s">
        <v>88</v>
      </c>
      <c r="E11" s="13" t="s">
        <v>93</v>
      </c>
      <c r="F11" s="28" t="s">
        <v>218</v>
      </c>
      <c r="G11" s="27" t="s">
        <v>227</v>
      </c>
      <c r="H11" s="6">
        <v>76.333333333333329</v>
      </c>
      <c r="I11" s="4" t="str">
        <f t="shared" si="30"/>
        <v>B+</v>
      </c>
      <c r="J11" s="3">
        <f t="shared" si="31"/>
        <v>3.5</v>
      </c>
      <c r="K11" s="3">
        <v>2</v>
      </c>
      <c r="L11" s="12">
        <f t="shared" si="32"/>
        <v>7</v>
      </c>
      <c r="M11" s="7">
        <v>82.9</v>
      </c>
      <c r="N11" s="4" t="str">
        <f t="shared" si="33"/>
        <v>A</v>
      </c>
      <c r="O11" s="3">
        <f t="shared" si="34"/>
        <v>4</v>
      </c>
      <c r="P11" s="3">
        <v>2</v>
      </c>
      <c r="Q11" s="12">
        <f t="shared" si="35"/>
        <v>8</v>
      </c>
      <c r="R11" s="14">
        <v>77.300000000000011</v>
      </c>
      <c r="S11" s="4" t="str">
        <f t="shared" si="36"/>
        <v>B+</v>
      </c>
      <c r="T11" s="3">
        <f t="shared" si="37"/>
        <v>3.5</v>
      </c>
      <c r="U11" s="3">
        <v>2</v>
      </c>
      <c r="V11" s="12">
        <f t="shared" si="38"/>
        <v>7</v>
      </c>
      <c r="W11" s="9">
        <v>80</v>
      </c>
      <c r="X11" s="4" t="str">
        <f t="shared" si="39"/>
        <v>A</v>
      </c>
      <c r="Y11" s="3">
        <f t="shared" si="40"/>
        <v>4</v>
      </c>
      <c r="Z11" s="3">
        <v>3</v>
      </c>
      <c r="AA11" s="12">
        <f t="shared" si="41"/>
        <v>12</v>
      </c>
      <c r="AB11" s="3">
        <v>81.45</v>
      </c>
      <c r="AC11" s="4" t="str">
        <f t="shared" si="42"/>
        <v>A</v>
      </c>
      <c r="AD11" s="3">
        <f t="shared" si="43"/>
        <v>4</v>
      </c>
      <c r="AE11" s="3">
        <v>2</v>
      </c>
      <c r="AF11" s="12">
        <f t="shared" si="44"/>
        <v>8</v>
      </c>
      <c r="AG11" s="3">
        <v>82.9</v>
      </c>
      <c r="AH11" s="4" t="str">
        <f t="shared" si="45"/>
        <v>A</v>
      </c>
      <c r="AI11" s="3">
        <f t="shared" si="46"/>
        <v>4</v>
      </c>
      <c r="AJ11" s="3">
        <v>2</v>
      </c>
      <c r="AK11" s="12">
        <f t="shared" si="47"/>
        <v>8</v>
      </c>
      <c r="AL11" s="3">
        <v>77.599999999999994</v>
      </c>
      <c r="AM11" s="4" t="str">
        <f t="shared" si="48"/>
        <v>B+</v>
      </c>
      <c r="AN11" s="3">
        <f t="shared" si="49"/>
        <v>3.5</v>
      </c>
      <c r="AO11" s="3">
        <v>2</v>
      </c>
      <c r="AP11" s="12">
        <f t="shared" si="50"/>
        <v>7</v>
      </c>
      <c r="AQ11" s="9">
        <v>85.566666666666663</v>
      </c>
      <c r="AR11" s="4" t="str">
        <f t="shared" si="51"/>
        <v>A</v>
      </c>
      <c r="AS11" s="3">
        <f t="shared" si="52"/>
        <v>4</v>
      </c>
      <c r="AT11" s="3">
        <v>2</v>
      </c>
      <c r="AU11" s="12">
        <f t="shared" si="53"/>
        <v>8</v>
      </c>
      <c r="AV11" s="8">
        <v>72.400000000000006</v>
      </c>
      <c r="AW11" s="4" t="str">
        <f t="shared" si="54"/>
        <v>B</v>
      </c>
      <c r="AX11" s="3">
        <f t="shared" si="55"/>
        <v>3</v>
      </c>
      <c r="AY11" s="3">
        <v>3</v>
      </c>
      <c r="AZ11" s="12">
        <f t="shared" si="56"/>
        <v>9</v>
      </c>
      <c r="BA11" s="3">
        <v>74.325000000000003</v>
      </c>
      <c r="BB11" s="4" t="str">
        <f t="shared" si="57"/>
        <v>B</v>
      </c>
      <c r="BC11" s="3">
        <f t="shared" si="58"/>
        <v>3</v>
      </c>
      <c r="BD11" s="3">
        <v>2</v>
      </c>
      <c r="BE11" s="12">
        <f t="shared" si="59"/>
        <v>6</v>
      </c>
      <c r="BF11" s="3">
        <v>80.599999999999994</v>
      </c>
      <c r="BG11" s="4" t="str">
        <f t="shared" si="60"/>
        <v>A</v>
      </c>
      <c r="BH11" s="3">
        <f t="shared" si="61"/>
        <v>4</v>
      </c>
      <c r="BI11" s="3">
        <v>2</v>
      </c>
      <c r="BJ11" s="12">
        <f t="shared" si="62"/>
        <v>8</v>
      </c>
      <c r="BK11" s="16">
        <v>81.92</v>
      </c>
      <c r="BL11" s="4" t="str">
        <f t="shared" si="63"/>
        <v>A</v>
      </c>
      <c r="BM11" s="3">
        <f t="shared" si="64"/>
        <v>4</v>
      </c>
      <c r="BN11" s="3">
        <v>2</v>
      </c>
      <c r="BO11" s="12">
        <f t="shared" si="65"/>
        <v>8</v>
      </c>
      <c r="BP11" s="19">
        <v>80.55</v>
      </c>
      <c r="BQ11" s="4" t="str">
        <f t="shared" si="66"/>
        <v>A</v>
      </c>
      <c r="BR11" s="3">
        <f t="shared" si="67"/>
        <v>4</v>
      </c>
      <c r="BS11" s="3">
        <v>2</v>
      </c>
      <c r="BT11" s="12">
        <f t="shared" si="68"/>
        <v>8</v>
      </c>
      <c r="BU11" s="5">
        <v>76</v>
      </c>
      <c r="BV11" s="4" t="str">
        <f t="shared" si="69"/>
        <v>B+</v>
      </c>
      <c r="BW11" s="3">
        <f t="shared" si="70"/>
        <v>3.5</v>
      </c>
      <c r="BX11" s="3">
        <v>2</v>
      </c>
      <c r="BY11" s="12">
        <f t="shared" si="71"/>
        <v>7</v>
      </c>
      <c r="BZ11" s="3">
        <v>78.599999999999994</v>
      </c>
      <c r="CA11" s="4" t="str">
        <f t="shared" si="14"/>
        <v>B+</v>
      </c>
      <c r="CB11" s="3">
        <f t="shared" si="15"/>
        <v>3.5</v>
      </c>
      <c r="CC11" s="3">
        <v>2</v>
      </c>
      <c r="CD11" s="12">
        <f t="shared" si="72"/>
        <v>7</v>
      </c>
      <c r="CE11" s="20">
        <v>81.199999999999989</v>
      </c>
      <c r="CF11" s="4" t="str">
        <f t="shared" si="16"/>
        <v>A</v>
      </c>
      <c r="CG11" s="3">
        <f t="shared" si="73"/>
        <v>4</v>
      </c>
      <c r="CH11" s="3">
        <v>2</v>
      </c>
      <c r="CI11" s="12">
        <f t="shared" si="74"/>
        <v>8</v>
      </c>
      <c r="CJ11" s="6">
        <v>75.325000000000003</v>
      </c>
      <c r="CK11" s="4" t="str">
        <f t="shared" si="18"/>
        <v>B+</v>
      </c>
      <c r="CL11" s="3">
        <f t="shared" si="75"/>
        <v>3.5</v>
      </c>
      <c r="CM11" s="3">
        <v>2</v>
      </c>
      <c r="CN11" s="12">
        <f t="shared" si="76"/>
        <v>7</v>
      </c>
      <c r="CO11" s="7">
        <v>80</v>
      </c>
      <c r="CP11" s="4" t="str">
        <f t="shared" si="20"/>
        <v>A</v>
      </c>
      <c r="CQ11" s="3">
        <f t="shared" si="21"/>
        <v>4</v>
      </c>
      <c r="CR11" s="3">
        <v>2</v>
      </c>
      <c r="CS11" s="12">
        <f t="shared" si="77"/>
        <v>8</v>
      </c>
      <c r="CT11" s="15">
        <v>80.2</v>
      </c>
      <c r="CU11" s="4" t="str">
        <f t="shared" si="22"/>
        <v>A</v>
      </c>
      <c r="CV11" s="3">
        <f t="shared" si="78"/>
        <v>4</v>
      </c>
      <c r="CW11" s="3">
        <v>2</v>
      </c>
      <c r="CX11" s="12">
        <f t="shared" si="79"/>
        <v>8</v>
      </c>
      <c r="CY11" s="21">
        <v>80.2</v>
      </c>
      <c r="CZ11" s="4" t="str">
        <f t="shared" si="24"/>
        <v>A</v>
      </c>
      <c r="DA11" s="3">
        <f t="shared" si="80"/>
        <v>4</v>
      </c>
      <c r="DB11" s="3">
        <v>2</v>
      </c>
      <c r="DC11" s="12">
        <f t="shared" si="81"/>
        <v>8</v>
      </c>
      <c r="DD11" s="3">
        <v>78.2</v>
      </c>
      <c r="DE11" s="4" t="str">
        <f t="shared" si="26"/>
        <v>B+</v>
      </c>
      <c r="DF11" s="3">
        <f t="shared" si="82"/>
        <v>3.5</v>
      </c>
      <c r="DG11" s="3">
        <v>2</v>
      </c>
      <c r="DH11" s="12">
        <f t="shared" si="83"/>
        <v>7</v>
      </c>
      <c r="DI11" s="3">
        <v>81.83</v>
      </c>
      <c r="DJ11" s="4" t="str">
        <f t="shared" si="28"/>
        <v>A</v>
      </c>
      <c r="DK11" s="3">
        <f t="shared" si="84"/>
        <v>4</v>
      </c>
      <c r="DL11" s="3">
        <v>4</v>
      </c>
      <c r="DM11" s="12">
        <f t="shared" si="85"/>
        <v>16</v>
      </c>
      <c r="DN11" s="3">
        <v>88</v>
      </c>
      <c r="DO11" s="3">
        <v>24</v>
      </c>
      <c r="DP11" s="3">
        <v>92</v>
      </c>
      <c r="DQ11" s="3">
        <v>24</v>
      </c>
      <c r="DR11" s="3">
        <v>180</v>
      </c>
      <c r="DS11" s="3">
        <v>48</v>
      </c>
      <c r="DT11" s="9">
        <v>3.75</v>
      </c>
      <c r="DU11" s="9">
        <v>3.75</v>
      </c>
      <c r="DV11" s="12" t="str">
        <f t="shared" si="86"/>
        <v>Cum Laude</v>
      </c>
      <c r="DW11" s="12" t="str">
        <f t="shared" si="87"/>
        <v>Excellent</v>
      </c>
      <c r="DX11" s="22" t="s">
        <v>159</v>
      </c>
      <c r="DY11" s="26" t="s">
        <v>188</v>
      </c>
    </row>
    <row r="12" spans="1:129" x14ac:dyDescent="0.25">
      <c r="A12" s="3">
        <v>10</v>
      </c>
      <c r="B12" s="2" t="s">
        <v>35</v>
      </c>
      <c r="C12" s="2">
        <v>172312029</v>
      </c>
      <c r="D12" s="12" t="s">
        <v>129</v>
      </c>
      <c r="E12" s="13" t="s">
        <v>130</v>
      </c>
      <c r="F12" s="28" t="s">
        <v>220</v>
      </c>
      <c r="G12" s="27" t="s">
        <v>256</v>
      </c>
      <c r="H12" s="6">
        <v>76.333333333333329</v>
      </c>
      <c r="I12" s="4" t="str">
        <f t="shared" si="30"/>
        <v>B+</v>
      </c>
      <c r="J12" s="3">
        <f t="shared" si="31"/>
        <v>3.5</v>
      </c>
      <c r="K12" s="3">
        <v>2</v>
      </c>
      <c r="L12" s="12">
        <f t="shared" si="32"/>
        <v>7</v>
      </c>
      <c r="M12" s="7">
        <v>83.033333333333331</v>
      </c>
      <c r="N12" s="4" t="str">
        <f t="shared" si="33"/>
        <v>A</v>
      </c>
      <c r="O12" s="3">
        <f t="shared" si="34"/>
        <v>4</v>
      </c>
      <c r="P12" s="3">
        <v>2</v>
      </c>
      <c r="Q12" s="12">
        <f t="shared" si="35"/>
        <v>8</v>
      </c>
      <c r="R12" s="14">
        <v>78.599999999999994</v>
      </c>
      <c r="S12" s="4" t="str">
        <f t="shared" si="36"/>
        <v>B+</v>
      </c>
      <c r="T12" s="3">
        <f t="shared" si="37"/>
        <v>3.5</v>
      </c>
      <c r="U12" s="3">
        <v>2</v>
      </c>
      <c r="V12" s="12">
        <f t="shared" si="38"/>
        <v>7</v>
      </c>
      <c r="W12" s="9">
        <v>76.44</v>
      </c>
      <c r="X12" s="4" t="str">
        <f t="shared" si="39"/>
        <v>B+</v>
      </c>
      <c r="Y12" s="3">
        <f t="shared" si="40"/>
        <v>3.5</v>
      </c>
      <c r="Z12" s="3">
        <v>3</v>
      </c>
      <c r="AA12" s="12">
        <f t="shared" si="41"/>
        <v>10.5</v>
      </c>
      <c r="AB12" s="3">
        <v>79.750000000000014</v>
      </c>
      <c r="AC12" s="4" t="str">
        <f t="shared" si="42"/>
        <v>B+</v>
      </c>
      <c r="AD12" s="3">
        <f t="shared" si="43"/>
        <v>3.5</v>
      </c>
      <c r="AE12" s="3">
        <v>2</v>
      </c>
      <c r="AF12" s="12">
        <f t="shared" si="44"/>
        <v>7</v>
      </c>
      <c r="AG12" s="3">
        <v>83.033333333333331</v>
      </c>
      <c r="AH12" s="4" t="str">
        <f t="shared" si="45"/>
        <v>A</v>
      </c>
      <c r="AI12" s="3">
        <f t="shared" si="46"/>
        <v>4</v>
      </c>
      <c r="AJ12" s="3">
        <v>2</v>
      </c>
      <c r="AK12" s="12">
        <f t="shared" si="47"/>
        <v>8</v>
      </c>
      <c r="AL12" s="3">
        <v>76.44</v>
      </c>
      <c r="AM12" s="4" t="str">
        <f t="shared" si="48"/>
        <v>B+</v>
      </c>
      <c r="AN12" s="3">
        <f t="shared" si="49"/>
        <v>3.5</v>
      </c>
      <c r="AO12" s="3">
        <v>2</v>
      </c>
      <c r="AP12" s="12">
        <f t="shared" si="50"/>
        <v>7</v>
      </c>
      <c r="AQ12" s="9">
        <v>83.833333333333329</v>
      </c>
      <c r="AR12" s="4" t="str">
        <f t="shared" si="51"/>
        <v>A</v>
      </c>
      <c r="AS12" s="3">
        <f t="shared" si="52"/>
        <v>4</v>
      </c>
      <c r="AT12" s="3">
        <v>2</v>
      </c>
      <c r="AU12" s="12">
        <f t="shared" si="53"/>
        <v>8</v>
      </c>
      <c r="AV12" s="8">
        <v>67</v>
      </c>
      <c r="AW12" s="4" t="str">
        <f t="shared" si="54"/>
        <v>C+</v>
      </c>
      <c r="AX12" s="3">
        <f t="shared" si="55"/>
        <v>2.5</v>
      </c>
      <c r="AY12" s="3">
        <v>3</v>
      </c>
      <c r="AZ12" s="12">
        <f t="shared" si="56"/>
        <v>7.5</v>
      </c>
      <c r="BA12" s="3">
        <v>70.275000000000006</v>
      </c>
      <c r="BB12" s="4" t="str">
        <f t="shared" si="57"/>
        <v>B</v>
      </c>
      <c r="BC12" s="3">
        <f t="shared" si="58"/>
        <v>3</v>
      </c>
      <c r="BD12" s="3">
        <v>2</v>
      </c>
      <c r="BE12" s="12">
        <f t="shared" si="59"/>
        <v>6</v>
      </c>
      <c r="BF12" s="3">
        <v>80.599999999999994</v>
      </c>
      <c r="BG12" s="4" t="str">
        <f t="shared" si="60"/>
        <v>A</v>
      </c>
      <c r="BH12" s="3">
        <f t="shared" si="61"/>
        <v>4</v>
      </c>
      <c r="BI12" s="3">
        <v>2</v>
      </c>
      <c r="BJ12" s="12">
        <f t="shared" si="62"/>
        <v>8</v>
      </c>
      <c r="BK12" s="16">
        <v>76.84</v>
      </c>
      <c r="BL12" s="4" t="str">
        <f t="shared" si="63"/>
        <v>B+</v>
      </c>
      <c r="BM12" s="3">
        <f t="shared" si="64"/>
        <v>3.5</v>
      </c>
      <c r="BN12" s="3">
        <v>2</v>
      </c>
      <c r="BO12" s="12">
        <f t="shared" si="65"/>
        <v>7</v>
      </c>
      <c r="BP12" s="19">
        <v>78.849999999999994</v>
      </c>
      <c r="BQ12" s="4" t="str">
        <f t="shared" si="66"/>
        <v>B+</v>
      </c>
      <c r="BR12" s="3">
        <f t="shared" si="67"/>
        <v>3.5</v>
      </c>
      <c r="BS12" s="3">
        <v>2</v>
      </c>
      <c r="BT12" s="12">
        <f t="shared" si="68"/>
        <v>7</v>
      </c>
      <c r="BU12" s="5">
        <v>69.599999999999994</v>
      </c>
      <c r="BV12" s="4" t="str">
        <f t="shared" si="69"/>
        <v>C+</v>
      </c>
      <c r="BW12" s="3">
        <f t="shared" si="70"/>
        <v>2.5</v>
      </c>
      <c r="BX12" s="3">
        <v>2</v>
      </c>
      <c r="BY12" s="12">
        <f t="shared" si="71"/>
        <v>5</v>
      </c>
      <c r="BZ12" s="3">
        <v>78.400000000000006</v>
      </c>
      <c r="CA12" s="4" t="str">
        <f t="shared" si="14"/>
        <v>B+</v>
      </c>
      <c r="CB12" s="3">
        <f t="shared" si="15"/>
        <v>3.5</v>
      </c>
      <c r="CC12" s="3">
        <v>2</v>
      </c>
      <c r="CD12" s="12">
        <f t="shared" si="72"/>
        <v>7</v>
      </c>
      <c r="CE12" s="20">
        <v>78.400000000000006</v>
      </c>
      <c r="CF12" s="4" t="str">
        <f t="shared" si="16"/>
        <v>B+</v>
      </c>
      <c r="CG12" s="3">
        <f t="shared" si="73"/>
        <v>3.5</v>
      </c>
      <c r="CH12" s="3">
        <v>2</v>
      </c>
      <c r="CI12" s="12">
        <f t="shared" si="74"/>
        <v>7</v>
      </c>
      <c r="CJ12" s="6">
        <v>75.724999999999994</v>
      </c>
      <c r="CK12" s="4" t="str">
        <f t="shared" si="18"/>
        <v>B+</v>
      </c>
      <c r="CL12" s="3">
        <f t="shared" si="75"/>
        <v>3.5</v>
      </c>
      <c r="CM12" s="3">
        <v>2</v>
      </c>
      <c r="CN12" s="12">
        <f t="shared" si="76"/>
        <v>7</v>
      </c>
      <c r="CO12" s="7">
        <v>69.8</v>
      </c>
      <c r="CP12" s="4" t="str">
        <f t="shared" si="20"/>
        <v>C+</v>
      </c>
      <c r="CQ12" s="3">
        <f t="shared" si="21"/>
        <v>2.5</v>
      </c>
      <c r="CR12" s="3">
        <v>2</v>
      </c>
      <c r="CS12" s="12">
        <f t="shared" si="77"/>
        <v>5</v>
      </c>
      <c r="CT12" s="15">
        <v>81.599999999999994</v>
      </c>
      <c r="CU12" s="4" t="str">
        <f t="shared" si="22"/>
        <v>A</v>
      </c>
      <c r="CV12" s="3">
        <f t="shared" si="78"/>
        <v>4</v>
      </c>
      <c r="CW12" s="3">
        <v>2</v>
      </c>
      <c r="CX12" s="12">
        <f t="shared" si="79"/>
        <v>8</v>
      </c>
      <c r="CY12" s="21">
        <v>81.599999999999994</v>
      </c>
      <c r="CZ12" s="4" t="str">
        <f t="shared" si="24"/>
        <v>A</v>
      </c>
      <c r="DA12" s="3">
        <f t="shared" si="80"/>
        <v>4</v>
      </c>
      <c r="DB12" s="3">
        <v>2</v>
      </c>
      <c r="DC12" s="12">
        <f t="shared" si="81"/>
        <v>8</v>
      </c>
      <c r="DD12" s="3">
        <v>78</v>
      </c>
      <c r="DE12" s="4" t="str">
        <f t="shared" si="26"/>
        <v>B+</v>
      </c>
      <c r="DF12" s="3">
        <f t="shared" si="82"/>
        <v>3.5</v>
      </c>
      <c r="DG12" s="3">
        <v>2</v>
      </c>
      <c r="DH12" s="12">
        <f t="shared" si="83"/>
        <v>7</v>
      </c>
      <c r="DI12" s="3">
        <v>78.5</v>
      </c>
      <c r="DJ12" s="4" t="str">
        <f t="shared" si="28"/>
        <v>B+</v>
      </c>
      <c r="DK12" s="3">
        <f t="shared" si="84"/>
        <v>3.5</v>
      </c>
      <c r="DL12" s="3">
        <v>4</v>
      </c>
      <c r="DM12" s="12">
        <f t="shared" si="85"/>
        <v>14</v>
      </c>
      <c r="DN12" s="3">
        <v>84</v>
      </c>
      <c r="DO12" s="3">
        <v>24</v>
      </c>
      <c r="DP12" s="3">
        <v>82</v>
      </c>
      <c r="DQ12" s="3">
        <v>24</v>
      </c>
      <c r="DR12" s="3">
        <v>166</v>
      </c>
      <c r="DS12" s="3">
        <v>48</v>
      </c>
      <c r="DT12" s="9">
        <v>3.4583333333333335</v>
      </c>
      <c r="DU12" s="9">
        <v>3.4583333333333335</v>
      </c>
      <c r="DV12" s="12" t="str">
        <f t="shared" si="86"/>
        <v>Sangat Memuaskan</v>
      </c>
      <c r="DW12" s="12" t="str">
        <f t="shared" si="87"/>
        <v>Highly Satisfactory</v>
      </c>
      <c r="DX12" s="22" t="s">
        <v>167</v>
      </c>
      <c r="DY12" s="26" t="s">
        <v>189</v>
      </c>
    </row>
    <row r="13" spans="1:129" x14ac:dyDescent="0.25">
      <c r="A13" s="3">
        <v>11</v>
      </c>
      <c r="B13" s="2" t="s">
        <v>36</v>
      </c>
      <c r="C13" s="2">
        <v>172312030</v>
      </c>
      <c r="D13" s="11" t="s">
        <v>94</v>
      </c>
      <c r="E13" s="13" t="s">
        <v>95</v>
      </c>
      <c r="F13" s="28" t="s">
        <v>218</v>
      </c>
      <c r="G13" s="27" t="s">
        <v>228</v>
      </c>
      <c r="H13" s="6">
        <v>80.533333333333331</v>
      </c>
      <c r="I13" s="4" t="str">
        <f t="shared" si="30"/>
        <v>A</v>
      </c>
      <c r="J13" s="3">
        <f t="shared" si="31"/>
        <v>4</v>
      </c>
      <c r="K13" s="3">
        <v>2</v>
      </c>
      <c r="L13" s="12">
        <f t="shared" si="32"/>
        <v>8</v>
      </c>
      <c r="M13" s="7">
        <v>85.7</v>
      </c>
      <c r="N13" s="4" t="str">
        <f t="shared" si="33"/>
        <v>A</v>
      </c>
      <c r="O13" s="3">
        <f t="shared" si="34"/>
        <v>4</v>
      </c>
      <c r="P13" s="3">
        <v>2</v>
      </c>
      <c r="Q13" s="12">
        <f t="shared" si="35"/>
        <v>8</v>
      </c>
      <c r="R13" s="14">
        <v>78.8</v>
      </c>
      <c r="S13" s="4" t="str">
        <f t="shared" si="36"/>
        <v>B+</v>
      </c>
      <c r="T13" s="3">
        <f t="shared" si="37"/>
        <v>3.5</v>
      </c>
      <c r="U13" s="3">
        <v>2</v>
      </c>
      <c r="V13" s="12">
        <f t="shared" si="38"/>
        <v>7</v>
      </c>
      <c r="W13" s="9">
        <v>80.599999999999994</v>
      </c>
      <c r="X13" s="4" t="str">
        <f t="shared" si="39"/>
        <v>A</v>
      </c>
      <c r="Y13" s="3">
        <f t="shared" si="40"/>
        <v>4</v>
      </c>
      <c r="Z13" s="3">
        <v>3</v>
      </c>
      <c r="AA13" s="12">
        <f t="shared" si="41"/>
        <v>12</v>
      </c>
      <c r="AB13" s="3">
        <v>78.40000000000002</v>
      </c>
      <c r="AC13" s="4" t="str">
        <f t="shared" si="42"/>
        <v>B+</v>
      </c>
      <c r="AD13" s="3">
        <f t="shared" si="43"/>
        <v>3.5</v>
      </c>
      <c r="AE13" s="3">
        <v>2</v>
      </c>
      <c r="AF13" s="12">
        <f t="shared" si="44"/>
        <v>7</v>
      </c>
      <c r="AG13" s="3">
        <v>85.7</v>
      </c>
      <c r="AH13" s="4" t="str">
        <f t="shared" si="45"/>
        <v>A</v>
      </c>
      <c r="AI13" s="3">
        <f t="shared" si="46"/>
        <v>4</v>
      </c>
      <c r="AJ13" s="3">
        <v>2</v>
      </c>
      <c r="AK13" s="12">
        <f t="shared" si="47"/>
        <v>8</v>
      </c>
      <c r="AL13" s="3">
        <v>79</v>
      </c>
      <c r="AM13" s="4" t="str">
        <f t="shared" si="48"/>
        <v>B+</v>
      </c>
      <c r="AN13" s="3">
        <f t="shared" si="49"/>
        <v>3.5</v>
      </c>
      <c r="AO13" s="3">
        <v>2</v>
      </c>
      <c r="AP13" s="12">
        <f t="shared" si="50"/>
        <v>7</v>
      </c>
      <c r="AQ13" s="9">
        <v>81.833333333333329</v>
      </c>
      <c r="AR13" s="4" t="str">
        <f t="shared" si="51"/>
        <v>A</v>
      </c>
      <c r="AS13" s="3">
        <f t="shared" si="52"/>
        <v>4</v>
      </c>
      <c r="AT13" s="3">
        <v>2</v>
      </c>
      <c r="AU13" s="12">
        <f t="shared" si="53"/>
        <v>8</v>
      </c>
      <c r="AV13" s="8">
        <v>71</v>
      </c>
      <c r="AW13" s="4" t="str">
        <f t="shared" si="54"/>
        <v>B</v>
      </c>
      <c r="AX13" s="3">
        <f t="shared" si="55"/>
        <v>3</v>
      </c>
      <c r="AY13" s="3">
        <v>3</v>
      </c>
      <c r="AZ13" s="12">
        <f t="shared" si="56"/>
        <v>9</v>
      </c>
      <c r="BA13" s="3">
        <v>73.525000000000006</v>
      </c>
      <c r="BB13" s="4" t="str">
        <f t="shared" si="57"/>
        <v>B</v>
      </c>
      <c r="BC13" s="3">
        <f t="shared" si="58"/>
        <v>3</v>
      </c>
      <c r="BD13" s="3">
        <v>2</v>
      </c>
      <c r="BE13" s="12">
        <f t="shared" si="59"/>
        <v>6</v>
      </c>
      <c r="BF13" s="3">
        <v>80.599999999999994</v>
      </c>
      <c r="BG13" s="4" t="str">
        <f t="shared" si="60"/>
        <v>A</v>
      </c>
      <c r="BH13" s="3">
        <f t="shared" si="61"/>
        <v>4</v>
      </c>
      <c r="BI13" s="3">
        <v>2</v>
      </c>
      <c r="BJ13" s="12">
        <f t="shared" si="62"/>
        <v>8</v>
      </c>
      <c r="BK13" s="16">
        <v>80.72</v>
      </c>
      <c r="BL13" s="4" t="str">
        <f t="shared" si="63"/>
        <v>A</v>
      </c>
      <c r="BM13" s="3">
        <f t="shared" si="64"/>
        <v>4</v>
      </c>
      <c r="BN13" s="3">
        <v>2</v>
      </c>
      <c r="BO13" s="12">
        <f t="shared" si="65"/>
        <v>8</v>
      </c>
      <c r="BP13" s="19">
        <v>80.150000000000006</v>
      </c>
      <c r="BQ13" s="4" t="str">
        <f t="shared" si="66"/>
        <v>A</v>
      </c>
      <c r="BR13" s="3">
        <f t="shared" si="67"/>
        <v>4</v>
      </c>
      <c r="BS13" s="3">
        <v>2</v>
      </c>
      <c r="BT13" s="12">
        <f t="shared" si="68"/>
        <v>8</v>
      </c>
      <c r="BU13" s="5">
        <v>76</v>
      </c>
      <c r="BV13" s="4" t="str">
        <f t="shared" si="69"/>
        <v>B+</v>
      </c>
      <c r="BW13" s="3">
        <f t="shared" si="70"/>
        <v>3.5</v>
      </c>
      <c r="BX13" s="3">
        <v>2</v>
      </c>
      <c r="BY13" s="12">
        <f t="shared" si="71"/>
        <v>7</v>
      </c>
      <c r="BZ13" s="3">
        <v>77.599999999999994</v>
      </c>
      <c r="CA13" s="4" t="str">
        <f t="shared" si="14"/>
        <v>B+</v>
      </c>
      <c r="CB13" s="3">
        <f t="shared" si="15"/>
        <v>3.5</v>
      </c>
      <c r="CC13" s="3">
        <v>2</v>
      </c>
      <c r="CD13" s="12">
        <f t="shared" si="72"/>
        <v>7</v>
      </c>
      <c r="CE13" s="20">
        <v>81.199999999999989</v>
      </c>
      <c r="CF13" s="4" t="str">
        <f t="shared" si="16"/>
        <v>A</v>
      </c>
      <c r="CG13" s="3">
        <f t="shared" si="73"/>
        <v>4</v>
      </c>
      <c r="CH13" s="3">
        <v>2</v>
      </c>
      <c r="CI13" s="12">
        <f t="shared" si="74"/>
        <v>8</v>
      </c>
      <c r="CJ13" s="6">
        <v>76.724999999999994</v>
      </c>
      <c r="CK13" s="4" t="str">
        <f t="shared" si="18"/>
        <v>B+</v>
      </c>
      <c r="CL13" s="3">
        <f t="shared" si="75"/>
        <v>3.5</v>
      </c>
      <c r="CM13" s="3">
        <v>2</v>
      </c>
      <c r="CN13" s="12">
        <f t="shared" si="76"/>
        <v>7</v>
      </c>
      <c r="CO13" s="7">
        <v>72</v>
      </c>
      <c r="CP13" s="4" t="str">
        <f t="shared" si="20"/>
        <v>B</v>
      </c>
      <c r="CQ13" s="3">
        <f t="shared" si="21"/>
        <v>3</v>
      </c>
      <c r="CR13" s="3">
        <v>2</v>
      </c>
      <c r="CS13" s="12">
        <f t="shared" si="77"/>
        <v>6</v>
      </c>
      <c r="CT13" s="15">
        <v>80.2</v>
      </c>
      <c r="CU13" s="4" t="str">
        <f t="shared" si="22"/>
        <v>A</v>
      </c>
      <c r="CV13" s="3">
        <f t="shared" si="78"/>
        <v>4</v>
      </c>
      <c r="CW13" s="3">
        <v>2</v>
      </c>
      <c r="CX13" s="12">
        <f t="shared" si="79"/>
        <v>8</v>
      </c>
      <c r="CY13" s="21">
        <v>80.2</v>
      </c>
      <c r="CZ13" s="4" t="str">
        <f t="shared" si="24"/>
        <v>A</v>
      </c>
      <c r="DA13" s="3">
        <f t="shared" si="80"/>
        <v>4</v>
      </c>
      <c r="DB13" s="3">
        <v>2</v>
      </c>
      <c r="DC13" s="12">
        <f t="shared" si="81"/>
        <v>8</v>
      </c>
      <c r="DD13" s="3">
        <v>78.2</v>
      </c>
      <c r="DE13" s="4" t="str">
        <f t="shared" si="26"/>
        <v>B+</v>
      </c>
      <c r="DF13" s="3">
        <f t="shared" si="82"/>
        <v>3.5</v>
      </c>
      <c r="DG13" s="3">
        <v>2</v>
      </c>
      <c r="DH13" s="12">
        <f t="shared" si="83"/>
        <v>7</v>
      </c>
      <c r="DI13" s="3">
        <v>81.33</v>
      </c>
      <c r="DJ13" s="4" t="str">
        <f t="shared" si="28"/>
        <v>A</v>
      </c>
      <c r="DK13" s="3">
        <f t="shared" si="84"/>
        <v>4</v>
      </c>
      <c r="DL13" s="3">
        <v>4</v>
      </c>
      <c r="DM13" s="12">
        <f t="shared" si="85"/>
        <v>16</v>
      </c>
      <c r="DN13" s="3">
        <v>88</v>
      </c>
      <c r="DO13" s="3">
        <v>24</v>
      </c>
      <c r="DP13" s="3">
        <v>90</v>
      </c>
      <c r="DQ13" s="3">
        <v>24</v>
      </c>
      <c r="DR13" s="3">
        <v>178</v>
      </c>
      <c r="DS13" s="3">
        <v>48</v>
      </c>
      <c r="DT13" s="9">
        <v>3.7083333333333335</v>
      </c>
      <c r="DU13" s="9">
        <v>3.7083333333333335</v>
      </c>
      <c r="DV13" s="12" t="str">
        <f t="shared" si="86"/>
        <v>Cum Laude</v>
      </c>
      <c r="DW13" s="12" t="str">
        <f t="shared" si="87"/>
        <v>Excellent</v>
      </c>
      <c r="DX13" s="22" t="s">
        <v>168</v>
      </c>
      <c r="DY13" s="26" t="s">
        <v>190</v>
      </c>
    </row>
    <row r="14" spans="1:129" x14ac:dyDescent="0.25">
      <c r="A14" s="29">
        <v>12</v>
      </c>
      <c r="B14" s="2" t="s">
        <v>37</v>
      </c>
      <c r="C14" s="2">
        <v>172312031</v>
      </c>
      <c r="D14" s="11" t="s">
        <v>96</v>
      </c>
      <c r="E14" s="13" t="s">
        <v>97</v>
      </c>
      <c r="F14" s="28" t="s">
        <v>218</v>
      </c>
      <c r="G14" s="27" t="s">
        <v>229</v>
      </c>
      <c r="H14" s="6">
        <v>80</v>
      </c>
      <c r="I14" s="4" t="str">
        <f t="shared" si="30"/>
        <v>A</v>
      </c>
      <c r="J14" s="3">
        <f t="shared" si="31"/>
        <v>4</v>
      </c>
      <c r="K14" s="3">
        <v>2</v>
      </c>
      <c r="L14" s="12">
        <f t="shared" si="32"/>
        <v>8</v>
      </c>
      <c r="M14" s="7">
        <v>87.433333333333337</v>
      </c>
      <c r="N14" s="4" t="str">
        <f t="shared" si="33"/>
        <v>A</v>
      </c>
      <c r="O14" s="3">
        <f t="shared" si="34"/>
        <v>4</v>
      </c>
      <c r="P14" s="3">
        <v>2</v>
      </c>
      <c r="Q14" s="12">
        <f t="shared" si="35"/>
        <v>8</v>
      </c>
      <c r="R14" s="14">
        <v>78</v>
      </c>
      <c r="S14" s="4" t="str">
        <f t="shared" si="36"/>
        <v>B+</v>
      </c>
      <c r="T14" s="3">
        <f t="shared" si="37"/>
        <v>3.5</v>
      </c>
      <c r="U14" s="3">
        <v>2</v>
      </c>
      <c r="V14" s="12">
        <f t="shared" si="38"/>
        <v>7</v>
      </c>
      <c r="W14" s="9">
        <v>80</v>
      </c>
      <c r="X14" s="4" t="str">
        <f t="shared" si="39"/>
        <v>A</v>
      </c>
      <c r="Y14" s="3">
        <f t="shared" si="40"/>
        <v>4</v>
      </c>
      <c r="Z14" s="3">
        <v>3</v>
      </c>
      <c r="AA14" s="12">
        <f t="shared" si="41"/>
        <v>12</v>
      </c>
      <c r="AB14" s="3">
        <v>81.550000000000011</v>
      </c>
      <c r="AC14" s="4" t="str">
        <f t="shared" si="42"/>
        <v>A</v>
      </c>
      <c r="AD14" s="3">
        <f t="shared" si="43"/>
        <v>4</v>
      </c>
      <c r="AE14" s="3">
        <v>2</v>
      </c>
      <c r="AF14" s="12">
        <f t="shared" si="44"/>
        <v>8</v>
      </c>
      <c r="AG14" s="3">
        <v>87.433333333333337</v>
      </c>
      <c r="AH14" s="4" t="str">
        <f t="shared" si="45"/>
        <v>A</v>
      </c>
      <c r="AI14" s="3">
        <f t="shared" si="46"/>
        <v>4</v>
      </c>
      <c r="AJ14" s="3">
        <v>2</v>
      </c>
      <c r="AK14" s="12">
        <f t="shared" si="47"/>
        <v>8</v>
      </c>
      <c r="AL14" s="3">
        <v>76.800000000000011</v>
      </c>
      <c r="AM14" s="4" t="str">
        <f t="shared" si="48"/>
        <v>B+</v>
      </c>
      <c r="AN14" s="3">
        <f t="shared" si="49"/>
        <v>3.5</v>
      </c>
      <c r="AO14" s="3">
        <v>2</v>
      </c>
      <c r="AP14" s="12">
        <f t="shared" si="50"/>
        <v>7</v>
      </c>
      <c r="AQ14" s="9">
        <v>84.1</v>
      </c>
      <c r="AR14" s="4" t="str">
        <f t="shared" si="51"/>
        <v>A</v>
      </c>
      <c r="AS14" s="3">
        <f t="shared" si="52"/>
        <v>4</v>
      </c>
      <c r="AT14" s="3">
        <v>2</v>
      </c>
      <c r="AU14" s="12">
        <f t="shared" si="53"/>
        <v>8</v>
      </c>
      <c r="AV14" s="8">
        <v>71</v>
      </c>
      <c r="AW14" s="4" t="str">
        <f t="shared" si="54"/>
        <v>B</v>
      </c>
      <c r="AX14" s="3">
        <f t="shared" si="55"/>
        <v>3</v>
      </c>
      <c r="AY14" s="3">
        <v>3</v>
      </c>
      <c r="AZ14" s="12">
        <f t="shared" si="56"/>
        <v>9</v>
      </c>
      <c r="BA14" s="3">
        <v>70.125</v>
      </c>
      <c r="BB14" s="4" t="str">
        <f t="shared" si="57"/>
        <v>B</v>
      </c>
      <c r="BC14" s="3">
        <f t="shared" si="58"/>
        <v>3</v>
      </c>
      <c r="BD14" s="3">
        <v>2</v>
      </c>
      <c r="BE14" s="12">
        <f t="shared" si="59"/>
        <v>6</v>
      </c>
      <c r="BF14" s="3">
        <v>76.800000000000011</v>
      </c>
      <c r="BG14" s="4" t="str">
        <f t="shared" si="60"/>
        <v>B+</v>
      </c>
      <c r="BH14" s="3">
        <f t="shared" si="61"/>
        <v>3.5</v>
      </c>
      <c r="BI14" s="3">
        <v>2</v>
      </c>
      <c r="BJ14" s="12">
        <f t="shared" si="62"/>
        <v>7</v>
      </c>
      <c r="BK14" s="16">
        <v>78.599999999999994</v>
      </c>
      <c r="BL14" s="4" t="str">
        <f t="shared" si="63"/>
        <v>B+</v>
      </c>
      <c r="BM14" s="3">
        <f t="shared" si="64"/>
        <v>3.5</v>
      </c>
      <c r="BN14" s="3">
        <v>2</v>
      </c>
      <c r="BO14" s="12">
        <f t="shared" si="65"/>
        <v>7</v>
      </c>
      <c r="BP14" s="19">
        <v>78.400000000000006</v>
      </c>
      <c r="BQ14" s="4" t="str">
        <f t="shared" si="66"/>
        <v>B+</v>
      </c>
      <c r="BR14" s="3">
        <f t="shared" si="67"/>
        <v>3.5</v>
      </c>
      <c r="BS14" s="3">
        <v>2</v>
      </c>
      <c r="BT14" s="12">
        <f t="shared" si="68"/>
        <v>7</v>
      </c>
      <c r="BU14" s="5">
        <v>76</v>
      </c>
      <c r="BV14" s="4" t="str">
        <f t="shared" si="69"/>
        <v>B+</v>
      </c>
      <c r="BW14" s="3">
        <f t="shared" si="70"/>
        <v>3.5</v>
      </c>
      <c r="BX14" s="3">
        <v>2</v>
      </c>
      <c r="BY14" s="12">
        <f t="shared" si="71"/>
        <v>7</v>
      </c>
      <c r="BZ14" s="3">
        <v>75.7</v>
      </c>
      <c r="CA14" s="4" t="str">
        <f t="shared" si="14"/>
        <v>B+</v>
      </c>
      <c r="CB14" s="3">
        <f t="shared" si="15"/>
        <v>3.5</v>
      </c>
      <c r="CC14" s="3">
        <v>2</v>
      </c>
      <c r="CD14" s="12">
        <f t="shared" si="72"/>
        <v>7</v>
      </c>
      <c r="CE14" s="20">
        <v>75.599999999999994</v>
      </c>
      <c r="CF14" s="4" t="str">
        <f t="shared" si="16"/>
        <v>B+</v>
      </c>
      <c r="CG14" s="3">
        <f t="shared" si="73"/>
        <v>3.5</v>
      </c>
      <c r="CH14" s="3">
        <v>2</v>
      </c>
      <c r="CI14" s="12">
        <f t="shared" si="74"/>
        <v>7</v>
      </c>
      <c r="CJ14" s="6">
        <v>71.325000000000003</v>
      </c>
      <c r="CK14" s="4" t="str">
        <f t="shared" si="18"/>
        <v>B</v>
      </c>
      <c r="CL14" s="3">
        <f t="shared" si="75"/>
        <v>3</v>
      </c>
      <c r="CM14" s="3">
        <v>2</v>
      </c>
      <c r="CN14" s="12">
        <f t="shared" si="76"/>
        <v>6</v>
      </c>
      <c r="CO14" s="7">
        <v>70.400000000000006</v>
      </c>
      <c r="CP14" s="4" t="str">
        <f t="shared" si="20"/>
        <v>B</v>
      </c>
      <c r="CQ14" s="3">
        <f t="shared" si="21"/>
        <v>3</v>
      </c>
      <c r="CR14" s="3">
        <v>2</v>
      </c>
      <c r="CS14" s="12">
        <f t="shared" si="77"/>
        <v>6</v>
      </c>
      <c r="CT14" s="15">
        <v>80.599999999999994</v>
      </c>
      <c r="CU14" s="4" t="str">
        <f t="shared" si="22"/>
        <v>A</v>
      </c>
      <c r="CV14" s="3">
        <f t="shared" si="78"/>
        <v>4</v>
      </c>
      <c r="CW14" s="3">
        <v>2</v>
      </c>
      <c r="CX14" s="12">
        <f t="shared" si="79"/>
        <v>8</v>
      </c>
      <c r="CY14" s="21">
        <v>80.599999999999994</v>
      </c>
      <c r="CZ14" s="4" t="str">
        <f t="shared" si="24"/>
        <v>A</v>
      </c>
      <c r="DA14" s="3">
        <f t="shared" si="80"/>
        <v>4</v>
      </c>
      <c r="DB14" s="3">
        <v>2</v>
      </c>
      <c r="DC14" s="12">
        <f t="shared" si="81"/>
        <v>8</v>
      </c>
      <c r="DD14" s="3">
        <v>80</v>
      </c>
      <c r="DE14" s="4" t="str">
        <f t="shared" si="26"/>
        <v>A</v>
      </c>
      <c r="DF14" s="3">
        <f t="shared" si="82"/>
        <v>4</v>
      </c>
      <c r="DG14" s="3">
        <v>2</v>
      </c>
      <c r="DH14" s="12">
        <f t="shared" si="83"/>
        <v>8</v>
      </c>
      <c r="DI14" s="3">
        <v>80</v>
      </c>
      <c r="DJ14" s="4" t="str">
        <f t="shared" si="28"/>
        <v>A</v>
      </c>
      <c r="DK14" s="3">
        <f t="shared" si="84"/>
        <v>4</v>
      </c>
      <c r="DL14" s="3">
        <v>4</v>
      </c>
      <c r="DM14" s="12">
        <f t="shared" si="85"/>
        <v>16</v>
      </c>
      <c r="DN14" s="3">
        <v>88</v>
      </c>
      <c r="DO14" s="3">
        <v>24</v>
      </c>
      <c r="DP14" s="3">
        <v>87</v>
      </c>
      <c r="DQ14" s="3">
        <v>24</v>
      </c>
      <c r="DR14" s="3">
        <v>175</v>
      </c>
      <c r="DS14" s="3">
        <v>48</v>
      </c>
      <c r="DT14" s="9">
        <v>3.6458333333333335</v>
      </c>
      <c r="DU14" s="9">
        <v>3.6458333333333335</v>
      </c>
      <c r="DV14" s="12" t="str">
        <f t="shared" si="86"/>
        <v>Cum Laude</v>
      </c>
      <c r="DW14" s="12" t="str">
        <f t="shared" si="87"/>
        <v>Excellent</v>
      </c>
      <c r="DX14" s="22" t="s">
        <v>169</v>
      </c>
      <c r="DY14" s="26" t="s">
        <v>191</v>
      </c>
    </row>
    <row r="15" spans="1:129" ht="30" customHeight="1" x14ac:dyDescent="0.25">
      <c r="A15" s="3">
        <v>13</v>
      </c>
      <c r="B15" s="2" t="s">
        <v>38</v>
      </c>
      <c r="C15" s="2">
        <v>172312032</v>
      </c>
      <c r="D15" s="11" t="s">
        <v>88</v>
      </c>
      <c r="E15" s="13" t="s">
        <v>98</v>
      </c>
      <c r="F15" s="28" t="s">
        <v>218</v>
      </c>
      <c r="G15" s="27" t="s">
        <v>230</v>
      </c>
      <c r="H15" s="6">
        <v>80.533333333333331</v>
      </c>
      <c r="I15" s="4" t="str">
        <f t="shared" si="30"/>
        <v>A</v>
      </c>
      <c r="J15" s="3">
        <f t="shared" si="31"/>
        <v>4</v>
      </c>
      <c r="K15" s="3">
        <v>2</v>
      </c>
      <c r="L15" s="12">
        <f t="shared" si="32"/>
        <v>8</v>
      </c>
      <c r="M15" s="7">
        <v>85.566666666666663</v>
      </c>
      <c r="N15" s="4" t="str">
        <f t="shared" si="33"/>
        <v>A</v>
      </c>
      <c r="O15" s="3">
        <f t="shared" si="34"/>
        <v>4</v>
      </c>
      <c r="P15" s="3">
        <v>2</v>
      </c>
      <c r="Q15" s="12">
        <f t="shared" si="35"/>
        <v>8</v>
      </c>
      <c r="R15" s="14">
        <v>79.05</v>
      </c>
      <c r="S15" s="4" t="str">
        <f t="shared" si="36"/>
        <v>B+</v>
      </c>
      <c r="T15" s="3">
        <f t="shared" si="37"/>
        <v>3.5</v>
      </c>
      <c r="U15" s="3">
        <v>2</v>
      </c>
      <c r="V15" s="12">
        <f t="shared" si="38"/>
        <v>7</v>
      </c>
      <c r="W15" s="9">
        <v>80.599999999999994</v>
      </c>
      <c r="X15" s="4" t="str">
        <f t="shared" si="39"/>
        <v>A</v>
      </c>
      <c r="Y15" s="3">
        <f t="shared" si="40"/>
        <v>4</v>
      </c>
      <c r="Z15" s="3">
        <v>3</v>
      </c>
      <c r="AA15" s="12">
        <f t="shared" si="41"/>
        <v>12</v>
      </c>
      <c r="AB15" s="3">
        <v>83.550000000000011</v>
      </c>
      <c r="AC15" s="4" t="str">
        <f t="shared" si="42"/>
        <v>A</v>
      </c>
      <c r="AD15" s="3">
        <f t="shared" si="43"/>
        <v>4</v>
      </c>
      <c r="AE15" s="3">
        <v>2</v>
      </c>
      <c r="AF15" s="12">
        <f t="shared" si="44"/>
        <v>8</v>
      </c>
      <c r="AG15" s="3">
        <v>85.566666666666663</v>
      </c>
      <c r="AH15" s="4" t="str">
        <f t="shared" si="45"/>
        <v>A</v>
      </c>
      <c r="AI15" s="3">
        <f t="shared" si="46"/>
        <v>4</v>
      </c>
      <c r="AJ15" s="3">
        <v>2</v>
      </c>
      <c r="AK15" s="12">
        <f t="shared" si="47"/>
        <v>8</v>
      </c>
      <c r="AL15" s="3">
        <v>80</v>
      </c>
      <c r="AM15" s="4" t="str">
        <f t="shared" si="48"/>
        <v>A</v>
      </c>
      <c r="AN15" s="3">
        <f t="shared" si="49"/>
        <v>4</v>
      </c>
      <c r="AO15" s="3">
        <v>2</v>
      </c>
      <c r="AP15" s="12">
        <f t="shared" si="50"/>
        <v>8</v>
      </c>
      <c r="AQ15" s="9">
        <v>82.1</v>
      </c>
      <c r="AR15" s="4" t="str">
        <f t="shared" si="51"/>
        <v>A</v>
      </c>
      <c r="AS15" s="3">
        <f t="shared" si="52"/>
        <v>4</v>
      </c>
      <c r="AT15" s="3">
        <v>2</v>
      </c>
      <c r="AU15" s="12">
        <f t="shared" si="53"/>
        <v>8</v>
      </c>
      <c r="AV15" s="8">
        <v>72.400000000000006</v>
      </c>
      <c r="AW15" s="4" t="str">
        <f t="shared" si="54"/>
        <v>B</v>
      </c>
      <c r="AX15" s="3">
        <f t="shared" si="55"/>
        <v>3</v>
      </c>
      <c r="AY15" s="3">
        <v>3</v>
      </c>
      <c r="AZ15" s="12">
        <f t="shared" si="56"/>
        <v>9</v>
      </c>
      <c r="BA15" s="3">
        <v>73.125</v>
      </c>
      <c r="BB15" s="4" t="str">
        <f t="shared" si="57"/>
        <v>B</v>
      </c>
      <c r="BC15" s="3">
        <f t="shared" si="58"/>
        <v>3</v>
      </c>
      <c r="BD15" s="3">
        <v>2</v>
      </c>
      <c r="BE15" s="12">
        <f t="shared" si="59"/>
        <v>6</v>
      </c>
      <c r="BF15" s="3">
        <v>80.599999999999994</v>
      </c>
      <c r="BG15" s="4" t="str">
        <f t="shared" si="60"/>
        <v>A</v>
      </c>
      <c r="BH15" s="3">
        <f t="shared" si="61"/>
        <v>4</v>
      </c>
      <c r="BI15" s="3">
        <v>2</v>
      </c>
      <c r="BJ15" s="12">
        <f t="shared" si="62"/>
        <v>8</v>
      </c>
      <c r="BK15" s="16">
        <v>80.240000000000009</v>
      </c>
      <c r="BL15" s="4" t="str">
        <f t="shared" si="63"/>
        <v>A</v>
      </c>
      <c r="BM15" s="3">
        <f t="shared" si="64"/>
        <v>4</v>
      </c>
      <c r="BN15" s="3">
        <v>2</v>
      </c>
      <c r="BO15" s="12">
        <f t="shared" si="65"/>
        <v>8</v>
      </c>
      <c r="BP15" s="19">
        <v>80.75</v>
      </c>
      <c r="BQ15" s="4" t="str">
        <f t="shared" si="66"/>
        <v>A</v>
      </c>
      <c r="BR15" s="3">
        <f t="shared" si="67"/>
        <v>4</v>
      </c>
      <c r="BS15" s="3">
        <v>2</v>
      </c>
      <c r="BT15" s="12">
        <f t="shared" si="68"/>
        <v>8</v>
      </c>
      <c r="BU15" s="5">
        <v>72.2</v>
      </c>
      <c r="BV15" s="4" t="str">
        <f t="shared" si="69"/>
        <v>B</v>
      </c>
      <c r="BW15" s="3">
        <f t="shared" si="70"/>
        <v>3</v>
      </c>
      <c r="BX15" s="3">
        <v>2</v>
      </c>
      <c r="BY15" s="12">
        <f t="shared" si="71"/>
        <v>6</v>
      </c>
      <c r="BZ15" s="3">
        <v>81</v>
      </c>
      <c r="CA15" s="4" t="str">
        <f t="shared" ref="CA15:CA40" si="88">IF(BZ15&gt;=80,"A",IF(BZ15&gt;=75,"B+",IF(BZ15&gt;=70,"B",IF(BZ15&gt;=65,"C+",IF(BZ15&gt;=60,"C",IF(BZ15&gt;=55,"D",IF(BZ15&lt;54,"E")))))))</f>
        <v>A</v>
      </c>
      <c r="CB15" s="3">
        <f t="shared" ref="CB15" si="89">IF(CA15="A",4,IF(CA15="B+",3.5,IF(CA15="B",3,IF(CA15="C+",2.5,IF(CA15="C",2,IF(CA15="D",1,0))))))</f>
        <v>4</v>
      </c>
      <c r="CC15" s="3">
        <v>2</v>
      </c>
      <c r="CD15" s="12">
        <f t="shared" si="72"/>
        <v>8</v>
      </c>
      <c r="CE15" s="20">
        <v>78.400000000000006</v>
      </c>
      <c r="CF15" s="4" t="str">
        <f t="shared" si="16"/>
        <v>B+</v>
      </c>
      <c r="CG15" s="3">
        <f t="shared" si="73"/>
        <v>3.5</v>
      </c>
      <c r="CH15" s="3">
        <v>2</v>
      </c>
      <c r="CI15" s="12">
        <f t="shared" si="74"/>
        <v>7</v>
      </c>
      <c r="CJ15" s="6">
        <v>77.224999999999994</v>
      </c>
      <c r="CK15" s="4" t="str">
        <f t="shared" si="18"/>
        <v>B+</v>
      </c>
      <c r="CL15" s="3">
        <f t="shared" si="75"/>
        <v>3.5</v>
      </c>
      <c r="CM15" s="3">
        <v>2</v>
      </c>
      <c r="CN15" s="12">
        <f t="shared" si="76"/>
        <v>7</v>
      </c>
      <c r="CO15" s="7">
        <v>73.599999999999994</v>
      </c>
      <c r="CP15" s="4" t="str">
        <f t="shared" ref="CP15:CP40" si="90">IF(CO15&gt;=80,"A",IF(CO15&gt;=75,"B+",IF(CO15&gt;=70,"B",IF(CO15&gt;=65,"C+",IF(CO15&gt;=60,"C",IF(CO15&gt;=55,"D",IF(CO15&lt;54,"E")))))))</f>
        <v>B</v>
      </c>
      <c r="CQ15" s="3">
        <f t="shared" ref="CQ15" si="91">IF(CP15="A",4,IF(CP15="B+",3.5,IF(CP15="B",3,IF(CP15="C+",2.5,IF(CP15="C",2,IF(CP15="D",1,0))))))</f>
        <v>3</v>
      </c>
      <c r="CR15" s="3">
        <v>2</v>
      </c>
      <c r="CS15" s="12">
        <f t="shared" si="77"/>
        <v>6</v>
      </c>
      <c r="CT15" s="15">
        <v>81.599999999999994</v>
      </c>
      <c r="CU15" s="4" t="str">
        <f t="shared" si="22"/>
        <v>A</v>
      </c>
      <c r="CV15" s="3">
        <f t="shared" si="78"/>
        <v>4</v>
      </c>
      <c r="CW15" s="3">
        <v>2</v>
      </c>
      <c r="CX15" s="12">
        <f t="shared" si="79"/>
        <v>8</v>
      </c>
      <c r="CY15" s="21">
        <v>81.599999999999994</v>
      </c>
      <c r="CZ15" s="4" t="str">
        <f t="shared" si="24"/>
        <v>A</v>
      </c>
      <c r="DA15" s="3">
        <f t="shared" si="80"/>
        <v>4</v>
      </c>
      <c r="DB15" s="3">
        <v>2</v>
      </c>
      <c r="DC15" s="12">
        <f t="shared" si="81"/>
        <v>8</v>
      </c>
      <c r="DD15" s="3">
        <v>79.599999999999994</v>
      </c>
      <c r="DE15" s="4" t="str">
        <f t="shared" si="26"/>
        <v>B+</v>
      </c>
      <c r="DF15" s="3">
        <f t="shared" si="82"/>
        <v>3.5</v>
      </c>
      <c r="DG15" s="3">
        <v>2</v>
      </c>
      <c r="DH15" s="12">
        <f t="shared" si="83"/>
        <v>7</v>
      </c>
      <c r="DI15" s="3">
        <v>81.319999999999993</v>
      </c>
      <c r="DJ15" s="4" t="str">
        <f t="shared" si="28"/>
        <v>A</v>
      </c>
      <c r="DK15" s="3">
        <f t="shared" si="84"/>
        <v>4</v>
      </c>
      <c r="DL15" s="3">
        <v>4</v>
      </c>
      <c r="DM15" s="12">
        <f t="shared" si="85"/>
        <v>16</v>
      </c>
      <c r="DN15" s="3">
        <v>90</v>
      </c>
      <c r="DO15" s="3">
        <v>24</v>
      </c>
      <c r="DP15" s="3">
        <v>89</v>
      </c>
      <c r="DQ15" s="3">
        <v>24</v>
      </c>
      <c r="DR15" s="3">
        <v>179</v>
      </c>
      <c r="DS15" s="3">
        <v>48</v>
      </c>
      <c r="DT15" s="9">
        <v>3.7291666666666665</v>
      </c>
      <c r="DU15" s="9">
        <v>3.7291666666666665</v>
      </c>
      <c r="DV15" s="12" t="str">
        <f t="shared" si="86"/>
        <v>Cum Laude</v>
      </c>
      <c r="DW15" s="12" t="str">
        <f t="shared" si="87"/>
        <v>Excellent</v>
      </c>
      <c r="DX15" s="22" t="s">
        <v>170</v>
      </c>
      <c r="DY15" s="26" t="s">
        <v>192</v>
      </c>
    </row>
    <row r="16" spans="1:129" x14ac:dyDescent="0.25">
      <c r="A16" s="3">
        <v>14</v>
      </c>
      <c r="B16" s="2" t="s">
        <v>39</v>
      </c>
      <c r="C16" s="2">
        <v>172312033</v>
      </c>
      <c r="D16" s="11" t="s">
        <v>99</v>
      </c>
      <c r="E16" s="13" t="s">
        <v>100</v>
      </c>
      <c r="F16" s="28" t="s">
        <v>218</v>
      </c>
      <c r="G16" s="27" t="s">
        <v>231</v>
      </c>
      <c r="H16" s="6">
        <v>80.133333333333326</v>
      </c>
      <c r="I16" s="4" t="str">
        <f t="shared" si="30"/>
        <v>A</v>
      </c>
      <c r="J16" s="3">
        <f t="shared" si="31"/>
        <v>4</v>
      </c>
      <c r="K16" s="3">
        <v>2</v>
      </c>
      <c r="L16" s="12">
        <f t="shared" si="32"/>
        <v>8</v>
      </c>
      <c r="M16" s="7">
        <v>82.233333333333334</v>
      </c>
      <c r="N16" s="4" t="str">
        <f t="shared" si="33"/>
        <v>A</v>
      </c>
      <c r="O16" s="3">
        <f t="shared" si="34"/>
        <v>4</v>
      </c>
      <c r="P16" s="3">
        <v>2</v>
      </c>
      <c r="Q16" s="12">
        <f t="shared" si="35"/>
        <v>8</v>
      </c>
      <c r="R16" s="14">
        <v>78.400000000000006</v>
      </c>
      <c r="S16" s="4" t="str">
        <f t="shared" si="36"/>
        <v>B+</v>
      </c>
      <c r="T16" s="3">
        <f t="shared" si="37"/>
        <v>3.5</v>
      </c>
      <c r="U16" s="3">
        <v>2</v>
      </c>
      <c r="V16" s="12">
        <f t="shared" si="38"/>
        <v>7</v>
      </c>
      <c r="W16" s="9">
        <v>80</v>
      </c>
      <c r="X16" s="4" t="str">
        <f t="shared" si="39"/>
        <v>A</v>
      </c>
      <c r="Y16" s="3">
        <f t="shared" si="40"/>
        <v>4</v>
      </c>
      <c r="Z16" s="3">
        <v>3</v>
      </c>
      <c r="AA16" s="12">
        <f t="shared" si="41"/>
        <v>12</v>
      </c>
      <c r="AB16" s="3">
        <v>81.150000000000006</v>
      </c>
      <c r="AC16" s="4" t="str">
        <f t="shared" si="42"/>
        <v>A</v>
      </c>
      <c r="AD16" s="3">
        <f t="shared" si="43"/>
        <v>4</v>
      </c>
      <c r="AE16" s="3">
        <v>2</v>
      </c>
      <c r="AF16" s="12">
        <f t="shared" si="44"/>
        <v>8</v>
      </c>
      <c r="AG16" s="3">
        <v>82.233333333333334</v>
      </c>
      <c r="AH16" s="4" t="str">
        <f t="shared" si="45"/>
        <v>A</v>
      </c>
      <c r="AI16" s="3">
        <f t="shared" si="46"/>
        <v>4</v>
      </c>
      <c r="AJ16" s="3">
        <v>2</v>
      </c>
      <c r="AK16" s="12">
        <f t="shared" si="47"/>
        <v>8</v>
      </c>
      <c r="AL16" s="3">
        <v>80</v>
      </c>
      <c r="AM16" s="4" t="str">
        <f t="shared" si="48"/>
        <v>A</v>
      </c>
      <c r="AN16" s="3">
        <f t="shared" si="49"/>
        <v>4</v>
      </c>
      <c r="AO16" s="3">
        <v>2</v>
      </c>
      <c r="AP16" s="12">
        <f t="shared" si="50"/>
        <v>8</v>
      </c>
      <c r="AQ16" s="9">
        <v>82.233333333333334</v>
      </c>
      <c r="AR16" s="4" t="str">
        <f t="shared" si="51"/>
        <v>A</v>
      </c>
      <c r="AS16" s="3">
        <f t="shared" si="52"/>
        <v>4</v>
      </c>
      <c r="AT16" s="3">
        <v>2</v>
      </c>
      <c r="AU16" s="12">
        <f t="shared" si="53"/>
        <v>8</v>
      </c>
      <c r="AV16" s="8">
        <v>72.400000000000006</v>
      </c>
      <c r="AW16" s="4" t="str">
        <f t="shared" si="54"/>
        <v>B</v>
      </c>
      <c r="AX16" s="3">
        <f t="shared" si="55"/>
        <v>3</v>
      </c>
      <c r="AY16" s="3">
        <v>3</v>
      </c>
      <c r="AZ16" s="12">
        <f t="shared" si="56"/>
        <v>9</v>
      </c>
      <c r="BA16" s="3">
        <v>74.924999999999997</v>
      </c>
      <c r="BB16" s="4" t="str">
        <f t="shared" si="57"/>
        <v>B</v>
      </c>
      <c r="BC16" s="3">
        <f t="shared" si="58"/>
        <v>3</v>
      </c>
      <c r="BD16" s="3">
        <v>2</v>
      </c>
      <c r="BE16" s="12">
        <f t="shared" si="59"/>
        <v>6</v>
      </c>
      <c r="BF16" s="3">
        <v>80.599999999999994</v>
      </c>
      <c r="BG16" s="4" t="str">
        <f t="shared" si="60"/>
        <v>A</v>
      </c>
      <c r="BH16" s="3">
        <f t="shared" si="61"/>
        <v>4</v>
      </c>
      <c r="BI16" s="3">
        <v>2</v>
      </c>
      <c r="BJ16" s="12">
        <f t="shared" si="62"/>
        <v>8</v>
      </c>
      <c r="BK16" s="16">
        <v>80.599999999999994</v>
      </c>
      <c r="BL16" s="4" t="str">
        <f t="shared" si="63"/>
        <v>A</v>
      </c>
      <c r="BM16" s="3">
        <f t="shared" si="64"/>
        <v>4</v>
      </c>
      <c r="BN16" s="17">
        <v>2</v>
      </c>
      <c r="BO16" s="12">
        <f t="shared" si="65"/>
        <v>8</v>
      </c>
      <c r="BP16" s="19">
        <v>80.349999999999994</v>
      </c>
      <c r="BQ16" s="4" t="str">
        <f t="shared" si="66"/>
        <v>A</v>
      </c>
      <c r="BR16" s="3">
        <f t="shared" si="67"/>
        <v>4</v>
      </c>
      <c r="BS16" s="3">
        <v>2</v>
      </c>
      <c r="BT16" s="12">
        <f t="shared" si="68"/>
        <v>8</v>
      </c>
      <c r="BU16" s="5">
        <v>72</v>
      </c>
      <c r="BV16" s="4" t="str">
        <f t="shared" si="69"/>
        <v>B</v>
      </c>
      <c r="BW16" s="3">
        <f t="shared" si="70"/>
        <v>3</v>
      </c>
      <c r="BX16" s="3">
        <v>2</v>
      </c>
      <c r="BY16" s="12">
        <f t="shared" si="71"/>
        <v>6</v>
      </c>
      <c r="BZ16" s="3">
        <v>82.2</v>
      </c>
      <c r="CA16" s="4" t="str">
        <f t="shared" si="88"/>
        <v>A</v>
      </c>
      <c r="CB16" s="3">
        <f t="shared" ref="CB16:CB40" si="92">IF(CA16="A",4,IF(CA16="B+",3.5,IF(CA16="B",3,IF(CA16="C+",2.5,IF(CA16="C",2,IF(CA16="D",1,0))))))</f>
        <v>4</v>
      </c>
      <c r="CC16" s="3">
        <v>2</v>
      </c>
      <c r="CD16" s="12">
        <f t="shared" si="72"/>
        <v>8</v>
      </c>
      <c r="CE16" s="20">
        <v>81.199999999999989</v>
      </c>
      <c r="CF16" s="4" t="str">
        <f t="shared" si="16"/>
        <v>A</v>
      </c>
      <c r="CG16" s="3">
        <f t="shared" si="73"/>
        <v>4</v>
      </c>
      <c r="CH16" s="3">
        <v>2</v>
      </c>
      <c r="CI16" s="12">
        <f t="shared" si="74"/>
        <v>8</v>
      </c>
      <c r="CJ16" s="6">
        <v>76.125</v>
      </c>
      <c r="CK16" s="4" t="str">
        <f t="shared" si="18"/>
        <v>B+</v>
      </c>
      <c r="CL16" s="3">
        <f t="shared" si="75"/>
        <v>3.5</v>
      </c>
      <c r="CM16" s="3">
        <v>2</v>
      </c>
      <c r="CN16" s="12">
        <f t="shared" si="76"/>
        <v>7</v>
      </c>
      <c r="CO16" s="7">
        <v>80</v>
      </c>
      <c r="CP16" s="4" t="str">
        <f t="shared" si="90"/>
        <v>A</v>
      </c>
      <c r="CQ16" s="3">
        <f t="shared" ref="CQ16:CQ40" si="93">IF(CP16="A",4,IF(CP16="B+",3.5,IF(CP16="B",3,IF(CP16="C+",2.5,IF(CP16="C",2,IF(CP16="D",1,0))))))</f>
        <v>4</v>
      </c>
      <c r="CR16" s="3">
        <v>2</v>
      </c>
      <c r="CS16" s="12">
        <f t="shared" si="77"/>
        <v>8</v>
      </c>
      <c r="CT16" s="15">
        <v>80.2</v>
      </c>
      <c r="CU16" s="4" t="str">
        <f t="shared" si="22"/>
        <v>A</v>
      </c>
      <c r="CV16" s="3">
        <f t="shared" si="78"/>
        <v>4</v>
      </c>
      <c r="CW16" s="3">
        <v>2</v>
      </c>
      <c r="CX16" s="12">
        <f t="shared" si="79"/>
        <v>8</v>
      </c>
      <c r="CY16" s="21">
        <v>79</v>
      </c>
      <c r="CZ16" s="4" t="str">
        <f t="shared" si="24"/>
        <v>B+</v>
      </c>
      <c r="DA16" s="3">
        <f t="shared" si="80"/>
        <v>3.5</v>
      </c>
      <c r="DB16" s="3">
        <v>2</v>
      </c>
      <c r="DC16" s="12">
        <f t="shared" si="81"/>
        <v>7</v>
      </c>
      <c r="DD16" s="3">
        <v>79.599999999999994</v>
      </c>
      <c r="DE16" s="4" t="str">
        <f t="shared" si="26"/>
        <v>B+</v>
      </c>
      <c r="DF16" s="3">
        <f t="shared" si="82"/>
        <v>3.5</v>
      </c>
      <c r="DG16" s="3">
        <v>2</v>
      </c>
      <c r="DH16" s="12">
        <f t="shared" si="83"/>
        <v>7</v>
      </c>
      <c r="DI16" s="3">
        <v>80.164999999999992</v>
      </c>
      <c r="DJ16" s="4" t="str">
        <f t="shared" si="28"/>
        <v>A</v>
      </c>
      <c r="DK16" s="3">
        <f t="shared" si="84"/>
        <v>4</v>
      </c>
      <c r="DL16" s="3">
        <v>4</v>
      </c>
      <c r="DM16" s="12">
        <f t="shared" si="85"/>
        <v>16</v>
      </c>
      <c r="DN16" s="3">
        <v>90</v>
      </c>
      <c r="DO16" s="3">
        <v>24</v>
      </c>
      <c r="DP16" s="3">
        <v>91</v>
      </c>
      <c r="DQ16" s="3">
        <v>24</v>
      </c>
      <c r="DR16" s="3">
        <v>181</v>
      </c>
      <c r="DS16" s="3">
        <v>48</v>
      </c>
      <c r="DT16" s="9">
        <v>3.7708333333333335</v>
      </c>
      <c r="DU16" s="9">
        <v>3.7708333333333335</v>
      </c>
      <c r="DV16" s="12" t="str">
        <f t="shared" si="86"/>
        <v>Cum Laude</v>
      </c>
      <c r="DW16" s="12" t="str">
        <f t="shared" si="87"/>
        <v>Excellent</v>
      </c>
      <c r="DX16" s="22" t="s">
        <v>142</v>
      </c>
      <c r="DY16" s="26" t="s">
        <v>193</v>
      </c>
    </row>
    <row r="17" spans="1:129" x14ac:dyDescent="0.25">
      <c r="A17" s="29">
        <v>15</v>
      </c>
      <c r="B17" s="2" t="s">
        <v>40</v>
      </c>
      <c r="C17" s="2">
        <v>172312034</v>
      </c>
      <c r="D17" s="11" t="s">
        <v>101</v>
      </c>
      <c r="E17" s="13" t="s">
        <v>102</v>
      </c>
      <c r="F17" s="28" t="s">
        <v>218</v>
      </c>
      <c r="G17" s="27" t="s">
        <v>232</v>
      </c>
      <c r="H17" s="6">
        <v>80.26666666666668</v>
      </c>
      <c r="I17" s="4" t="str">
        <f t="shared" si="30"/>
        <v>A</v>
      </c>
      <c r="J17" s="3">
        <f t="shared" si="31"/>
        <v>4</v>
      </c>
      <c r="K17" s="3">
        <v>2</v>
      </c>
      <c r="L17" s="12">
        <f t="shared" si="32"/>
        <v>8</v>
      </c>
      <c r="M17" s="7">
        <v>85.7</v>
      </c>
      <c r="N17" s="4" t="str">
        <f t="shared" si="33"/>
        <v>A</v>
      </c>
      <c r="O17" s="3">
        <f t="shared" si="34"/>
        <v>4</v>
      </c>
      <c r="P17" s="3">
        <v>2</v>
      </c>
      <c r="Q17" s="12">
        <f t="shared" si="35"/>
        <v>8</v>
      </c>
      <c r="R17" s="14">
        <v>78.900000000000006</v>
      </c>
      <c r="S17" s="4" t="str">
        <f t="shared" si="36"/>
        <v>B+</v>
      </c>
      <c r="T17" s="3">
        <f t="shared" si="37"/>
        <v>3.5</v>
      </c>
      <c r="U17" s="3">
        <v>2</v>
      </c>
      <c r="V17" s="12">
        <f t="shared" si="38"/>
        <v>7</v>
      </c>
      <c r="W17" s="9">
        <v>80.599999999999994</v>
      </c>
      <c r="X17" s="4" t="str">
        <f t="shared" si="39"/>
        <v>A</v>
      </c>
      <c r="Y17" s="3">
        <f t="shared" si="40"/>
        <v>4</v>
      </c>
      <c r="Z17" s="3">
        <v>3</v>
      </c>
      <c r="AA17" s="12">
        <f t="shared" si="41"/>
        <v>12</v>
      </c>
      <c r="AB17" s="3">
        <v>83.100000000000009</v>
      </c>
      <c r="AC17" s="4" t="str">
        <f t="shared" si="42"/>
        <v>A</v>
      </c>
      <c r="AD17" s="3">
        <f t="shared" si="43"/>
        <v>4</v>
      </c>
      <c r="AE17" s="3">
        <v>2</v>
      </c>
      <c r="AF17" s="12">
        <f t="shared" si="44"/>
        <v>8</v>
      </c>
      <c r="AG17" s="3">
        <v>85.7</v>
      </c>
      <c r="AH17" s="4" t="str">
        <f t="shared" si="45"/>
        <v>A</v>
      </c>
      <c r="AI17" s="3">
        <f t="shared" si="46"/>
        <v>4</v>
      </c>
      <c r="AJ17" s="3">
        <v>2</v>
      </c>
      <c r="AK17" s="12">
        <f t="shared" si="47"/>
        <v>8</v>
      </c>
      <c r="AL17" s="3">
        <v>80</v>
      </c>
      <c r="AM17" s="4" t="str">
        <f t="shared" si="48"/>
        <v>A</v>
      </c>
      <c r="AN17" s="3">
        <f t="shared" si="49"/>
        <v>4</v>
      </c>
      <c r="AO17" s="3">
        <v>2</v>
      </c>
      <c r="AP17" s="12">
        <f t="shared" si="50"/>
        <v>8</v>
      </c>
      <c r="AQ17" s="9">
        <v>82.233333333333334</v>
      </c>
      <c r="AR17" s="4" t="str">
        <f t="shared" si="51"/>
        <v>A</v>
      </c>
      <c r="AS17" s="3">
        <f t="shared" si="52"/>
        <v>4</v>
      </c>
      <c r="AT17" s="3">
        <v>2</v>
      </c>
      <c r="AU17" s="12">
        <f t="shared" si="53"/>
        <v>8</v>
      </c>
      <c r="AV17" s="8">
        <v>72.400000000000006</v>
      </c>
      <c r="AW17" s="4" t="str">
        <f t="shared" si="54"/>
        <v>B</v>
      </c>
      <c r="AX17" s="3">
        <f t="shared" si="55"/>
        <v>3</v>
      </c>
      <c r="AY17" s="3">
        <v>3</v>
      </c>
      <c r="AZ17" s="12">
        <f t="shared" si="56"/>
        <v>9</v>
      </c>
      <c r="BA17" s="3">
        <v>76.924999999999997</v>
      </c>
      <c r="BB17" s="4" t="str">
        <f t="shared" si="57"/>
        <v>B+</v>
      </c>
      <c r="BC17" s="3">
        <f t="shared" si="58"/>
        <v>3.5</v>
      </c>
      <c r="BD17" s="3">
        <v>2</v>
      </c>
      <c r="BE17" s="12">
        <f t="shared" si="59"/>
        <v>7</v>
      </c>
      <c r="BF17" s="3">
        <v>80.599999999999994</v>
      </c>
      <c r="BG17" s="4" t="str">
        <f t="shared" si="60"/>
        <v>A</v>
      </c>
      <c r="BH17" s="3">
        <f t="shared" si="61"/>
        <v>4</v>
      </c>
      <c r="BI17" s="3">
        <v>2</v>
      </c>
      <c r="BJ17" s="12">
        <f t="shared" si="62"/>
        <v>8</v>
      </c>
      <c r="BK17" s="16">
        <v>80.26666666666668</v>
      </c>
      <c r="BL17" s="4" t="str">
        <f t="shared" si="63"/>
        <v>A</v>
      </c>
      <c r="BM17" s="3">
        <f t="shared" si="64"/>
        <v>4</v>
      </c>
      <c r="BN17" s="17">
        <v>2</v>
      </c>
      <c r="BO17" s="12">
        <f t="shared" si="65"/>
        <v>8</v>
      </c>
      <c r="BP17" s="19">
        <v>80.349999999999994</v>
      </c>
      <c r="BQ17" s="4" t="str">
        <f t="shared" si="66"/>
        <v>A</v>
      </c>
      <c r="BR17" s="3">
        <f t="shared" si="67"/>
        <v>4</v>
      </c>
      <c r="BS17" s="3">
        <v>2</v>
      </c>
      <c r="BT17" s="12">
        <f t="shared" si="68"/>
        <v>8</v>
      </c>
      <c r="BU17" s="5">
        <v>71.2</v>
      </c>
      <c r="BV17" s="4" t="str">
        <f t="shared" si="69"/>
        <v>B</v>
      </c>
      <c r="BW17" s="3">
        <f t="shared" si="70"/>
        <v>3</v>
      </c>
      <c r="BX17" s="3">
        <v>2</v>
      </c>
      <c r="BY17" s="12">
        <f t="shared" si="71"/>
        <v>6</v>
      </c>
      <c r="BZ17" s="3">
        <v>82</v>
      </c>
      <c r="CA17" s="4" t="str">
        <f t="shared" si="88"/>
        <v>A</v>
      </c>
      <c r="CB17" s="3">
        <f t="shared" si="92"/>
        <v>4</v>
      </c>
      <c r="CC17" s="3">
        <v>2</v>
      </c>
      <c r="CD17" s="12">
        <f t="shared" si="72"/>
        <v>8</v>
      </c>
      <c r="CE17" s="20">
        <v>78.400000000000006</v>
      </c>
      <c r="CF17" s="4" t="str">
        <f t="shared" si="16"/>
        <v>B+</v>
      </c>
      <c r="CG17" s="3">
        <f t="shared" si="73"/>
        <v>3.5</v>
      </c>
      <c r="CH17" s="3">
        <v>2</v>
      </c>
      <c r="CI17" s="12">
        <f t="shared" si="74"/>
        <v>7</v>
      </c>
      <c r="CJ17" s="6">
        <v>78.625</v>
      </c>
      <c r="CK17" s="4" t="str">
        <f t="shared" si="18"/>
        <v>B+</v>
      </c>
      <c r="CL17" s="3">
        <f t="shared" si="75"/>
        <v>3.5</v>
      </c>
      <c r="CM17" s="3">
        <v>2</v>
      </c>
      <c r="CN17" s="12">
        <f t="shared" si="76"/>
        <v>7</v>
      </c>
      <c r="CO17" s="7">
        <v>76.8</v>
      </c>
      <c r="CP17" s="4" t="str">
        <f t="shared" si="90"/>
        <v>B+</v>
      </c>
      <c r="CQ17" s="3">
        <f t="shared" si="93"/>
        <v>3.5</v>
      </c>
      <c r="CR17" s="3">
        <v>2</v>
      </c>
      <c r="CS17" s="12">
        <f t="shared" si="77"/>
        <v>7</v>
      </c>
      <c r="CT17" s="15">
        <v>80.2</v>
      </c>
      <c r="CU17" s="4" t="str">
        <f t="shared" si="22"/>
        <v>A</v>
      </c>
      <c r="CV17" s="3">
        <f t="shared" si="78"/>
        <v>4</v>
      </c>
      <c r="CW17" s="3">
        <v>2</v>
      </c>
      <c r="CX17" s="12">
        <f t="shared" si="79"/>
        <v>8</v>
      </c>
      <c r="CY17" s="21">
        <v>79</v>
      </c>
      <c r="CZ17" s="4" t="str">
        <f t="shared" si="24"/>
        <v>B+</v>
      </c>
      <c r="DA17" s="3">
        <f t="shared" si="80"/>
        <v>3.5</v>
      </c>
      <c r="DB17" s="3">
        <v>2</v>
      </c>
      <c r="DC17" s="12">
        <f t="shared" si="81"/>
        <v>7</v>
      </c>
      <c r="DD17" s="3">
        <v>77.8</v>
      </c>
      <c r="DE17" s="4" t="str">
        <f t="shared" si="26"/>
        <v>B+</v>
      </c>
      <c r="DF17" s="3">
        <f t="shared" si="82"/>
        <v>3.5</v>
      </c>
      <c r="DG17" s="3">
        <v>2</v>
      </c>
      <c r="DH17" s="12">
        <f t="shared" si="83"/>
        <v>7</v>
      </c>
      <c r="DI17" s="3">
        <v>82.949999999999989</v>
      </c>
      <c r="DJ17" s="4" t="str">
        <f t="shared" si="28"/>
        <v>A</v>
      </c>
      <c r="DK17" s="3">
        <f t="shared" si="84"/>
        <v>4</v>
      </c>
      <c r="DL17" s="3">
        <v>4</v>
      </c>
      <c r="DM17" s="12">
        <f t="shared" si="85"/>
        <v>16</v>
      </c>
      <c r="DN17" s="3">
        <v>91</v>
      </c>
      <c r="DO17" s="3">
        <v>24</v>
      </c>
      <c r="DP17" s="3">
        <v>89</v>
      </c>
      <c r="DQ17" s="3">
        <v>24</v>
      </c>
      <c r="DR17" s="3">
        <v>180</v>
      </c>
      <c r="DS17" s="3">
        <v>48</v>
      </c>
      <c r="DT17" s="9">
        <v>3.75</v>
      </c>
      <c r="DU17" s="9">
        <v>3.75</v>
      </c>
      <c r="DV17" s="12" t="str">
        <f t="shared" si="86"/>
        <v>Cum Laude</v>
      </c>
      <c r="DW17" s="12" t="str">
        <f t="shared" si="87"/>
        <v>Excellent</v>
      </c>
      <c r="DX17" s="23" t="s">
        <v>143</v>
      </c>
      <c r="DY17" s="26" t="s">
        <v>194</v>
      </c>
    </row>
    <row r="18" spans="1:129" x14ac:dyDescent="0.25">
      <c r="A18" s="29">
        <v>16</v>
      </c>
      <c r="B18" s="2" t="s">
        <v>41</v>
      </c>
      <c r="C18" s="2">
        <v>172312035</v>
      </c>
      <c r="D18" s="11" t="s">
        <v>260</v>
      </c>
      <c r="E18" s="13" t="s">
        <v>103</v>
      </c>
      <c r="F18" s="28" t="s">
        <v>218</v>
      </c>
      <c r="G18" s="27" t="s">
        <v>233</v>
      </c>
      <c r="H18" s="6">
        <v>76.333333333333329</v>
      </c>
      <c r="I18" s="4" t="str">
        <f t="shared" si="30"/>
        <v>B+</v>
      </c>
      <c r="J18" s="3">
        <f t="shared" si="31"/>
        <v>3.5</v>
      </c>
      <c r="K18" s="3">
        <v>2</v>
      </c>
      <c r="L18" s="12">
        <f t="shared" si="32"/>
        <v>7</v>
      </c>
      <c r="M18" s="7">
        <v>82.233333333333334</v>
      </c>
      <c r="N18" s="4" t="str">
        <f t="shared" si="33"/>
        <v>A</v>
      </c>
      <c r="O18" s="3">
        <f t="shared" si="34"/>
        <v>4</v>
      </c>
      <c r="P18" s="3">
        <v>2</v>
      </c>
      <c r="Q18" s="12">
        <f t="shared" si="35"/>
        <v>8</v>
      </c>
      <c r="R18" s="14">
        <v>78.599999999999994</v>
      </c>
      <c r="S18" s="4" t="str">
        <f t="shared" si="36"/>
        <v>B+</v>
      </c>
      <c r="T18" s="3">
        <f t="shared" si="37"/>
        <v>3.5</v>
      </c>
      <c r="U18" s="3">
        <v>2</v>
      </c>
      <c r="V18" s="12">
        <f t="shared" si="38"/>
        <v>7</v>
      </c>
      <c r="W18" s="9">
        <v>80</v>
      </c>
      <c r="X18" s="4" t="str">
        <f t="shared" si="39"/>
        <v>A</v>
      </c>
      <c r="Y18" s="3">
        <f t="shared" si="40"/>
        <v>4</v>
      </c>
      <c r="Z18" s="3">
        <v>3</v>
      </c>
      <c r="AA18" s="12">
        <f t="shared" si="41"/>
        <v>12</v>
      </c>
      <c r="AB18" s="3">
        <v>80.75</v>
      </c>
      <c r="AC18" s="4" t="str">
        <f t="shared" si="42"/>
        <v>A</v>
      </c>
      <c r="AD18" s="3">
        <f t="shared" si="43"/>
        <v>4</v>
      </c>
      <c r="AE18" s="3">
        <v>2</v>
      </c>
      <c r="AF18" s="12">
        <f t="shared" si="44"/>
        <v>8</v>
      </c>
      <c r="AG18" s="3">
        <v>82.233333333333334</v>
      </c>
      <c r="AH18" s="4" t="str">
        <f t="shared" si="45"/>
        <v>A</v>
      </c>
      <c r="AI18" s="3">
        <f t="shared" si="46"/>
        <v>4</v>
      </c>
      <c r="AJ18" s="3">
        <v>2</v>
      </c>
      <c r="AK18" s="12">
        <f t="shared" si="47"/>
        <v>8</v>
      </c>
      <c r="AL18" s="3">
        <v>79.2</v>
      </c>
      <c r="AM18" s="4" t="str">
        <f t="shared" si="48"/>
        <v>B+</v>
      </c>
      <c r="AN18" s="3">
        <f t="shared" si="49"/>
        <v>3.5</v>
      </c>
      <c r="AO18" s="3">
        <v>2</v>
      </c>
      <c r="AP18" s="12">
        <f t="shared" si="50"/>
        <v>7</v>
      </c>
      <c r="AQ18" s="9">
        <v>82.633333333333326</v>
      </c>
      <c r="AR18" s="4" t="str">
        <f t="shared" si="51"/>
        <v>A</v>
      </c>
      <c r="AS18" s="3">
        <f t="shared" si="52"/>
        <v>4</v>
      </c>
      <c r="AT18" s="3">
        <v>2</v>
      </c>
      <c r="AU18" s="12">
        <f t="shared" si="53"/>
        <v>8</v>
      </c>
      <c r="AV18" s="8">
        <v>71</v>
      </c>
      <c r="AW18" s="4" t="str">
        <f t="shared" si="54"/>
        <v>B</v>
      </c>
      <c r="AX18" s="3">
        <f t="shared" si="55"/>
        <v>3</v>
      </c>
      <c r="AY18" s="3">
        <v>3</v>
      </c>
      <c r="AZ18" s="12">
        <f t="shared" si="56"/>
        <v>9</v>
      </c>
      <c r="BA18" s="3">
        <v>72.924999999999997</v>
      </c>
      <c r="BB18" s="4" t="str">
        <f t="shared" si="57"/>
        <v>B</v>
      </c>
      <c r="BC18" s="3">
        <f t="shared" si="58"/>
        <v>3</v>
      </c>
      <c r="BD18" s="3">
        <v>2</v>
      </c>
      <c r="BE18" s="12">
        <f t="shared" si="59"/>
        <v>6</v>
      </c>
      <c r="BF18" s="3">
        <v>79.2</v>
      </c>
      <c r="BG18" s="4" t="str">
        <f t="shared" si="60"/>
        <v>B+</v>
      </c>
      <c r="BH18" s="3">
        <f t="shared" si="61"/>
        <v>3.5</v>
      </c>
      <c r="BI18" s="3">
        <v>2</v>
      </c>
      <c r="BJ18" s="12">
        <f t="shared" si="62"/>
        <v>7</v>
      </c>
      <c r="BK18" s="16">
        <v>74.16</v>
      </c>
      <c r="BL18" s="4" t="str">
        <f t="shared" si="63"/>
        <v>B</v>
      </c>
      <c r="BM18" s="3">
        <f t="shared" si="64"/>
        <v>3</v>
      </c>
      <c r="BN18" s="17">
        <v>2</v>
      </c>
      <c r="BO18" s="12">
        <f t="shared" si="65"/>
        <v>6</v>
      </c>
      <c r="BP18" s="19">
        <v>78.400000000000006</v>
      </c>
      <c r="BQ18" s="4" t="str">
        <f t="shared" si="66"/>
        <v>B+</v>
      </c>
      <c r="BR18" s="3">
        <f t="shared" si="67"/>
        <v>3.5</v>
      </c>
      <c r="BS18" s="3">
        <v>2</v>
      </c>
      <c r="BT18" s="12">
        <f t="shared" si="68"/>
        <v>7</v>
      </c>
      <c r="BU18" s="5">
        <v>72</v>
      </c>
      <c r="BV18" s="4" t="str">
        <f t="shared" si="69"/>
        <v>B</v>
      </c>
      <c r="BW18" s="3">
        <f t="shared" si="70"/>
        <v>3</v>
      </c>
      <c r="BX18" s="3">
        <v>2</v>
      </c>
      <c r="BY18" s="12">
        <f t="shared" si="71"/>
        <v>6</v>
      </c>
      <c r="BZ18" s="3">
        <v>79.8</v>
      </c>
      <c r="CA18" s="4" t="str">
        <f t="shared" si="88"/>
        <v>B+</v>
      </c>
      <c r="CB18" s="3">
        <f t="shared" si="92"/>
        <v>3.5</v>
      </c>
      <c r="CC18" s="3">
        <v>2</v>
      </c>
      <c r="CD18" s="12">
        <f t="shared" si="72"/>
        <v>7</v>
      </c>
      <c r="CE18" s="20">
        <v>72.8</v>
      </c>
      <c r="CF18" s="4" t="str">
        <f t="shared" si="16"/>
        <v>B</v>
      </c>
      <c r="CG18" s="3">
        <f t="shared" si="73"/>
        <v>3</v>
      </c>
      <c r="CH18" s="3">
        <v>2</v>
      </c>
      <c r="CI18" s="12">
        <f t="shared" si="74"/>
        <v>6</v>
      </c>
      <c r="CJ18" s="6">
        <v>70.924999999999997</v>
      </c>
      <c r="CK18" s="4" t="str">
        <f t="shared" si="18"/>
        <v>B</v>
      </c>
      <c r="CL18" s="3">
        <f t="shared" si="75"/>
        <v>3</v>
      </c>
      <c r="CM18" s="3">
        <v>2</v>
      </c>
      <c r="CN18" s="12">
        <f t="shared" si="76"/>
        <v>6</v>
      </c>
      <c r="CO18" s="7">
        <v>73.599999999999994</v>
      </c>
      <c r="CP18" s="4" t="str">
        <f t="shared" si="90"/>
        <v>B</v>
      </c>
      <c r="CQ18" s="3">
        <f t="shared" si="93"/>
        <v>3</v>
      </c>
      <c r="CR18" s="3">
        <v>2</v>
      </c>
      <c r="CS18" s="12">
        <f t="shared" si="77"/>
        <v>6</v>
      </c>
      <c r="CT18" s="15">
        <v>78.2</v>
      </c>
      <c r="CU18" s="4" t="str">
        <f t="shared" si="22"/>
        <v>B+</v>
      </c>
      <c r="CV18" s="3">
        <f t="shared" si="78"/>
        <v>3.5</v>
      </c>
      <c r="CW18" s="3">
        <v>2</v>
      </c>
      <c r="CX18" s="12">
        <f t="shared" si="79"/>
        <v>7</v>
      </c>
      <c r="CY18" s="21">
        <v>78.2</v>
      </c>
      <c r="CZ18" s="4" t="str">
        <f t="shared" si="24"/>
        <v>B+</v>
      </c>
      <c r="DA18" s="3">
        <f t="shared" si="80"/>
        <v>3.5</v>
      </c>
      <c r="DB18" s="3">
        <v>2</v>
      </c>
      <c r="DC18" s="12">
        <f t="shared" si="81"/>
        <v>7</v>
      </c>
      <c r="DD18" s="3">
        <v>78.8</v>
      </c>
      <c r="DE18" s="4" t="str">
        <f t="shared" si="26"/>
        <v>B+</v>
      </c>
      <c r="DF18" s="3">
        <f t="shared" si="82"/>
        <v>3.5</v>
      </c>
      <c r="DG18" s="3">
        <v>2</v>
      </c>
      <c r="DH18" s="12">
        <f t="shared" si="83"/>
        <v>7</v>
      </c>
      <c r="DI18" s="3">
        <v>80</v>
      </c>
      <c r="DJ18" s="4" t="str">
        <f t="shared" si="28"/>
        <v>A</v>
      </c>
      <c r="DK18" s="3">
        <f t="shared" si="84"/>
        <v>4</v>
      </c>
      <c r="DL18" s="3">
        <v>4</v>
      </c>
      <c r="DM18" s="12">
        <f t="shared" si="85"/>
        <v>16</v>
      </c>
      <c r="DN18" s="3">
        <v>87</v>
      </c>
      <c r="DO18" s="3">
        <v>24</v>
      </c>
      <c r="DP18" s="3">
        <v>81</v>
      </c>
      <c r="DQ18" s="3">
        <v>24</v>
      </c>
      <c r="DR18" s="3">
        <v>168</v>
      </c>
      <c r="DS18" s="3">
        <v>48</v>
      </c>
      <c r="DT18" s="9">
        <v>3.5</v>
      </c>
      <c r="DU18" s="9">
        <v>3.5</v>
      </c>
      <c r="DV18" s="12" t="str">
        <f t="shared" si="86"/>
        <v>Sangat Memuaskan</v>
      </c>
      <c r="DW18" s="12" t="str">
        <f t="shared" si="87"/>
        <v>Highly Satisfactory</v>
      </c>
      <c r="DX18" s="22" t="s">
        <v>144</v>
      </c>
      <c r="DY18" s="26" t="s">
        <v>195</v>
      </c>
    </row>
    <row r="19" spans="1:129" x14ac:dyDescent="0.25">
      <c r="A19" s="3">
        <v>17</v>
      </c>
      <c r="B19" s="2" t="s">
        <v>42</v>
      </c>
      <c r="C19" s="2">
        <v>172312036</v>
      </c>
      <c r="D19" s="11" t="s">
        <v>104</v>
      </c>
      <c r="E19" s="13" t="s">
        <v>105</v>
      </c>
      <c r="F19" s="28" t="s">
        <v>218</v>
      </c>
      <c r="G19" s="27" t="s">
        <v>234</v>
      </c>
      <c r="H19" s="6">
        <v>80.26666666666668</v>
      </c>
      <c r="I19" s="4" t="str">
        <f t="shared" si="30"/>
        <v>A</v>
      </c>
      <c r="J19" s="3">
        <f t="shared" si="31"/>
        <v>4</v>
      </c>
      <c r="K19" s="3">
        <v>2</v>
      </c>
      <c r="L19" s="12">
        <f t="shared" si="32"/>
        <v>8</v>
      </c>
      <c r="M19" s="7">
        <v>80.366666666666674</v>
      </c>
      <c r="N19" s="4" t="str">
        <f t="shared" si="33"/>
        <v>A</v>
      </c>
      <c r="O19" s="3">
        <f t="shared" si="34"/>
        <v>4</v>
      </c>
      <c r="P19" s="3">
        <v>2</v>
      </c>
      <c r="Q19" s="12">
        <f t="shared" si="35"/>
        <v>8</v>
      </c>
      <c r="R19" s="14">
        <v>78.699999999999989</v>
      </c>
      <c r="S19" s="4" t="str">
        <f t="shared" si="36"/>
        <v>B+</v>
      </c>
      <c r="T19" s="3">
        <f t="shared" si="37"/>
        <v>3.5</v>
      </c>
      <c r="U19" s="3">
        <v>2</v>
      </c>
      <c r="V19" s="12">
        <f t="shared" si="38"/>
        <v>7</v>
      </c>
      <c r="W19" s="9">
        <v>80.599999999999994</v>
      </c>
      <c r="X19" s="4" t="str">
        <f t="shared" si="39"/>
        <v>A</v>
      </c>
      <c r="Y19" s="3">
        <f t="shared" si="40"/>
        <v>4</v>
      </c>
      <c r="Z19" s="3">
        <v>3</v>
      </c>
      <c r="AA19" s="12">
        <f t="shared" si="41"/>
        <v>12</v>
      </c>
      <c r="AB19" s="3">
        <v>86.15</v>
      </c>
      <c r="AC19" s="4" t="str">
        <f t="shared" si="42"/>
        <v>A</v>
      </c>
      <c r="AD19" s="3">
        <f t="shared" si="43"/>
        <v>4</v>
      </c>
      <c r="AE19" s="3">
        <v>2</v>
      </c>
      <c r="AF19" s="12">
        <f t="shared" si="44"/>
        <v>8</v>
      </c>
      <c r="AG19" s="3">
        <v>80.366666666666674</v>
      </c>
      <c r="AH19" s="4" t="str">
        <f t="shared" si="45"/>
        <v>A</v>
      </c>
      <c r="AI19" s="3">
        <f t="shared" si="46"/>
        <v>4</v>
      </c>
      <c r="AJ19" s="3">
        <v>2</v>
      </c>
      <c r="AK19" s="12">
        <f t="shared" si="47"/>
        <v>8</v>
      </c>
      <c r="AL19" s="3">
        <v>79</v>
      </c>
      <c r="AM19" s="4" t="str">
        <f t="shared" si="48"/>
        <v>B+</v>
      </c>
      <c r="AN19" s="3">
        <f t="shared" si="49"/>
        <v>3.5</v>
      </c>
      <c r="AO19" s="3">
        <v>2</v>
      </c>
      <c r="AP19" s="12">
        <f t="shared" si="50"/>
        <v>7</v>
      </c>
      <c r="AQ19" s="9">
        <v>81.433333333333337</v>
      </c>
      <c r="AR19" s="4" t="str">
        <f t="shared" si="51"/>
        <v>A</v>
      </c>
      <c r="AS19" s="3">
        <f t="shared" si="52"/>
        <v>4</v>
      </c>
      <c r="AT19" s="3">
        <v>2</v>
      </c>
      <c r="AU19" s="12">
        <f t="shared" si="53"/>
        <v>8</v>
      </c>
      <c r="AV19" s="8">
        <v>67</v>
      </c>
      <c r="AW19" s="4" t="str">
        <f t="shared" si="54"/>
        <v>C+</v>
      </c>
      <c r="AX19" s="3">
        <f t="shared" si="55"/>
        <v>2.5</v>
      </c>
      <c r="AY19" s="3">
        <v>3</v>
      </c>
      <c r="AZ19" s="12">
        <f t="shared" si="56"/>
        <v>7.5</v>
      </c>
      <c r="BA19" s="3">
        <v>71.724999999999994</v>
      </c>
      <c r="BB19" s="4" t="str">
        <f t="shared" si="57"/>
        <v>B</v>
      </c>
      <c r="BC19" s="3">
        <f t="shared" si="58"/>
        <v>3</v>
      </c>
      <c r="BD19" s="3">
        <v>2</v>
      </c>
      <c r="BE19" s="12">
        <f t="shared" si="59"/>
        <v>6</v>
      </c>
      <c r="BF19" s="3">
        <v>80.599999999999994</v>
      </c>
      <c r="BG19" s="4" t="str">
        <f t="shared" si="60"/>
        <v>A</v>
      </c>
      <c r="BH19" s="3">
        <f t="shared" si="61"/>
        <v>4</v>
      </c>
      <c r="BI19" s="3">
        <v>2</v>
      </c>
      <c r="BJ19" s="12">
        <f t="shared" si="62"/>
        <v>8</v>
      </c>
      <c r="BK19" s="16">
        <v>80.360000000000014</v>
      </c>
      <c r="BL19" s="4" t="str">
        <f t="shared" si="63"/>
        <v>A</v>
      </c>
      <c r="BM19" s="3">
        <f t="shared" si="64"/>
        <v>4</v>
      </c>
      <c r="BN19" s="17">
        <v>2</v>
      </c>
      <c r="BO19" s="12">
        <f t="shared" si="65"/>
        <v>8</v>
      </c>
      <c r="BP19" s="19">
        <v>80.349999999999994</v>
      </c>
      <c r="BQ19" s="4" t="str">
        <f t="shared" si="66"/>
        <v>A</v>
      </c>
      <c r="BR19" s="3">
        <f t="shared" si="67"/>
        <v>4</v>
      </c>
      <c r="BS19" s="3">
        <v>2</v>
      </c>
      <c r="BT19" s="12">
        <f t="shared" si="68"/>
        <v>8</v>
      </c>
      <c r="BU19" s="5">
        <v>77</v>
      </c>
      <c r="BV19" s="4" t="str">
        <f t="shared" si="69"/>
        <v>B+</v>
      </c>
      <c r="BW19" s="3">
        <f t="shared" si="70"/>
        <v>3.5</v>
      </c>
      <c r="BX19" s="3">
        <v>2</v>
      </c>
      <c r="BY19" s="12">
        <f t="shared" si="71"/>
        <v>7</v>
      </c>
      <c r="BZ19" s="3">
        <v>77.7</v>
      </c>
      <c r="CA19" s="4" t="str">
        <f t="shared" si="88"/>
        <v>B+</v>
      </c>
      <c r="CB19" s="3">
        <f t="shared" si="92"/>
        <v>3.5</v>
      </c>
      <c r="CC19" s="3">
        <v>2</v>
      </c>
      <c r="CD19" s="12">
        <f t="shared" si="72"/>
        <v>7</v>
      </c>
      <c r="CE19" s="20">
        <v>78.400000000000006</v>
      </c>
      <c r="CF19" s="4" t="str">
        <f t="shared" si="16"/>
        <v>B+</v>
      </c>
      <c r="CG19" s="3">
        <f t="shared" si="73"/>
        <v>3.5</v>
      </c>
      <c r="CH19" s="3">
        <v>2</v>
      </c>
      <c r="CI19" s="12">
        <f t="shared" si="74"/>
        <v>7</v>
      </c>
      <c r="CJ19" s="6">
        <v>77.825000000000003</v>
      </c>
      <c r="CK19" s="4" t="str">
        <f t="shared" si="18"/>
        <v>B+</v>
      </c>
      <c r="CL19" s="3">
        <f t="shared" si="75"/>
        <v>3.5</v>
      </c>
      <c r="CM19" s="3">
        <v>2</v>
      </c>
      <c r="CN19" s="12">
        <f t="shared" si="76"/>
        <v>7</v>
      </c>
      <c r="CO19" s="7">
        <v>80</v>
      </c>
      <c r="CP19" s="4" t="str">
        <f t="shared" si="90"/>
        <v>A</v>
      </c>
      <c r="CQ19" s="3">
        <f t="shared" si="93"/>
        <v>4</v>
      </c>
      <c r="CR19" s="3">
        <v>2</v>
      </c>
      <c r="CS19" s="12">
        <f t="shared" si="77"/>
        <v>8</v>
      </c>
      <c r="CT19" s="15">
        <v>80.2</v>
      </c>
      <c r="CU19" s="4" t="str">
        <f t="shared" si="22"/>
        <v>A</v>
      </c>
      <c r="CV19" s="3">
        <f t="shared" si="78"/>
        <v>4</v>
      </c>
      <c r="CW19" s="3">
        <v>2</v>
      </c>
      <c r="CX19" s="12">
        <f t="shared" si="79"/>
        <v>8</v>
      </c>
      <c r="CY19" s="21">
        <v>80.2</v>
      </c>
      <c r="CZ19" s="4" t="str">
        <f t="shared" si="24"/>
        <v>A</v>
      </c>
      <c r="DA19" s="3">
        <f t="shared" si="80"/>
        <v>4</v>
      </c>
      <c r="DB19" s="3">
        <v>2</v>
      </c>
      <c r="DC19" s="12">
        <f t="shared" si="81"/>
        <v>8</v>
      </c>
      <c r="DD19" s="3">
        <v>79.2</v>
      </c>
      <c r="DE19" s="4" t="str">
        <f t="shared" si="26"/>
        <v>B+</v>
      </c>
      <c r="DF19" s="3">
        <f t="shared" si="82"/>
        <v>3.5</v>
      </c>
      <c r="DG19" s="3">
        <v>2</v>
      </c>
      <c r="DH19" s="12">
        <f t="shared" si="83"/>
        <v>7</v>
      </c>
      <c r="DI19" s="3">
        <v>81.5</v>
      </c>
      <c r="DJ19" s="4" t="str">
        <f t="shared" si="28"/>
        <v>A</v>
      </c>
      <c r="DK19" s="3">
        <f t="shared" si="84"/>
        <v>4</v>
      </c>
      <c r="DL19" s="3">
        <v>4</v>
      </c>
      <c r="DM19" s="12">
        <f t="shared" si="85"/>
        <v>16</v>
      </c>
      <c r="DN19" s="3">
        <v>87.5</v>
      </c>
      <c r="DO19" s="3">
        <v>24</v>
      </c>
      <c r="DP19" s="3">
        <v>91</v>
      </c>
      <c r="DQ19" s="3">
        <v>24</v>
      </c>
      <c r="DR19" s="3">
        <v>178.5</v>
      </c>
      <c r="DS19" s="3">
        <v>48</v>
      </c>
      <c r="DT19" s="9">
        <v>3.71875</v>
      </c>
      <c r="DU19" s="9">
        <v>3.71875</v>
      </c>
      <c r="DV19" s="12" t="str">
        <f t="shared" si="86"/>
        <v>Cum Laude</v>
      </c>
      <c r="DW19" s="12" t="str">
        <f t="shared" si="87"/>
        <v>Excellent</v>
      </c>
      <c r="DX19" s="22" t="s">
        <v>145</v>
      </c>
      <c r="DY19" s="26" t="s">
        <v>196</v>
      </c>
    </row>
    <row r="20" spans="1:129" x14ac:dyDescent="0.25">
      <c r="A20" s="29">
        <v>18</v>
      </c>
      <c r="B20" s="2" t="s">
        <v>43</v>
      </c>
      <c r="C20" s="2">
        <v>172312037</v>
      </c>
      <c r="D20" s="11" t="s">
        <v>261</v>
      </c>
      <c r="E20" s="13" t="s">
        <v>106</v>
      </c>
      <c r="F20" s="28" t="s">
        <v>218</v>
      </c>
      <c r="G20" s="27" t="s">
        <v>235</v>
      </c>
      <c r="H20" s="6">
        <v>80.333333333333343</v>
      </c>
      <c r="I20" s="4" t="str">
        <f t="shared" si="30"/>
        <v>A</v>
      </c>
      <c r="J20" s="3">
        <f t="shared" si="31"/>
        <v>4</v>
      </c>
      <c r="K20" s="3">
        <v>2</v>
      </c>
      <c r="L20" s="12">
        <f t="shared" si="32"/>
        <v>8</v>
      </c>
      <c r="M20" s="7">
        <v>84.766666666666666</v>
      </c>
      <c r="N20" s="4" t="str">
        <f t="shared" si="33"/>
        <v>A</v>
      </c>
      <c r="O20" s="3">
        <f t="shared" si="34"/>
        <v>4</v>
      </c>
      <c r="P20" s="3">
        <v>2</v>
      </c>
      <c r="Q20" s="12">
        <f t="shared" si="35"/>
        <v>8</v>
      </c>
      <c r="R20" s="14">
        <v>80</v>
      </c>
      <c r="S20" s="4" t="str">
        <f t="shared" si="36"/>
        <v>A</v>
      </c>
      <c r="T20" s="3">
        <f t="shared" si="37"/>
        <v>4</v>
      </c>
      <c r="U20" s="3">
        <v>2</v>
      </c>
      <c r="V20" s="12">
        <f t="shared" si="38"/>
        <v>8</v>
      </c>
      <c r="W20" s="9">
        <v>80.599999999999994</v>
      </c>
      <c r="X20" s="4" t="str">
        <f t="shared" si="39"/>
        <v>A</v>
      </c>
      <c r="Y20" s="3">
        <f t="shared" si="40"/>
        <v>4</v>
      </c>
      <c r="Z20" s="3">
        <v>3</v>
      </c>
      <c r="AA20" s="12">
        <f t="shared" si="41"/>
        <v>12</v>
      </c>
      <c r="AB20" s="3">
        <v>83.2</v>
      </c>
      <c r="AC20" s="4" t="str">
        <f t="shared" si="42"/>
        <v>A</v>
      </c>
      <c r="AD20" s="3">
        <f t="shared" si="43"/>
        <v>4</v>
      </c>
      <c r="AE20" s="3">
        <v>2</v>
      </c>
      <c r="AF20" s="12">
        <f t="shared" si="44"/>
        <v>8</v>
      </c>
      <c r="AG20" s="3">
        <v>84.766666666666666</v>
      </c>
      <c r="AH20" s="4" t="str">
        <f t="shared" si="45"/>
        <v>A</v>
      </c>
      <c r="AI20" s="3">
        <f t="shared" si="46"/>
        <v>4</v>
      </c>
      <c r="AJ20" s="3">
        <v>2</v>
      </c>
      <c r="AK20" s="12">
        <f t="shared" si="47"/>
        <v>8</v>
      </c>
      <c r="AL20" s="3">
        <v>80.599999999999994</v>
      </c>
      <c r="AM20" s="4" t="str">
        <f t="shared" si="48"/>
        <v>A</v>
      </c>
      <c r="AN20" s="3">
        <f t="shared" si="49"/>
        <v>4</v>
      </c>
      <c r="AO20" s="3">
        <v>2</v>
      </c>
      <c r="AP20" s="12">
        <f t="shared" si="50"/>
        <v>8</v>
      </c>
      <c r="AQ20" s="9">
        <v>81.966666666666669</v>
      </c>
      <c r="AR20" s="4" t="str">
        <f t="shared" si="51"/>
        <v>A</v>
      </c>
      <c r="AS20" s="3">
        <f t="shared" si="52"/>
        <v>4</v>
      </c>
      <c r="AT20" s="3">
        <v>2</v>
      </c>
      <c r="AU20" s="12">
        <f t="shared" si="53"/>
        <v>8</v>
      </c>
      <c r="AV20" s="8">
        <v>72.400000000000006</v>
      </c>
      <c r="AW20" s="4" t="str">
        <f t="shared" si="54"/>
        <v>B</v>
      </c>
      <c r="AX20" s="3">
        <f t="shared" si="55"/>
        <v>3</v>
      </c>
      <c r="AY20" s="3">
        <v>3</v>
      </c>
      <c r="AZ20" s="12">
        <f t="shared" si="56"/>
        <v>9</v>
      </c>
      <c r="BA20" s="3">
        <v>74.325000000000003</v>
      </c>
      <c r="BB20" s="4" t="str">
        <f t="shared" si="57"/>
        <v>B</v>
      </c>
      <c r="BC20" s="3">
        <f t="shared" si="58"/>
        <v>3</v>
      </c>
      <c r="BD20" s="3">
        <v>2</v>
      </c>
      <c r="BE20" s="12">
        <f t="shared" si="59"/>
        <v>6</v>
      </c>
      <c r="BF20" s="3">
        <v>80.599999999999994</v>
      </c>
      <c r="BG20" s="4" t="str">
        <f t="shared" si="60"/>
        <v>A</v>
      </c>
      <c r="BH20" s="3">
        <f t="shared" si="61"/>
        <v>4</v>
      </c>
      <c r="BI20" s="3">
        <v>2</v>
      </c>
      <c r="BJ20" s="12">
        <f t="shared" si="62"/>
        <v>8</v>
      </c>
      <c r="BK20" s="16">
        <v>81.72</v>
      </c>
      <c r="BL20" s="4" t="str">
        <f t="shared" si="63"/>
        <v>A</v>
      </c>
      <c r="BM20" s="3">
        <f t="shared" si="64"/>
        <v>4</v>
      </c>
      <c r="BN20" s="3">
        <v>2</v>
      </c>
      <c r="BO20" s="12">
        <f t="shared" si="65"/>
        <v>8</v>
      </c>
      <c r="BP20" s="19">
        <v>79.95</v>
      </c>
      <c r="BQ20" s="4" t="str">
        <f t="shared" si="66"/>
        <v>B+</v>
      </c>
      <c r="BR20" s="3">
        <f t="shared" si="67"/>
        <v>3.5</v>
      </c>
      <c r="BS20" s="3">
        <v>2</v>
      </c>
      <c r="BT20" s="12">
        <f t="shared" si="68"/>
        <v>7</v>
      </c>
      <c r="BU20" s="5">
        <v>73</v>
      </c>
      <c r="BV20" s="4" t="str">
        <f t="shared" si="69"/>
        <v>B</v>
      </c>
      <c r="BW20" s="3">
        <f t="shared" si="70"/>
        <v>3</v>
      </c>
      <c r="BX20" s="3">
        <v>2</v>
      </c>
      <c r="BY20" s="12">
        <f t="shared" si="71"/>
        <v>6</v>
      </c>
      <c r="BZ20" s="3">
        <v>77.599999999999994</v>
      </c>
      <c r="CA20" s="4" t="str">
        <f t="shared" si="88"/>
        <v>B+</v>
      </c>
      <c r="CB20" s="3">
        <f t="shared" si="92"/>
        <v>3.5</v>
      </c>
      <c r="CC20" s="3">
        <v>2</v>
      </c>
      <c r="CD20" s="12">
        <f t="shared" si="72"/>
        <v>7</v>
      </c>
      <c r="CE20" s="20">
        <v>82.4</v>
      </c>
      <c r="CF20" s="4" t="str">
        <f t="shared" si="16"/>
        <v>A</v>
      </c>
      <c r="CG20" s="3">
        <f t="shared" si="73"/>
        <v>4</v>
      </c>
      <c r="CH20" s="3">
        <v>2</v>
      </c>
      <c r="CI20" s="12">
        <f t="shared" si="74"/>
        <v>8</v>
      </c>
      <c r="CJ20" s="6">
        <v>78.325000000000003</v>
      </c>
      <c r="CK20" s="4" t="str">
        <f t="shared" si="18"/>
        <v>B+</v>
      </c>
      <c r="CL20" s="3">
        <f t="shared" si="75"/>
        <v>3.5</v>
      </c>
      <c r="CM20" s="3">
        <v>2</v>
      </c>
      <c r="CN20" s="12">
        <f t="shared" si="76"/>
        <v>7</v>
      </c>
      <c r="CO20" s="7">
        <v>80</v>
      </c>
      <c r="CP20" s="4" t="str">
        <f t="shared" si="90"/>
        <v>A</v>
      </c>
      <c r="CQ20" s="3">
        <f t="shared" si="93"/>
        <v>4</v>
      </c>
      <c r="CR20" s="3">
        <v>2</v>
      </c>
      <c r="CS20" s="12">
        <f t="shared" si="77"/>
        <v>8</v>
      </c>
      <c r="CT20" s="15">
        <v>79.8</v>
      </c>
      <c r="CU20" s="4" t="str">
        <f t="shared" si="22"/>
        <v>B+</v>
      </c>
      <c r="CV20" s="3">
        <f t="shared" si="78"/>
        <v>3.5</v>
      </c>
      <c r="CW20" s="3">
        <v>2</v>
      </c>
      <c r="CX20" s="12">
        <f t="shared" si="79"/>
        <v>7</v>
      </c>
      <c r="CY20" s="21">
        <v>79.8</v>
      </c>
      <c r="CZ20" s="4" t="str">
        <f t="shared" si="24"/>
        <v>B+</v>
      </c>
      <c r="DA20" s="3">
        <f t="shared" si="80"/>
        <v>3.5</v>
      </c>
      <c r="DB20" s="3">
        <v>2</v>
      </c>
      <c r="DC20" s="12">
        <f t="shared" si="81"/>
        <v>7</v>
      </c>
      <c r="DD20" s="3">
        <v>80</v>
      </c>
      <c r="DE20" s="4" t="str">
        <f t="shared" si="26"/>
        <v>A</v>
      </c>
      <c r="DF20" s="3">
        <f t="shared" si="82"/>
        <v>4</v>
      </c>
      <c r="DG20" s="3">
        <v>2</v>
      </c>
      <c r="DH20" s="12">
        <f t="shared" si="83"/>
        <v>8</v>
      </c>
      <c r="DI20" s="3">
        <v>82.335000000000008</v>
      </c>
      <c r="DJ20" s="4" t="str">
        <f t="shared" si="28"/>
        <v>A</v>
      </c>
      <c r="DK20" s="3">
        <f t="shared" si="84"/>
        <v>4</v>
      </c>
      <c r="DL20" s="3">
        <v>4</v>
      </c>
      <c r="DM20" s="12">
        <f t="shared" si="85"/>
        <v>16</v>
      </c>
      <c r="DN20" s="3">
        <v>91</v>
      </c>
      <c r="DO20" s="3">
        <v>24</v>
      </c>
      <c r="DP20" s="3">
        <v>89</v>
      </c>
      <c r="DQ20" s="3">
        <v>24</v>
      </c>
      <c r="DR20" s="3">
        <v>180</v>
      </c>
      <c r="DS20" s="3">
        <v>48</v>
      </c>
      <c r="DT20" s="9">
        <v>3.75</v>
      </c>
      <c r="DU20" s="9">
        <v>3.75</v>
      </c>
      <c r="DV20" s="12" t="str">
        <f t="shared" si="86"/>
        <v>Cum Laude</v>
      </c>
      <c r="DW20" s="12" t="str">
        <f t="shared" si="87"/>
        <v>Excellent</v>
      </c>
      <c r="DX20" s="22" t="s">
        <v>171</v>
      </c>
      <c r="DY20" s="26" t="s">
        <v>197</v>
      </c>
    </row>
    <row r="21" spans="1:129" x14ac:dyDescent="0.25">
      <c r="A21" s="3">
        <v>19</v>
      </c>
      <c r="B21" s="2" t="s">
        <v>44</v>
      </c>
      <c r="C21" s="2">
        <v>172312038</v>
      </c>
      <c r="D21" s="11" t="s">
        <v>133</v>
      </c>
      <c r="E21" s="13" t="s">
        <v>134</v>
      </c>
      <c r="F21" s="28" t="s">
        <v>219</v>
      </c>
      <c r="G21" s="27" t="s">
        <v>258</v>
      </c>
      <c r="H21" s="6">
        <v>76.333333333333329</v>
      </c>
      <c r="I21" s="4" t="str">
        <f t="shared" si="30"/>
        <v>B+</v>
      </c>
      <c r="J21" s="3">
        <f t="shared" si="31"/>
        <v>3.5</v>
      </c>
      <c r="K21" s="3">
        <v>2</v>
      </c>
      <c r="L21" s="12">
        <f t="shared" si="32"/>
        <v>7</v>
      </c>
      <c r="M21" s="7">
        <v>82.633333333333326</v>
      </c>
      <c r="N21" s="4" t="str">
        <f t="shared" si="33"/>
        <v>A</v>
      </c>
      <c r="O21" s="3">
        <f t="shared" si="34"/>
        <v>4</v>
      </c>
      <c r="P21" s="3">
        <v>2</v>
      </c>
      <c r="Q21" s="12">
        <f t="shared" si="35"/>
        <v>8</v>
      </c>
      <c r="R21" s="14">
        <v>80.650000000000006</v>
      </c>
      <c r="S21" s="4" t="str">
        <f t="shared" si="36"/>
        <v>A</v>
      </c>
      <c r="T21" s="3">
        <f t="shared" si="37"/>
        <v>4</v>
      </c>
      <c r="U21" s="3">
        <v>2</v>
      </c>
      <c r="V21" s="12">
        <f t="shared" si="38"/>
        <v>8</v>
      </c>
      <c r="W21" s="9">
        <v>79.2</v>
      </c>
      <c r="X21" s="4" t="str">
        <f t="shared" si="39"/>
        <v>B+</v>
      </c>
      <c r="Y21" s="3">
        <f t="shared" si="40"/>
        <v>3.5</v>
      </c>
      <c r="Z21" s="3">
        <v>3</v>
      </c>
      <c r="AA21" s="12">
        <f t="shared" si="41"/>
        <v>10.5</v>
      </c>
      <c r="AB21" s="3">
        <v>81.75</v>
      </c>
      <c r="AC21" s="4" t="str">
        <f t="shared" si="42"/>
        <v>A</v>
      </c>
      <c r="AD21" s="3">
        <f t="shared" si="43"/>
        <v>4</v>
      </c>
      <c r="AE21" s="3">
        <v>2</v>
      </c>
      <c r="AF21" s="12">
        <f t="shared" si="44"/>
        <v>8</v>
      </c>
      <c r="AG21" s="3">
        <v>82.633333333333326</v>
      </c>
      <c r="AH21" s="4" t="str">
        <f t="shared" si="45"/>
        <v>A</v>
      </c>
      <c r="AI21" s="3">
        <f t="shared" si="46"/>
        <v>4</v>
      </c>
      <c r="AJ21" s="3">
        <v>2</v>
      </c>
      <c r="AK21" s="12">
        <f t="shared" si="47"/>
        <v>8</v>
      </c>
      <c r="AL21" s="3">
        <v>79.2</v>
      </c>
      <c r="AM21" s="4" t="str">
        <f t="shared" si="48"/>
        <v>B+</v>
      </c>
      <c r="AN21" s="3">
        <f t="shared" si="49"/>
        <v>3.5</v>
      </c>
      <c r="AO21" s="3">
        <v>2</v>
      </c>
      <c r="AP21" s="12">
        <f t="shared" si="50"/>
        <v>7</v>
      </c>
      <c r="AQ21" s="9">
        <v>84.366666666666674</v>
      </c>
      <c r="AR21" s="4" t="str">
        <f t="shared" si="51"/>
        <v>A</v>
      </c>
      <c r="AS21" s="3">
        <f t="shared" si="52"/>
        <v>4</v>
      </c>
      <c r="AT21" s="3">
        <v>2</v>
      </c>
      <c r="AU21" s="12">
        <f t="shared" si="53"/>
        <v>8</v>
      </c>
      <c r="AV21" s="8">
        <v>67</v>
      </c>
      <c r="AW21" s="4" t="str">
        <f t="shared" si="54"/>
        <v>C+</v>
      </c>
      <c r="AX21" s="3">
        <f t="shared" si="55"/>
        <v>2.5</v>
      </c>
      <c r="AY21" s="3">
        <v>3</v>
      </c>
      <c r="AZ21" s="12">
        <f t="shared" si="56"/>
        <v>7.5</v>
      </c>
      <c r="BA21" s="3">
        <v>62.924999999999997</v>
      </c>
      <c r="BB21" s="4" t="str">
        <f t="shared" si="57"/>
        <v>C</v>
      </c>
      <c r="BC21" s="3">
        <f t="shared" si="58"/>
        <v>2</v>
      </c>
      <c r="BD21" s="3">
        <v>2</v>
      </c>
      <c r="BE21" s="12">
        <f t="shared" si="59"/>
        <v>4</v>
      </c>
      <c r="BF21" s="3">
        <v>79.2</v>
      </c>
      <c r="BG21" s="4" t="str">
        <f t="shared" si="60"/>
        <v>B+</v>
      </c>
      <c r="BH21" s="3">
        <f t="shared" si="61"/>
        <v>3.5</v>
      </c>
      <c r="BI21" s="3">
        <v>2</v>
      </c>
      <c r="BJ21" s="12">
        <f t="shared" si="62"/>
        <v>7</v>
      </c>
      <c r="BK21" s="16">
        <v>80.080000000000013</v>
      </c>
      <c r="BL21" s="4" t="str">
        <f t="shared" si="63"/>
        <v>A</v>
      </c>
      <c r="BM21" s="3">
        <f t="shared" si="64"/>
        <v>4</v>
      </c>
      <c r="BN21" s="3">
        <v>2</v>
      </c>
      <c r="BO21" s="12">
        <f t="shared" si="65"/>
        <v>8</v>
      </c>
      <c r="BP21" s="19">
        <v>78.45</v>
      </c>
      <c r="BQ21" s="4" t="str">
        <f t="shared" si="66"/>
        <v>B+</v>
      </c>
      <c r="BR21" s="3">
        <f t="shared" si="67"/>
        <v>3.5</v>
      </c>
      <c r="BS21" s="3">
        <v>2</v>
      </c>
      <c r="BT21" s="12">
        <f t="shared" si="68"/>
        <v>7</v>
      </c>
      <c r="BU21" s="5">
        <v>72.400000000000006</v>
      </c>
      <c r="BV21" s="4" t="str">
        <f t="shared" si="69"/>
        <v>B</v>
      </c>
      <c r="BW21" s="3">
        <f t="shared" si="70"/>
        <v>3</v>
      </c>
      <c r="BX21" s="3">
        <v>2</v>
      </c>
      <c r="BY21" s="12">
        <f t="shared" si="71"/>
        <v>6</v>
      </c>
      <c r="BZ21" s="3">
        <v>77.599999999999994</v>
      </c>
      <c r="CA21" s="4" t="str">
        <f t="shared" si="88"/>
        <v>B+</v>
      </c>
      <c r="CB21" s="3">
        <f t="shared" si="92"/>
        <v>3.5</v>
      </c>
      <c r="CC21" s="3">
        <v>2</v>
      </c>
      <c r="CD21" s="12">
        <f t="shared" si="72"/>
        <v>7</v>
      </c>
      <c r="CE21" s="20">
        <v>76.8</v>
      </c>
      <c r="CF21" s="4" t="str">
        <f t="shared" si="16"/>
        <v>B+</v>
      </c>
      <c r="CG21" s="3">
        <f t="shared" si="73"/>
        <v>3.5</v>
      </c>
      <c r="CH21" s="3">
        <v>2</v>
      </c>
      <c r="CI21" s="12">
        <f t="shared" si="74"/>
        <v>7</v>
      </c>
      <c r="CJ21" s="6">
        <v>74.525000000000006</v>
      </c>
      <c r="CK21" s="4" t="str">
        <f t="shared" si="18"/>
        <v>B</v>
      </c>
      <c r="CL21" s="3">
        <f t="shared" si="75"/>
        <v>3</v>
      </c>
      <c r="CM21" s="3">
        <v>2</v>
      </c>
      <c r="CN21" s="12">
        <f t="shared" si="76"/>
        <v>6</v>
      </c>
      <c r="CO21" s="7">
        <v>71.2</v>
      </c>
      <c r="CP21" s="4" t="str">
        <f t="shared" si="90"/>
        <v>B</v>
      </c>
      <c r="CQ21" s="3">
        <f t="shared" si="93"/>
        <v>3</v>
      </c>
      <c r="CR21" s="3">
        <v>2</v>
      </c>
      <c r="CS21" s="12">
        <f t="shared" si="77"/>
        <v>6</v>
      </c>
      <c r="CT21" s="15">
        <v>80.2</v>
      </c>
      <c r="CU21" s="4" t="str">
        <f t="shared" si="22"/>
        <v>A</v>
      </c>
      <c r="CV21" s="3">
        <f t="shared" si="78"/>
        <v>4</v>
      </c>
      <c r="CW21" s="3">
        <v>2</v>
      </c>
      <c r="CX21" s="12">
        <f t="shared" si="79"/>
        <v>8</v>
      </c>
      <c r="CY21" s="21">
        <v>80.2</v>
      </c>
      <c r="CZ21" s="4" t="str">
        <f t="shared" si="24"/>
        <v>A</v>
      </c>
      <c r="DA21" s="3">
        <f t="shared" si="80"/>
        <v>4</v>
      </c>
      <c r="DB21" s="3">
        <v>2</v>
      </c>
      <c r="DC21" s="12">
        <f t="shared" si="81"/>
        <v>8</v>
      </c>
      <c r="DD21" s="3">
        <v>78</v>
      </c>
      <c r="DE21" s="4" t="str">
        <f t="shared" si="26"/>
        <v>B+</v>
      </c>
      <c r="DF21" s="3">
        <f t="shared" si="82"/>
        <v>3.5</v>
      </c>
      <c r="DG21" s="3">
        <v>2</v>
      </c>
      <c r="DH21" s="12">
        <f t="shared" si="83"/>
        <v>7</v>
      </c>
      <c r="DI21" s="3">
        <v>78.5</v>
      </c>
      <c r="DJ21" s="4" t="str">
        <f t="shared" si="28"/>
        <v>B+</v>
      </c>
      <c r="DK21" s="3">
        <f t="shared" si="84"/>
        <v>3.5</v>
      </c>
      <c r="DL21" s="3">
        <v>4</v>
      </c>
      <c r="DM21" s="12">
        <f t="shared" si="85"/>
        <v>14</v>
      </c>
      <c r="DN21" s="3">
        <v>83</v>
      </c>
      <c r="DO21" s="3">
        <v>24</v>
      </c>
      <c r="DP21" s="3">
        <v>84</v>
      </c>
      <c r="DQ21" s="3">
        <v>24</v>
      </c>
      <c r="DR21" s="3">
        <v>167</v>
      </c>
      <c r="DS21" s="3">
        <v>48</v>
      </c>
      <c r="DT21" s="9">
        <v>3.4791666666666665</v>
      </c>
      <c r="DU21" s="9">
        <v>3.4791666666666665</v>
      </c>
      <c r="DV21" s="12" t="str">
        <f t="shared" si="86"/>
        <v>Sangat Memuaskan</v>
      </c>
      <c r="DW21" s="12" t="str">
        <f t="shared" si="87"/>
        <v>Highly Satisfactory</v>
      </c>
      <c r="DX21" s="22" t="s">
        <v>146</v>
      </c>
      <c r="DY21" s="26" t="s">
        <v>198</v>
      </c>
    </row>
    <row r="22" spans="1:129" x14ac:dyDescent="0.25">
      <c r="A22" s="3">
        <v>20</v>
      </c>
      <c r="B22" s="2" t="s">
        <v>45</v>
      </c>
      <c r="C22" s="2">
        <v>172312039</v>
      </c>
      <c r="D22" s="11" t="s">
        <v>88</v>
      </c>
      <c r="E22" s="13" t="s">
        <v>107</v>
      </c>
      <c r="F22" s="28" t="s">
        <v>218</v>
      </c>
      <c r="G22" s="27" t="s">
        <v>236</v>
      </c>
      <c r="H22" s="6">
        <v>76.333333333333329</v>
      </c>
      <c r="I22" s="4" t="str">
        <f t="shared" si="30"/>
        <v>B+</v>
      </c>
      <c r="J22" s="3">
        <f t="shared" si="31"/>
        <v>3.5</v>
      </c>
      <c r="K22" s="3">
        <v>2</v>
      </c>
      <c r="L22" s="12">
        <f t="shared" si="32"/>
        <v>7</v>
      </c>
      <c r="M22" s="7">
        <v>81.966666666666669</v>
      </c>
      <c r="N22" s="4" t="str">
        <f t="shared" si="33"/>
        <v>A</v>
      </c>
      <c r="O22" s="3">
        <f t="shared" si="34"/>
        <v>4</v>
      </c>
      <c r="P22" s="3">
        <v>2</v>
      </c>
      <c r="Q22" s="12">
        <f t="shared" si="35"/>
        <v>8</v>
      </c>
      <c r="R22" s="14">
        <v>80</v>
      </c>
      <c r="S22" s="4" t="str">
        <f t="shared" si="36"/>
        <v>A</v>
      </c>
      <c r="T22" s="3">
        <f t="shared" si="37"/>
        <v>4</v>
      </c>
      <c r="U22" s="3">
        <v>2</v>
      </c>
      <c r="V22" s="12">
        <f t="shared" si="38"/>
        <v>8</v>
      </c>
      <c r="W22" s="9">
        <v>80.599999999999994</v>
      </c>
      <c r="X22" s="4" t="str">
        <f t="shared" si="39"/>
        <v>A</v>
      </c>
      <c r="Y22" s="3">
        <f t="shared" si="40"/>
        <v>4</v>
      </c>
      <c r="Z22" s="3">
        <v>3</v>
      </c>
      <c r="AA22" s="12">
        <f t="shared" si="41"/>
        <v>12</v>
      </c>
      <c r="AB22" s="3">
        <v>84.4</v>
      </c>
      <c r="AC22" s="4" t="str">
        <f t="shared" si="42"/>
        <v>A</v>
      </c>
      <c r="AD22" s="3">
        <f t="shared" si="43"/>
        <v>4</v>
      </c>
      <c r="AE22" s="3">
        <v>2</v>
      </c>
      <c r="AF22" s="12">
        <f t="shared" si="44"/>
        <v>8</v>
      </c>
      <c r="AG22" s="3">
        <v>81.966666666666669</v>
      </c>
      <c r="AH22" s="4" t="str">
        <f t="shared" si="45"/>
        <v>A</v>
      </c>
      <c r="AI22" s="3">
        <f t="shared" si="46"/>
        <v>4</v>
      </c>
      <c r="AJ22" s="3">
        <v>2</v>
      </c>
      <c r="AK22" s="12">
        <f t="shared" si="47"/>
        <v>8</v>
      </c>
      <c r="AL22" s="3">
        <v>80.599999999999994</v>
      </c>
      <c r="AM22" s="4" t="str">
        <f t="shared" si="48"/>
        <v>A</v>
      </c>
      <c r="AN22" s="3">
        <f t="shared" si="49"/>
        <v>4</v>
      </c>
      <c r="AO22" s="3">
        <v>2</v>
      </c>
      <c r="AP22" s="12">
        <f t="shared" si="50"/>
        <v>8</v>
      </c>
      <c r="AQ22" s="9">
        <v>85.433333333333337</v>
      </c>
      <c r="AR22" s="4" t="str">
        <f t="shared" si="51"/>
        <v>A</v>
      </c>
      <c r="AS22" s="3">
        <f t="shared" si="52"/>
        <v>4</v>
      </c>
      <c r="AT22" s="3">
        <v>2</v>
      </c>
      <c r="AU22" s="12">
        <f t="shared" si="53"/>
        <v>8</v>
      </c>
      <c r="AV22" s="9">
        <v>72.400000000000006</v>
      </c>
      <c r="AW22" s="4" t="str">
        <f t="shared" si="54"/>
        <v>B</v>
      </c>
      <c r="AX22" s="3">
        <f t="shared" si="55"/>
        <v>3</v>
      </c>
      <c r="AY22" s="3">
        <v>3</v>
      </c>
      <c r="AZ22" s="12">
        <f t="shared" si="56"/>
        <v>9</v>
      </c>
      <c r="BA22" s="3">
        <v>74.325000000000003</v>
      </c>
      <c r="BB22" s="4" t="str">
        <f t="shared" si="57"/>
        <v>B</v>
      </c>
      <c r="BC22" s="3">
        <f t="shared" si="58"/>
        <v>3</v>
      </c>
      <c r="BD22" s="3">
        <v>2</v>
      </c>
      <c r="BE22" s="12">
        <f t="shared" si="59"/>
        <v>6</v>
      </c>
      <c r="BF22" s="3">
        <v>80.599999999999994</v>
      </c>
      <c r="BG22" s="4" t="str">
        <f t="shared" si="60"/>
        <v>A</v>
      </c>
      <c r="BH22" s="3">
        <f t="shared" si="61"/>
        <v>4</v>
      </c>
      <c r="BI22" s="3">
        <v>2</v>
      </c>
      <c r="BJ22" s="12">
        <f t="shared" si="62"/>
        <v>8</v>
      </c>
      <c r="BK22" s="16">
        <v>81.16</v>
      </c>
      <c r="BL22" s="4" t="str">
        <f t="shared" si="63"/>
        <v>A</v>
      </c>
      <c r="BM22" s="3">
        <f t="shared" si="64"/>
        <v>4</v>
      </c>
      <c r="BN22" s="3">
        <v>2</v>
      </c>
      <c r="BO22" s="12">
        <f t="shared" si="65"/>
        <v>8</v>
      </c>
      <c r="BP22" s="19">
        <v>79.050000000000011</v>
      </c>
      <c r="BQ22" s="4" t="str">
        <f t="shared" si="66"/>
        <v>B+</v>
      </c>
      <c r="BR22" s="3">
        <f t="shared" si="67"/>
        <v>3.5</v>
      </c>
      <c r="BS22" s="3">
        <v>2</v>
      </c>
      <c r="BT22" s="12">
        <f t="shared" si="68"/>
        <v>7</v>
      </c>
      <c r="BU22" s="5">
        <v>75.400000000000006</v>
      </c>
      <c r="BV22" s="4" t="str">
        <f t="shared" si="69"/>
        <v>B+</v>
      </c>
      <c r="BW22" s="3">
        <f t="shared" si="70"/>
        <v>3.5</v>
      </c>
      <c r="BX22" s="3">
        <v>2</v>
      </c>
      <c r="BY22" s="12">
        <f t="shared" si="71"/>
        <v>7</v>
      </c>
      <c r="BZ22" s="3">
        <v>78.8</v>
      </c>
      <c r="CA22" s="4" t="str">
        <f t="shared" si="88"/>
        <v>B+</v>
      </c>
      <c r="CB22" s="3">
        <f t="shared" si="92"/>
        <v>3.5</v>
      </c>
      <c r="CC22" s="3">
        <v>2</v>
      </c>
      <c r="CD22" s="12">
        <f t="shared" si="72"/>
        <v>7</v>
      </c>
      <c r="CE22" s="20">
        <v>82.4</v>
      </c>
      <c r="CF22" s="4" t="str">
        <f t="shared" si="16"/>
        <v>A</v>
      </c>
      <c r="CG22" s="3">
        <f t="shared" si="73"/>
        <v>4</v>
      </c>
      <c r="CH22" s="3">
        <v>2</v>
      </c>
      <c r="CI22" s="12">
        <f t="shared" si="74"/>
        <v>8</v>
      </c>
      <c r="CJ22" s="6">
        <v>73.125</v>
      </c>
      <c r="CK22" s="4" t="str">
        <f t="shared" si="18"/>
        <v>B</v>
      </c>
      <c r="CL22" s="3">
        <f t="shared" si="75"/>
        <v>3</v>
      </c>
      <c r="CM22" s="3">
        <v>2</v>
      </c>
      <c r="CN22" s="12">
        <f t="shared" si="76"/>
        <v>6</v>
      </c>
      <c r="CO22" s="7">
        <v>80</v>
      </c>
      <c r="CP22" s="4" t="str">
        <f t="shared" si="90"/>
        <v>A</v>
      </c>
      <c r="CQ22" s="3">
        <f t="shared" si="93"/>
        <v>4</v>
      </c>
      <c r="CR22" s="3">
        <v>2</v>
      </c>
      <c r="CS22" s="12">
        <f t="shared" si="77"/>
        <v>8</v>
      </c>
      <c r="CT22" s="14">
        <v>80.2</v>
      </c>
      <c r="CU22" s="4" t="str">
        <f t="shared" si="22"/>
        <v>A</v>
      </c>
      <c r="CV22" s="3">
        <f t="shared" si="78"/>
        <v>4</v>
      </c>
      <c r="CW22" s="3">
        <v>2</v>
      </c>
      <c r="CX22" s="12">
        <f t="shared" si="79"/>
        <v>8</v>
      </c>
      <c r="CY22" s="21">
        <v>80.2</v>
      </c>
      <c r="CZ22" s="4" t="str">
        <f t="shared" si="24"/>
        <v>A</v>
      </c>
      <c r="DA22" s="3">
        <f t="shared" si="80"/>
        <v>4</v>
      </c>
      <c r="DB22" s="3">
        <v>2</v>
      </c>
      <c r="DC22" s="12">
        <f t="shared" si="81"/>
        <v>8</v>
      </c>
      <c r="DD22" s="3">
        <v>78</v>
      </c>
      <c r="DE22" s="4" t="str">
        <f t="shared" si="26"/>
        <v>B+</v>
      </c>
      <c r="DF22" s="3">
        <f t="shared" si="82"/>
        <v>3.5</v>
      </c>
      <c r="DG22" s="3">
        <v>2</v>
      </c>
      <c r="DH22" s="12">
        <f t="shared" si="83"/>
        <v>7</v>
      </c>
      <c r="DI22" s="3">
        <v>81</v>
      </c>
      <c r="DJ22" s="4" t="str">
        <f t="shared" si="28"/>
        <v>A</v>
      </c>
      <c r="DK22" s="3">
        <f t="shared" si="84"/>
        <v>4</v>
      </c>
      <c r="DL22" s="3">
        <v>4</v>
      </c>
      <c r="DM22" s="12">
        <f t="shared" si="85"/>
        <v>16</v>
      </c>
      <c r="DN22" s="3">
        <v>90</v>
      </c>
      <c r="DO22" s="3">
        <v>24</v>
      </c>
      <c r="DP22" s="3">
        <v>90</v>
      </c>
      <c r="DQ22" s="3">
        <v>24</v>
      </c>
      <c r="DR22" s="3">
        <v>180</v>
      </c>
      <c r="DS22" s="3">
        <v>48</v>
      </c>
      <c r="DT22" s="9">
        <v>3.75</v>
      </c>
      <c r="DU22" s="9">
        <v>3.75</v>
      </c>
      <c r="DV22" s="12" t="str">
        <f t="shared" si="86"/>
        <v>Cum Laude</v>
      </c>
      <c r="DW22" s="12" t="str">
        <f t="shared" si="87"/>
        <v>Excellent</v>
      </c>
      <c r="DX22" s="22" t="s">
        <v>147</v>
      </c>
      <c r="DY22" s="26" t="s">
        <v>199</v>
      </c>
    </row>
    <row r="23" spans="1:129" x14ac:dyDescent="0.25">
      <c r="A23" s="3">
        <v>21</v>
      </c>
      <c r="B23" s="2" t="s">
        <v>46</v>
      </c>
      <c r="C23" s="2">
        <v>172312040</v>
      </c>
      <c r="D23" s="11" t="s">
        <v>88</v>
      </c>
      <c r="E23" s="13" t="s">
        <v>157</v>
      </c>
      <c r="F23" s="28" t="s">
        <v>218</v>
      </c>
      <c r="G23" s="27" t="s">
        <v>237</v>
      </c>
      <c r="H23" s="6">
        <v>80</v>
      </c>
      <c r="I23" s="4" t="str">
        <f t="shared" si="30"/>
        <v>A</v>
      </c>
      <c r="J23" s="3">
        <f t="shared" si="31"/>
        <v>4</v>
      </c>
      <c r="K23" s="3">
        <v>2</v>
      </c>
      <c r="L23" s="12">
        <f t="shared" si="32"/>
        <v>8</v>
      </c>
      <c r="M23" s="7">
        <v>86.233333333333334</v>
      </c>
      <c r="N23" s="4" t="str">
        <f t="shared" si="33"/>
        <v>A</v>
      </c>
      <c r="O23" s="3">
        <f t="shared" si="34"/>
        <v>4</v>
      </c>
      <c r="P23" s="3">
        <v>2</v>
      </c>
      <c r="Q23" s="12">
        <f t="shared" si="35"/>
        <v>8</v>
      </c>
      <c r="R23" s="14">
        <v>79</v>
      </c>
      <c r="S23" s="4" t="str">
        <f t="shared" si="36"/>
        <v>B+</v>
      </c>
      <c r="T23" s="3">
        <f t="shared" si="37"/>
        <v>3.5</v>
      </c>
      <c r="U23" s="3">
        <v>2</v>
      </c>
      <c r="V23" s="12">
        <f t="shared" si="38"/>
        <v>7</v>
      </c>
      <c r="W23" s="9">
        <v>80</v>
      </c>
      <c r="X23" s="4" t="str">
        <f t="shared" si="39"/>
        <v>A</v>
      </c>
      <c r="Y23" s="3">
        <f t="shared" si="40"/>
        <v>4</v>
      </c>
      <c r="Z23" s="3">
        <v>3</v>
      </c>
      <c r="AA23" s="12">
        <f t="shared" si="41"/>
        <v>12</v>
      </c>
      <c r="AB23" s="3">
        <v>80.900000000000006</v>
      </c>
      <c r="AC23" s="4" t="str">
        <f t="shared" si="42"/>
        <v>A</v>
      </c>
      <c r="AD23" s="3">
        <f t="shared" si="43"/>
        <v>4</v>
      </c>
      <c r="AE23" s="3">
        <v>2</v>
      </c>
      <c r="AF23" s="12">
        <f t="shared" si="44"/>
        <v>8</v>
      </c>
      <c r="AG23" s="3">
        <v>86.233333333333334</v>
      </c>
      <c r="AH23" s="4" t="str">
        <f t="shared" si="45"/>
        <v>A</v>
      </c>
      <c r="AI23" s="3">
        <f t="shared" si="46"/>
        <v>4</v>
      </c>
      <c r="AJ23" s="3">
        <v>2</v>
      </c>
      <c r="AK23" s="12">
        <f t="shared" si="47"/>
        <v>8</v>
      </c>
      <c r="AL23" s="3">
        <v>80</v>
      </c>
      <c r="AM23" s="4" t="str">
        <f t="shared" si="48"/>
        <v>A</v>
      </c>
      <c r="AN23" s="3">
        <f t="shared" si="49"/>
        <v>4</v>
      </c>
      <c r="AO23" s="3">
        <v>2</v>
      </c>
      <c r="AP23" s="12">
        <f t="shared" si="50"/>
        <v>8</v>
      </c>
      <c r="AQ23" s="9">
        <v>81.833333333333329</v>
      </c>
      <c r="AR23" s="4" t="str">
        <f t="shared" si="51"/>
        <v>A</v>
      </c>
      <c r="AS23" s="3">
        <f t="shared" si="52"/>
        <v>4</v>
      </c>
      <c r="AT23" s="3">
        <v>2</v>
      </c>
      <c r="AU23" s="12">
        <f t="shared" si="53"/>
        <v>8</v>
      </c>
      <c r="AV23" s="9">
        <v>71</v>
      </c>
      <c r="AW23" s="4" t="str">
        <f t="shared" si="54"/>
        <v>B</v>
      </c>
      <c r="AX23" s="3">
        <f t="shared" si="55"/>
        <v>3</v>
      </c>
      <c r="AY23" s="3">
        <v>3</v>
      </c>
      <c r="AZ23" s="12">
        <f t="shared" si="56"/>
        <v>9</v>
      </c>
      <c r="BA23" s="3">
        <v>72.924999999999997</v>
      </c>
      <c r="BB23" s="4" t="str">
        <f t="shared" si="57"/>
        <v>B</v>
      </c>
      <c r="BC23" s="3">
        <f t="shared" si="58"/>
        <v>3</v>
      </c>
      <c r="BD23" s="3">
        <v>2</v>
      </c>
      <c r="BE23" s="12">
        <f t="shared" si="59"/>
        <v>6</v>
      </c>
      <c r="BF23" s="3">
        <v>80</v>
      </c>
      <c r="BG23" s="4" t="str">
        <f t="shared" si="60"/>
        <v>A</v>
      </c>
      <c r="BH23" s="3">
        <f t="shared" si="61"/>
        <v>4</v>
      </c>
      <c r="BI23" s="3">
        <v>2</v>
      </c>
      <c r="BJ23" s="12">
        <f t="shared" si="62"/>
        <v>8</v>
      </c>
      <c r="BK23" s="16">
        <v>80.72</v>
      </c>
      <c r="BL23" s="4" t="str">
        <f t="shared" si="63"/>
        <v>A</v>
      </c>
      <c r="BM23" s="3">
        <f t="shared" si="64"/>
        <v>4</v>
      </c>
      <c r="BN23" s="3">
        <v>2</v>
      </c>
      <c r="BO23" s="12">
        <f t="shared" si="65"/>
        <v>8</v>
      </c>
      <c r="BP23" s="19">
        <v>80.45</v>
      </c>
      <c r="BQ23" s="4" t="str">
        <f t="shared" si="66"/>
        <v>A</v>
      </c>
      <c r="BR23" s="3">
        <f t="shared" si="67"/>
        <v>4</v>
      </c>
      <c r="BS23" s="3">
        <v>2</v>
      </c>
      <c r="BT23" s="12">
        <f t="shared" si="68"/>
        <v>8</v>
      </c>
      <c r="BU23" s="5">
        <v>72.2</v>
      </c>
      <c r="BV23" s="4" t="str">
        <f t="shared" si="69"/>
        <v>B</v>
      </c>
      <c r="BW23" s="3">
        <f t="shared" si="70"/>
        <v>3</v>
      </c>
      <c r="BX23" s="3">
        <v>2</v>
      </c>
      <c r="BY23" s="12">
        <f t="shared" si="71"/>
        <v>6</v>
      </c>
      <c r="BZ23" s="3">
        <v>82</v>
      </c>
      <c r="CA23" s="4" t="str">
        <f t="shared" si="88"/>
        <v>A</v>
      </c>
      <c r="CB23" s="3">
        <f t="shared" si="92"/>
        <v>4</v>
      </c>
      <c r="CC23" s="3">
        <v>2</v>
      </c>
      <c r="CD23" s="12">
        <f t="shared" si="72"/>
        <v>8</v>
      </c>
      <c r="CE23" s="20">
        <v>82.4</v>
      </c>
      <c r="CF23" s="4" t="str">
        <f t="shared" si="16"/>
        <v>A</v>
      </c>
      <c r="CG23" s="3">
        <f t="shared" si="73"/>
        <v>4</v>
      </c>
      <c r="CH23" s="3">
        <v>2</v>
      </c>
      <c r="CI23" s="12">
        <f t="shared" si="74"/>
        <v>8</v>
      </c>
      <c r="CJ23" s="6">
        <v>75.924999999999997</v>
      </c>
      <c r="CK23" s="4" t="str">
        <f t="shared" si="18"/>
        <v>B+</v>
      </c>
      <c r="CL23" s="3">
        <f t="shared" si="75"/>
        <v>3.5</v>
      </c>
      <c r="CM23" s="3">
        <v>2</v>
      </c>
      <c r="CN23" s="12">
        <f t="shared" si="76"/>
        <v>7</v>
      </c>
      <c r="CO23" s="7">
        <v>81.599999999999994</v>
      </c>
      <c r="CP23" s="4" t="str">
        <f t="shared" si="90"/>
        <v>A</v>
      </c>
      <c r="CQ23" s="3">
        <f t="shared" si="93"/>
        <v>4</v>
      </c>
      <c r="CR23" s="3">
        <v>2</v>
      </c>
      <c r="CS23" s="12">
        <f t="shared" si="77"/>
        <v>8</v>
      </c>
      <c r="CT23" s="14">
        <v>79.2</v>
      </c>
      <c r="CU23" s="4" t="str">
        <f t="shared" si="22"/>
        <v>B+</v>
      </c>
      <c r="CV23" s="3">
        <f t="shared" si="78"/>
        <v>3.5</v>
      </c>
      <c r="CW23" s="3">
        <v>2</v>
      </c>
      <c r="CX23" s="12">
        <f t="shared" si="79"/>
        <v>7</v>
      </c>
      <c r="CY23" s="21">
        <v>79.2</v>
      </c>
      <c r="CZ23" s="4" t="str">
        <f t="shared" si="24"/>
        <v>B+</v>
      </c>
      <c r="DA23" s="3">
        <f t="shared" si="80"/>
        <v>3.5</v>
      </c>
      <c r="DB23" s="3">
        <v>2</v>
      </c>
      <c r="DC23" s="12">
        <f t="shared" si="81"/>
        <v>7</v>
      </c>
      <c r="DD23" s="3">
        <v>77.8</v>
      </c>
      <c r="DE23" s="4" t="str">
        <f t="shared" si="26"/>
        <v>B+</v>
      </c>
      <c r="DF23" s="3">
        <f t="shared" si="82"/>
        <v>3.5</v>
      </c>
      <c r="DG23" s="3">
        <v>2</v>
      </c>
      <c r="DH23" s="12">
        <f t="shared" si="83"/>
        <v>7</v>
      </c>
      <c r="DI23" s="3">
        <v>82.65</v>
      </c>
      <c r="DJ23" s="4" t="str">
        <f t="shared" si="28"/>
        <v>A</v>
      </c>
      <c r="DK23" s="3">
        <f t="shared" si="84"/>
        <v>4</v>
      </c>
      <c r="DL23" s="3">
        <v>4</v>
      </c>
      <c r="DM23" s="12">
        <f t="shared" si="85"/>
        <v>16</v>
      </c>
      <c r="DN23" s="3">
        <v>90</v>
      </c>
      <c r="DO23" s="3">
        <v>24</v>
      </c>
      <c r="DP23" s="3">
        <v>90</v>
      </c>
      <c r="DQ23" s="3">
        <v>24</v>
      </c>
      <c r="DR23" s="3">
        <v>180</v>
      </c>
      <c r="DS23" s="3">
        <v>48</v>
      </c>
      <c r="DT23" s="9">
        <v>3.75</v>
      </c>
      <c r="DU23" s="9">
        <v>3.75</v>
      </c>
      <c r="DV23" s="12" t="str">
        <f t="shared" si="86"/>
        <v>Cum Laude</v>
      </c>
      <c r="DW23" s="12" t="str">
        <f t="shared" si="87"/>
        <v>Excellent</v>
      </c>
      <c r="DX23" s="22" t="s">
        <v>172</v>
      </c>
      <c r="DY23" s="26" t="s">
        <v>200</v>
      </c>
    </row>
    <row r="24" spans="1:129" x14ac:dyDescent="0.25">
      <c r="A24" s="3">
        <v>22</v>
      </c>
      <c r="B24" s="2" t="s">
        <v>47</v>
      </c>
      <c r="C24" s="2">
        <v>172312041</v>
      </c>
      <c r="D24" s="11" t="s">
        <v>135</v>
      </c>
      <c r="E24" s="13" t="s">
        <v>136</v>
      </c>
      <c r="F24" s="28" t="s">
        <v>218</v>
      </c>
      <c r="G24" s="27" t="s">
        <v>238</v>
      </c>
      <c r="H24" s="6">
        <v>76.866666666666674</v>
      </c>
      <c r="I24" s="4" t="str">
        <f t="shared" si="30"/>
        <v>B+</v>
      </c>
      <c r="J24" s="3">
        <f t="shared" si="31"/>
        <v>3.5</v>
      </c>
      <c r="K24" s="3">
        <v>2</v>
      </c>
      <c r="L24" s="12">
        <f t="shared" si="32"/>
        <v>7</v>
      </c>
      <c r="M24" s="7">
        <v>85.3</v>
      </c>
      <c r="N24" s="4" t="str">
        <f t="shared" si="33"/>
        <v>A</v>
      </c>
      <c r="O24" s="3">
        <f t="shared" si="34"/>
        <v>4</v>
      </c>
      <c r="P24" s="3">
        <v>2</v>
      </c>
      <c r="Q24" s="12">
        <f t="shared" si="35"/>
        <v>8</v>
      </c>
      <c r="R24" s="14">
        <v>78.800000000000011</v>
      </c>
      <c r="S24" s="4" t="str">
        <f t="shared" si="36"/>
        <v>B+</v>
      </c>
      <c r="T24" s="3">
        <f t="shared" si="37"/>
        <v>3.5</v>
      </c>
      <c r="U24" s="3">
        <v>2</v>
      </c>
      <c r="V24" s="12">
        <f t="shared" si="38"/>
        <v>7</v>
      </c>
      <c r="W24" s="9">
        <v>80</v>
      </c>
      <c r="X24" s="4" t="str">
        <f t="shared" si="39"/>
        <v>A</v>
      </c>
      <c r="Y24" s="3">
        <f t="shared" si="40"/>
        <v>4</v>
      </c>
      <c r="Z24" s="3">
        <v>3</v>
      </c>
      <c r="AA24" s="12">
        <f t="shared" si="41"/>
        <v>12</v>
      </c>
      <c r="AB24" s="3">
        <v>83.600000000000009</v>
      </c>
      <c r="AC24" s="4" t="str">
        <f t="shared" si="42"/>
        <v>A</v>
      </c>
      <c r="AD24" s="3">
        <f t="shared" si="43"/>
        <v>4</v>
      </c>
      <c r="AE24" s="3">
        <v>2</v>
      </c>
      <c r="AF24" s="12">
        <f t="shared" si="44"/>
        <v>8</v>
      </c>
      <c r="AG24" s="3">
        <v>85.3</v>
      </c>
      <c r="AH24" s="4" t="str">
        <f t="shared" si="45"/>
        <v>A</v>
      </c>
      <c r="AI24" s="3">
        <f t="shared" si="46"/>
        <v>4</v>
      </c>
      <c r="AJ24" s="3">
        <v>2</v>
      </c>
      <c r="AK24" s="12">
        <f t="shared" si="47"/>
        <v>8</v>
      </c>
      <c r="AL24" s="3">
        <v>79.75</v>
      </c>
      <c r="AM24" s="4" t="str">
        <f t="shared" si="48"/>
        <v>B+</v>
      </c>
      <c r="AN24" s="3">
        <f t="shared" si="49"/>
        <v>3.5</v>
      </c>
      <c r="AO24" s="3">
        <v>2</v>
      </c>
      <c r="AP24" s="12">
        <f t="shared" si="50"/>
        <v>7</v>
      </c>
      <c r="AQ24" s="9">
        <v>85.433333333333337</v>
      </c>
      <c r="AR24" s="4" t="str">
        <f t="shared" si="51"/>
        <v>A</v>
      </c>
      <c r="AS24" s="3">
        <f t="shared" si="52"/>
        <v>4</v>
      </c>
      <c r="AT24" s="3">
        <v>2</v>
      </c>
      <c r="AU24" s="12">
        <f t="shared" si="53"/>
        <v>8</v>
      </c>
      <c r="AV24" s="9">
        <v>73.599999999999994</v>
      </c>
      <c r="AW24" s="4" t="str">
        <f t="shared" si="54"/>
        <v>B</v>
      </c>
      <c r="AX24" s="3">
        <f t="shared" si="55"/>
        <v>3</v>
      </c>
      <c r="AY24" s="3">
        <v>3</v>
      </c>
      <c r="AZ24" s="12">
        <f t="shared" si="56"/>
        <v>9</v>
      </c>
      <c r="BA24" s="3">
        <v>77.325000000000003</v>
      </c>
      <c r="BB24" s="4" t="str">
        <f t="shared" si="57"/>
        <v>B+</v>
      </c>
      <c r="BC24" s="3">
        <f t="shared" si="58"/>
        <v>3.5</v>
      </c>
      <c r="BD24" s="3">
        <v>2</v>
      </c>
      <c r="BE24" s="12">
        <f t="shared" si="59"/>
        <v>7</v>
      </c>
      <c r="BF24" s="3">
        <v>80.599999999999994</v>
      </c>
      <c r="BG24" s="4" t="str">
        <f t="shared" si="60"/>
        <v>A</v>
      </c>
      <c r="BH24" s="3">
        <f t="shared" si="61"/>
        <v>4</v>
      </c>
      <c r="BI24" s="3">
        <v>2</v>
      </c>
      <c r="BJ24" s="12">
        <f t="shared" si="62"/>
        <v>8</v>
      </c>
      <c r="BK24" s="16">
        <v>81.946666666666673</v>
      </c>
      <c r="BL24" s="4" t="str">
        <f t="shared" si="63"/>
        <v>A</v>
      </c>
      <c r="BM24" s="3">
        <f t="shared" si="64"/>
        <v>4</v>
      </c>
      <c r="BN24" s="3">
        <v>2</v>
      </c>
      <c r="BO24" s="12">
        <f t="shared" si="65"/>
        <v>8</v>
      </c>
      <c r="BP24" s="19">
        <v>80.150000000000006</v>
      </c>
      <c r="BQ24" s="4" t="str">
        <f t="shared" si="66"/>
        <v>A</v>
      </c>
      <c r="BR24" s="3">
        <f t="shared" si="67"/>
        <v>4</v>
      </c>
      <c r="BS24" s="3">
        <v>2</v>
      </c>
      <c r="BT24" s="12">
        <f t="shared" si="68"/>
        <v>8</v>
      </c>
      <c r="BU24" s="5">
        <v>71.599999999999994</v>
      </c>
      <c r="BV24" s="4" t="str">
        <f t="shared" si="69"/>
        <v>B</v>
      </c>
      <c r="BW24" s="3">
        <f t="shared" si="70"/>
        <v>3</v>
      </c>
      <c r="BX24" s="3">
        <v>2</v>
      </c>
      <c r="BY24" s="12">
        <f t="shared" si="71"/>
        <v>6</v>
      </c>
      <c r="BZ24" s="3">
        <v>80</v>
      </c>
      <c r="CA24" s="4" t="str">
        <f t="shared" si="88"/>
        <v>A</v>
      </c>
      <c r="CB24" s="3">
        <f t="shared" si="92"/>
        <v>4</v>
      </c>
      <c r="CC24" s="3">
        <v>2</v>
      </c>
      <c r="CD24" s="12">
        <f t="shared" si="72"/>
        <v>8</v>
      </c>
      <c r="CE24" s="20">
        <v>79.599999999999994</v>
      </c>
      <c r="CF24" s="4" t="str">
        <f t="shared" si="16"/>
        <v>B+</v>
      </c>
      <c r="CG24" s="3">
        <f t="shared" si="73"/>
        <v>3.5</v>
      </c>
      <c r="CH24" s="3">
        <v>2</v>
      </c>
      <c r="CI24" s="12">
        <f t="shared" si="74"/>
        <v>7</v>
      </c>
      <c r="CJ24" s="6">
        <v>74.125</v>
      </c>
      <c r="CK24" s="4" t="str">
        <f t="shared" si="18"/>
        <v>B</v>
      </c>
      <c r="CL24" s="3">
        <f t="shared" si="75"/>
        <v>3</v>
      </c>
      <c r="CM24" s="3">
        <v>2</v>
      </c>
      <c r="CN24" s="12">
        <f t="shared" si="76"/>
        <v>6</v>
      </c>
      <c r="CO24" s="7">
        <v>80</v>
      </c>
      <c r="CP24" s="4" t="str">
        <f t="shared" si="90"/>
        <v>A</v>
      </c>
      <c r="CQ24" s="3">
        <f t="shared" si="93"/>
        <v>4</v>
      </c>
      <c r="CR24" s="3">
        <v>2</v>
      </c>
      <c r="CS24" s="12">
        <f t="shared" si="77"/>
        <v>8</v>
      </c>
      <c r="CT24" s="14">
        <v>80.599999999999994</v>
      </c>
      <c r="CU24" s="4" t="str">
        <f t="shared" si="22"/>
        <v>A</v>
      </c>
      <c r="CV24" s="3">
        <f t="shared" si="78"/>
        <v>4</v>
      </c>
      <c r="CW24" s="3">
        <v>2</v>
      </c>
      <c r="CX24" s="12">
        <f t="shared" si="79"/>
        <v>8</v>
      </c>
      <c r="CY24" s="21">
        <v>80.599999999999994</v>
      </c>
      <c r="CZ24" s="4" t="str">
        <f t="shared" si="24"/>
        <v>A</v>
      </c>
      <c r="DA24" s="3">
        <f t="shared" si="80"/>
        <v>4</v>
      </c>
      <c r="DB24" s="3">
        <v>2</v>
      </c>
      <c r="DC24" s="12">
        <f t="shared" si="81"/>
        <v>8</v>
      </c>
      <c r="DD24" s="3">
        <v>78.2</v>
      </c>
      <c r="DE24" s="4" t="str">
        <f t="shared" si="26"/>
        <v>B+</v>
      </c>
      <c r="DF24" s="3">
        <f t="shared" si="82"/>
        <v>3.5</v>
      </c>
      <c r="DG24" s="3">
        <v>2</v>
      </c>
      <c r="DH24" s="12">
        <f t="shared" si="83"/>
        <v>7</v>
      </c>
      <c r="DI24" s="3">
        <v>80.33</v>
      </c>
      <c r="DJ24" s="4" t="str">
        <f t="shared" si="28"/>
        <v>A</v>
      </c>
      <c r="DK24" s="3">
        <f t="shared" si="84"/>
        <v>4</v>
      </c>
      <c r="DL24" s="3">
        <v>4</v>
      </c>
      <c r="DM24" s="12">
        <f t="shared" si="85"/>
        <v>16</v>
      </c>
      <c r="DN24" s="3">
        <v>90</v>
      </c>
      <c r="DO24" s="3">
        <v>24</v>
      </c>
      <c r="DP24" s="3">
        <v>90</v>
      </c>
      <c r="DQ24" s="3">
        <v>24</v>
      </c>
      <c r="DR24" s="3">
        <v>180</v>
      </c>
      <c r="DS24" s="3">
        <v>48</v>
      </c>
      <c r="DT24" s="9">
        <v>3.75</v>
      </c>
      <c r="DU24" s="9">
        <v>3.75</v>
      </c>
      <c r="DV24" s="12" t="str">
        <f t="shared" si="86"/>
        <v>Cum Laude</v>
      </c>
      <c r="DW24" s="12" t="str">
        <f t="shared" si="87"/>
        <v>Excellent</v>
      </c>
      <c r="DX24" s="22" t="s">
        <v>148</v>
      </c>
      <c r="DY24" s="26" t="s">
        <v>201</v>
      </c>
    </row>
    <row r="25" spans="1:129" x14ac:dyDescent="0.25">
      <c r="A25" s="3">
        <v>23</v>
      </c>
      <c r="B25" s="2" t="s">
        <v>48</v>
      </c>
      <c r="C25" s="2">
        <v>172312042</v>
      </c>
      <c r="D25" s="11" t="s">
        <v>84</v>
      </c>
      <c r="E25" s="13" t="s">
        <v>108</v>
      </c>
      <c r="F25" s="28" t="s">
        <v>218</v>
      </c>
      <c r="G25" s="27" t="s">
        <v>239</v>
      </c>
      <c r="H25" s="6">
        <v>76.333333333333329</v>
      </c>
      <c r="I25" s="4" t="str">
        <f t="shared" si="30"/>
        <v>B+</v>
      </c>
      <c r="J25" s="3">
        <f t="shared" si="31"/>
        <v>3.5</v>
      </c>
      <c r="K25" s="3">
        <v>2</v>
      </c>
      <c r="L25" s="12">
        <f t="shared" si="32"/>
        <v>7</v>
      </c>
      <c r="M25" s="7">
        <v>82.633333333333326</v>
      </c>
      <c r="N25" s="4" t="str">
        <f t="shared" si="33"/>
        <v>A</v>
      </c>
      <c r="O25" s="3">
        <f t="shared" si="34"/>
        <v>4</v>
      </c>
      <c r="P25" s="3">
        <v>2</v>
      </c>
      <c r="Q25" s="12">
        <f t="shared" si="35"/>
        <v>8</v>
      </c>
      <c r="R25" s="14">
        <v>79</v>
      </c>
      <c r="S25" s="4" t="str">
        <f t="shared" si="36"/>
        <v>B+</v>
      </c>
      <c r="T25" s="3">
        <f t="shared" si="37"/>
        <v>3.5</v>
      </c>
      <c r="U25" s="3">
        <v>2</v>
      </c>
      <c r="V25" s="12">
        <f t="shared" si="38"/>
        <v>7</v>
      </c>
      <c r="W25" s="9">
        <v>78.800000000000011</v>
      </c>
      <c r="X25" s="4" t="str">
        <f t="shared" si="39"/>
        <v>B+</v>
      </c>
      <c r="Y25" s="3">
        <f t="shared" si="40"/>
        <v>3.5</v>
      </c>
      <c r="Z25" s="3">
        <v>3</v>
      </c>
      <c r="AA25" s="12">
        <f t="shared" si="41"/>
        <v>10.5</v>
      </c>
      <c r="AB25" s="3">
        <v>85.350000000000009</v>
      </c>
      <c r="AC25" s="4" t="str">
        <f t="shared" si="42"/>
        <v>A</v>
      </c>
      <c r="AD25" s="3">
        <f t="shared" si="43"/>
        <v>4</v>
      </c>
      <c r="AE25" s="3">
        <v>2</v>
      </c>
      <c r="AF25" s="12">
        <f t="shared" si="44"/>
        <v>8</v>
      </c>
      <c r="AG25" s="3">
        <v>82.633333333333326</v>
      </c>
      <c r="AH25" s="4" t="str">
        <f t="shared" si="45"/>
        <v>A</v>
      </c>
      <c r="AI25" s="3">
        <f t="shared" si="46"/>
        <v>4</v>
      </c>
      <c r="AJ25" s="3">
        <v>2</v>
      </c>
      <c r="AK25" s="12">
        <f t="shared" si="47"/>
        <v>8</v>
      </c>
      <c r="AL25" s="3">
        <v>78.800000000000011</v>
      </c>
      <c r="AM25" s="4" t="str">
        <f t="shared" si="48"/>
        <v>B+</v>
      </c>
      <c r="AN25" s="3">
        <f t="shared" si="49"/>
        <v>3.5</v>
      </c>
      <c r="AO25" s="3">
        <v>2</v>
      </c>
      <c r="AP25" s="12">
        <f t="shared" si="50"/>
        <v>7</v>
      </c>
      <c r="AQ25" s="9">
        <v>82.5</v>
      </c>
      <c r="AR25" s="4" t="str">
        <f t="shared" si="51"/>
        <v>A</v>
      </c>
      <c r="AS25" s="3">
        <f t="shared" si="52"/>
        <v>4</v>
      </c>
      <c r="AT25" s="3">
        <v>2</v>
      </c>
      <c r="AU25" s="12">
        <f t="shared" si="53"/>
        <v>8</v>
      </c>
      <c r="AV25" s="9">
        <v>69.599999999999994</v>
      </c>
      <c r="AW25" s="4" t="str">
        <f t="shared" si="54"/>
        <v>C+</v>
      </c>
      <c r="AX25" s="3">
        <f t="shared" si="55"/>
        <v>2.5</v>
      </c>
      <c r="AY25" s="3">
        <v>3</v>
      </c>
      <c r="AZ25" s="12">
        <f t="shared" si="56"/>
        <v>7.5</v>
      </c>
      <c r="BA25" s="3">
        <v>75.525000000000006</v>
      </c>
      <c r="BB25" s="4" t="str">
        <f t="shared" si="57"/>
        <v>B+</v>
      </c>
      <c r="BC25" s="3">
        <f t="shared" si="58"/>
        <v>3.5</v>
      </c>
      <c r="BD25" s="3">
        <v>2</v>
      </c>
      <c r="BE25" s="12">
        <f t="shared" si="59"/>
        <v>7</v>
      </c>
      <c r="BF25" s="3">
        <v>78.800000000000011</v>
      </c>
      <c r="BG25" s="4" t="str">
        <f t="shared" si="60"/>
        <v>B+</v>
      </c>
      <c r="BH25" s="3">
        <f t="shared" si="61"/>
        <v>3.5</v>
      </c>
      <c r="BI25" s="3">
        <v>2</v>
      </c>
      <c r="BJ25" s="12">
        <f t="shared" si="62"/>
        <v>7</v>
      </c>
      <c r="BK25" s="16">
        <v>75.960000000000008</v>
      </c>
      <c r="BL25" s="4" t="str">
        <f t="shared" si="63"/>
        <v>B+</v>
      </c>
      <c r="BM25" s="3">
        <f t="shared" si="64"/>
        <v>3.5</v>
      </c>
      <c r="BN25" s="3">
        <v>2</v>
      </c>
      <c r="BO25" s="12">
        <f t="shared" si="65"/>
        <v>7</v>
      </c>
      <c r="BP25" s="19">
        <v>77.8</v>
      </c>
      <c r="BQ25" s="4" t="str">
        <f t="shared" si="66"/>
        <v>B+</v>
      </c>
      <c r="BR25" s="3">
        <f t="shared" si="67"/>
        <v>3.5</v>
      </c>
      <c r="BS25" s="3">
        <v>2</v>
      </c>
      <c r="BT25" s="12">
        <f t="shared" si="68"/>
        <v>7</v>
      </c>
      <c r="BU25" s="18">
        <v>48</v>
      </c>
      <c r="BV25" s="4" t="str">
        <f t="shared" si="69"/>
        <v>E</v>
      </c>
      <c r="BW25" s="3">
        <f t="shared" si="70"/>
        <v>0</v>
      </c>
      <c r="BX25" s="3">
        <v>2</v>
      </c>
      <c r="BY25" s="12">
        <f t="shared" si="71"/>
        <v>0</v>
      </c>
      <c r="BZ25" s="3">
        <v>78.8</v>
      </c>
      <c r="CA25" s="4" t="str">
        <f t="shared" si="88"/>
        <v>B+</v>
      </c>
      <c r="CB25" s="3">
        <f t="shared" si="92"/>
        <v>3.5</v>
      </c>
      <c r="CC25" s="3">
        <v>2</v>
      </c>
      <c r="CD25" s="12">
        <f t="shared" si="72"/>
        <v>7</v>
      </c>
      <c r="CE25" s="20">
        <v>78.400000000000006</v>
      </c>
      <c r="CF25" s="4" t="str">
        <f t="shared" si="16"/>
        <v>B+</v>
      </c>
      <c r="CG25" s="3">
        <f t="shared" si="73"/>
        <v>3.5</v>
      </c>
      <c r="CH25" s="3">
        <v>2</v>
      </c>
      <c r="CI25" s="12">
        <f t="shared" si="74"/>
        <v>7</v>
      </c>
      <c r="CJ25" s="6">
        <v>72.724999999999994</v>
      </c>
      <c r="CK25" s="4" t="str">
        <f t="shared" si="18"/>
        <v>B</v>
      </c>
      <c r="CL25" s="3">
        <f t="shared" si="75"/>
        <v>3</v>
      </c>
      <c r="CM25" s="3">
        <v>2</v>
      </c>
      <c r="CN25" s="12">
        <f t="shared" si="76"/>
        <v>6</v>
      </c>
      <c r="CO25" s="7">
        <v>70.2</v>
      </c>
      <c r="CP25" s="4" t="str">
        <f t="shared" si="90"/>
        <v>B</v>
      </c>
      <c r="CQ25" s="3">
        <f t="shared" si="93"/>
        <v>3</v>
      </c>
      <c r="CR25" s="3">
        <v>2</v>
      </c>
      <c r="CS25" s="12">
        <f t="shared" si="77"/>
        <v>6</v>
      </c>
      <c r="CT25" s="14">
        <v>77.95</v>
      </c>
      <c r="CU25" s="4" t="str">
        <f t="shared" si="22"/>
        <v>B+</v>
      </c>
      <c r="CV25" s="3">
        <f t="shared" si="78"/>
        <v>3.5</v>
      </c>
      <c r="CW25" s="3">
        <v>2</v>
      </c>
      <c r="CX25" s="12">
        <f t="shared" si="79"/>
        <v>7</v>
      </c>
      <c r="CY25" s="21">
        <v>77.95</v>
      </c>
      <c r="CZ25" s="4" t="str">
        <f t="shared" si="24"/>
        <v>B+</v>
      </c>
      <c r="DA25" s="3">
        <f t="shared" si="80"/>
        <v>3.5</v>
      </c>
      <c r="DB25" s="3">
        <v>2</v>
      </c>
      <c r="DC25" s="12">
        <f t="shared" si="81"/>
        <v>7</v>
      </c>
      <c r="DD25" s="3">
        <v>78.600000000000009</v>
      </c>
      <c r="DE25" s="4" t="str">
        <f t="shared" si="26"/>
        <v>B+</v>
      </c>
      <c r="DF25" s="3">
        <f t="shared" si="82"/>
        <v>3.5</v>
      </c>
      <c r="DG25" s="3">
        <v>2</v>
      </c>
      <c r="DH25" s="12">
        <f t="shared" si="83"/>
        <v>7</v>
      </c>
      <c r="DI25" s="3">
        <v>81</v>
      </c>
      <c r="DJ25" s="4" t="str">
        <f t="shared" si="28"/>
        <v>A</v>
      </c>
      <c r="DK25" s="3">
        <f t="shared" si="84"/>
        <v>4</v>
      </c>
      <c r="DL25" s="3">
        <v>4</v>
      </c>
      <c r="DM25" s="12">
        <f t="shared" si="85"/>
        <v>16</v>
      </c>
      <c r="DN25" s="3">
        <v>85</v>
      </c>
      <c r="DO25" s="3">
        <v>24</v>
      </c>
      <c r="DP25" s="3">
        <v>77</v>
      </c>
      <c r="DQ25" s="3">
        <v>24</v>
      </c>
      <c r="DR25" s="3">
        <v>162</v>
      </c>
      <c r="DS25" s="3">
        <v>48</v>
      </c>
      <c r="DT25" s="9">
        <v>3.375</v>
      </c>
      <c r="DU25" s="9">
        <v>3.375</v>
      </c>
      <c r="DV25" s="12" t="str">
        <f t="shared" si="86"/>
        <v>Sangat Memuaskan</v>
      </c>
      <c r="DW25" s="12" t="str">
        <f t="shared" si="87"/>
        <v>Highly Satisfactory</v>
      </c>
      <c r="DX25" s="22" t="s">
        <v>173</v>
      </c>
      <c r="DY25" s="26" t="s">
        <v>202</v>
      </c>
    </row>
    <row r="26" spans="1:129" x14ac:dyDescent="0.25">
      <c r="A26" s="3">
        <v>24</v>
      </c>
      <c r="B26" s="2" t="s">
        <v>49</v>
      </c>
      <c r="C26" s="2">
        <v>172312043</v>
      </c>
      <c r="D26" s="11" t="s">
        <v>88</v>
      </c>
      <c r="E26" s="13" t="s">
        <v>137</v>
      </c>
      <c r="F26" s="28" t="s">
        <v>218</v>
      </c>
      <c r="G26" s="27" t="s">
        <v>240</v>
      </c>
      <c r="H26" s="6">
        <v>76.333333333333329</v>
      </c>
      <c r="I26" s="4" t="str">
        <f t="shared" si="30"/>
        <v>B+</v>
      </c>
      <c r="J26" s="3">
        <f t="shared" si="31"/>
        <v>3.5</v>
      </c>
      <c r="K26" s="3">
        <v>2</v>
      </c>
      <c r="L26" s="12">
        <f t="shared" si="32"/>
        <v>7</v>
      </c>
      <c r="M26" s="7">
        <v>81.966666666666669</v>
      </c>
      <c r="N26" s="4" t="str">
        <f t="shared" si="33"/>
        <v>A</v>
      </c>
      <c r="O26" s="3">
        <f t="shared" si="34"/>
        <v>4</v>
      </c>
      <c r="P26" s="3">
        <v>2</v>
      </c>
      <c r="Q26" s="12">
        <f t="shared" si="35"/>
        <v>8</v>
      </c>
      <c r="R26" s="14">
        <v>78.8</v>
      </c>
      <c r="S26" s="4" t="str">
        <f t="shared" si="36"/>
        <v>B+</v>
      </c>
      <c r="T26" s="3">
        <f t="shared" si="37"/>
        <v>3.5</v>
      </c>
      <c r="U26" s="3">
        <v>2</v>
      </c>
      <c r="V26" s="12">
        <f t="shared" si="38"/>
        <v>7</v>
      </c>
      <c r="W26" s="9">
        <v>77</v>
      </c>
      <c r="X26" s="4" t="str">
        <f t="shared" si="39"/>
        <v>B+</v>
      </c>
      <c r="Y26" s="3">
        <f t="shared" si="40"/>
        <v>3.5</v>
      </c>
      <c r="Z26" s="3">
        <v>3</v>
      </c>
      <c r="AA26" s="12">
        <f t="shared" si="41"/>
        <v>10.5</v>
      </c>
      <c r="AB26" s="3">
        <v>86.15</v>
      </c>
      <c r="AC26" s="4" t="str">
        <f t="shared" si="42"/>
        <v>A</v>
      </c>
      <c r="AD26" s="3">
        <f t="shared" si="43"/>
        <v>4</v>
      </c>
      <c r="AE26" s="3">
        <v>2</v>
      </c>
      <c r="AF26" s="12">
        <f t="shared" si="44"/>
        <v>8</v>
      </c>
      <c r="AG26" s="3">
        <v>81.966666666666669</v>
      </c>
      <c r="AH26" s="4" t="str">
        <f t="shared" si="45"/>
        <v>A</v>
      </c>
      <c r="AI26" s="3">
        <f t="shared" si="46"/>
        <v>4</v>
      </c>
      <c r="AJ26" s="3">
        <v>2</v>
      </c>
      <c r="AK26" s="12">
        <f t="shared" si="47"/>
        <v>8</v>
      </c>
      <c r="AL26" s="3">
        <v>77</v>
      </c>
      <c r="AM26" s="4" t="str">
        <f t="shared" si="48"/>
        <v>B+</v>
      </c>
      <c r="AN26" s="3">
        <f t="shared" si="49"/>
        <v>3.5</v>
      </c>
      <c r="AO26" s="3">
        <v>2</v>
      </c>
      <c r="AP26" s="12">
        <f t="shared" si="50"/>
        <v>7</v>
      </c>
      <c r="AQ26" s="9">
        <v>85.3</v>
      </c>
      <c r="AR26" s="4" t="str">
        <f t="shared" si="51"/>
        <v>A</v>
      </c>
      <c r="AS26" s="3">
        <f t="shared" si="52"/>
        <v>4</v>
      </c>
      <c r="AT26" s="3">
        <v>2</v>
      </c>
      <c r="AU26" s="12">
        <f t="shared" si="53"/>
        <v>8</v>
      </c>
      <c r="AV26" s="9">
        <v>73.599999999999994</v>
      </c>
      <c r="AW26" s="4" t="str">
        <f t="shared" si="54"/>
        <v>B</v>
      </c>
      <c r="AX26" s="3">
        <f t="shared" si="55"/>
        <v>3</v>
      </c>
      <c r="AY26" s="3">
        <v>3</v>
      </c>
      <c r="AZ26" s="12">
        <f t="shared" si="56"/>
        <v>9</v>
      </c>
      <c r="BA26" s="3">
        <v>75.525000000000006</v>
      </c>
      <c r="BB26" s="4" t="str">
        <f t="shared" si="57"/>
        <v>B+</v>
      </c>
      <c r="BC26" s="3">
        <f t="shared" si="58"/>
        <v>3.5</v>
      </c>
      <c r="BD26" s="3">
        <v>2</v>
      </c>
      <c r="BE26" s="12">
        <f t="shared" si="59"/>
        <v>7</v>
      </c>
      <c r="BF26" s="3">
        <v>77</v>
      </c>
      <c r="BG26" s="4" t="str">
        <f t="shared" si="60"/>
        <v>B+</v>
      </c>
      <c r="BH26" s="3">
        <f t="shared" si="61"/>
        <v>3.5</v>
      </c>
      <c r="BI26" s="3">
        <v>2</v>
      </c>
      <c r="BJ26" s="12">
        <f t="shared" si="62"/>
        <v>7</v>
      </c>
      <c r="BK26" s="16">
        <v>80.760000000000005</v>
      </c>
      <c r="BL26" s="4" t="str">
        <f t="shared" si="63"/>
        <v>A</v>
      </c>
      <c r="BM26" s="3">
        <f t="shared" si="64"/>
        <v>4</v>
      </c>
      <c r="BN26" s="3">
        <v>2</v>
      </c>
      <c r="BO26" s="12">
        <f t="shared" si="65"/>
        <v>8</v>
      </c>
      <c r="BP26" s="19">
        <v>79.95</v>
      </c>
      <c r="BQ26" s="4" t="str">
        <f t="shared" si="66"/>
        <v>B+</v>
      </c>
      <c r="BR26" s="3">
        <f t="shared" si="67"/>
        <v>3.5</v>
      </c>
      <c r="BS26" s="3">
        <v>2</v>
      </c>
      <c r="BT26" s="12">
        <f t="shared" si="68"/>
        <v>7</v>
      </c>
      <c r="BU26" s="5">
        <v>70</v>
      </c>
      <c r="BV26" s="4" t="str">
        <f t="shared" si="69"/>
        <v>B</v>
      </c>
      <c r="BW26" s="3">
        <f t="shared" si="70"/>
        <v>3</v>
      </c>
      <c r="BX26" s="3">
        <v>2</v>
      </c>
      <c r="BY26" s="12">
        <f t="shared" si="71"/>
        <v>6</v>
      </c>
      <c r="BZ26" s="3">
        <v>78.8</v>
      </c>
      <c r="CA26" s="4" t="str">
        <f t="shared" si="88"/>
        <v>B+</v>
      </c>
      <c r="CB26" s="3">
        <f t="shared" si="92"/>
        <v>3.5</v>
      </c>
      <c r="CC26" s="3">
        <v>2</v>
      </c>
      <c r="CD26" s="12">
        <f t="shared" si="72"/>
        <v>7</v>
      </c>
      <c r="CE26" s="20">
        <v>82.4</v>
      </c>
      <c r="CF26" s="4" t="str">
        <f t="shared" si="16"/>
        <v>A</v>
      </c>
      <c r="CG26" s="3">
        <f t="shared" si="73"/>
        <v>4</v>
      </c>
      <c r="CH26" s="3">
        <v>2</v>
      </c>
      <c r="CI26" s="12">
        <f t="shared" si="74"/>
        <v>8</v>
      </c>
      <c r="CJ26" s="6">
        <v>73.125</v>
      </c>
      <c r="CK26" s="4" t="str">
        <f t="shared" si="18"/>
        <v>B</v>
      </c>
      <c r="CL26" s="3">
        <f t="shared" si="75"/>
        <v>3</v>
      </c>
      <c r="CM26" s="3">
        <v>2</v>
      </c>
      <c r="CN26" s="12">
        <f t="shared" si="76"/>
        <v>6</v>
      </c>
      <c r="CO26" s="7">
        <v>80</v>
      </c>
      <c r="CP26" s="4" t="str">
        <f t="shared" si="90"/>
        <v>A</v>
      </c>
      <c r="CQ26" s="3">
        <f t="shared" si="93"/>
        <v>4</v>
      </c>
      <c r="CR26" s="3">
        <v>2</v>
      </c>
      <c r="CS26" s="12">
        <f t="shared" si="77"/>
        <v>8</v>
      </c>
      <c r="CT26" s="14">
        <v>81.599999999999994</v>
      </c>
      <c r="CU26" s="4" t="str">
        <f t="shared" si="22"/>
        <v>A</v>
      </c>
      <c r="CV26" s="3">
        <f t="shared" si="78"/>
        <v>4</v>
      </c>
      <c r="CW26" s="3">
        <v>2</v>
      </c>
      <c r="CX26" s="12">
        <f t="shared" si="79"/>
        <v>8</v>
      </c>
      <c r="CY26" s="21">
        <v>81.599999999999994</v>
      </c>
      <c r="CZ26" s="4" t="str">
        <f t="shared" si="24"/>
        <v>A</v>
      </c>
      <c r="DA26" s="3">
        <f t="shared" si="80"/>
        <v>4</v>
      </c>
      <c r="DB26" s="3">
        <v>2</v>
      </c>
      <c r="DC26" s="12">
        <f t="shared" si="81"/>
        <v>8</v>
      </c>
      <c r="DD26" s="3">
        <v>77.400000000000006</v>
      </c>
      <c r="DE26" s="4" t="str">
        <f t="shared" si="26"/>
        <v>B+</v>
      </c>
      <c r="DF26" s="3">
        <f t="shared" si="82"/>
        <v>3.5</v>
      </c>
      <c r="DG26" s="3">
        <v>2</v>
      </c>
      <c r="DH26" s="12">
        <f t="shared" si="83"/>
        <v>7</v>
      </c>
      <c r="DI26" s="3">
        <v>80.664999999999992</v>
      </c>
      <c r="DJ26" s="4" t="str">
        <f t="shared" si="28"/>
        <v>A</v>
      </c>
      <c r="DK26" s="3">
        <f t="shared" si="84"/>
        <v>4</v>
      </c>
      <c r="DL26" s="3">
        <v>4</v>
      </c>
      <c r="DM26" s="12">
        <f t="shared" si="85"/>
        <v>16</v>
      </c>
      <c r="DN26" s="3">
        <v>86.5</v>
      </c>
      <c r="DO26" s="3">
        <v>24</v>
      </c>
      <c r="DP26" s="3">
        <v>89</v>
      </c>
      <c r="DQ26" s="3">
        <v>24</v>
      </c>
      <c r="DR26" s="3">
        <v>175.5</v>
      </c>
      <c r="DS26" s="3">
        <v>48</v>
      </c>
      <c r="DT26" s="9">
        <v>3.65625</v>
      </c>
      <c r="DU26" s="9">
        <v>3.65625</v>
      </c>
      <c r="DV26" s="12" t="str">
        <f t="shared" si="86"/>
        <v>Cum Laude</v>
      </c>
      <c r="DW26" s="12" t="str">
        <f t="shared" si="87"/>
        <v>Excellent</v>
      </c>
      <c r="DX26" s="22" t="s">
        <v>149</v>
      </c>
      <c r="DY26" s="26" t="s">
        <v>203</v>
      </c>
    </row>
    <row r="27" spans="1:129" ht="30" x14ac:dyDescent="0.25">
      <c r="A27" s="3">
        <v>25</v>
      </c>
      <c r="B27" s="2" t="s">
        <v>50</v>
      </c>
      <c r="C27" s="2">
        <v>172312044</v>
      </c>
      <c r="D27" s="11" t="s">
        <v>88</v>
      </c>
      <c r="E27" s="13" t="s">
        <v>109</v>
      </c>
      <c r="F27" s="28" t="s">
        <v>218</v>
      </c>
      <c r="G27" s="27" t="s">
        <v>241</v>
      </c>
      <c r="H27" s="6">
        <v>76.333333333333329</v>
      </c>
      <c r="I27" s="4" t="str">
        <f t="shared" si="30"/>
        <v>B+</v>
      </c>
      <c r="J27" s="3">
        <f t="shared" si="31"/>
        <v>3.5</v>
      </c>
      <c r="K27" s="3">
        <v>2</v>
      </c>
      <c r="L27" s="12">
        <f t="shared" si="32"/>
        <v>7</v>
      </c>
      <c r="M27" s="7">
        <v>81.3</v>
      </c>
      <c r="N27" s="4" t="str">
        <f t="shared" si="33"/>
        <v>A</v>
      </c>
      <c r="O27" s="3">
        <f t="shared" si="34"/>
        <v>4</v>
      </c>
      <c r="P27" s="3">
        <v>2</v>
      </c>
      <c r="Q27" s="12">
        <f t="shared" si="35"/>
        <v>8</v>
      </c>
      <c r="R27" s="14">
        <v>78.599999999999994</v>
      </c>
      <c r="S27" s="4" t="str">
        <f t="shared" si="36"/>
        <v>B+</v>
      </c>
      <c r="T27" s="3">
        <f t="shared" si="37"/>
        <v>3.5</v>
      </c>
      <c r="U27" s="3">
        <v>2</v>
      </c>
      <c r="V27" s="12">
        <f t="shared" si="38"/>
        <v>7</v>
      </c>
      <c r="W27" s="9">
        <v>80.599999999999994</v>
      </c>
      <c r="X27" s="4" t="str">
        <f t="shared" si="39"/>
        <v>A</v>
      </c>
      <c r="Y27" s="3">
        <f t="shared" si="40"/>
        <v>4</v>
      </c>
      <c r="Z27" s="3">
        <v>3</v>
      </c>
      <c r="AA27" s="12">
        <f t="shared" si="41"/>
        <v>12</v>
      </c>
      <c r="AB27" s="3">
        <v>80.500000000000014</v>
      </c>
      <c r="AC27" s="4" t="str">
        <f t="shared" si="42"/>
        <v>A</v>
      </c>
      <c r="AD27" s="3">
        <f t="shared" si="43"/>
        <v>4</v>
      </c>
      <c r="AE27" s="3">
        <v>2</v>
      </c>
      <c r="AF27" s="12">
        <f t="shared" si="44"/>
        <v>8</v>
      </c>
      <c r="AG27" s="3">
        <v>81.3</v>
      </c>
      <c r="AH27" s="4" t="str">
        <f t="shared" si="45"/>
        <v>A</v>
      </c>
      <c r="AI27" s="3">
        <f t="shared" si="46"/>
        <v>4</v>
      </c>
      <c r="AJ27" s="3">
        <v>2</v>
      </c>
      <c r="AK27" s="12">
        <f t="shared" si="47"/>
        <v>8</v>
      </c>
      <c r="AL27" s="3">
        <v>80.599999999999994</v>
      </c>
      <c r="AM27" s="4" t="str">
        <f t="shared" si="48"/>
        <v>A</v>
      </c>
      <c r="AN27" s="3">
        <f t="shared" si="49"/>
        <v>4</v>
      </c>
      <c r="AO27" s="3">
        <v>2</v>
      </c>
      <c r="AP27" s="12">
        <f t="shared" si="50"/>
        <v>8</v>
      </c>
      <c r="AQ27" s="9">
        <v>82.5</v>
      </c>
      <c r="AR27" s="4" t="str">
        <f t="shared" si="51"/>
        <v>A</v>
      </c>
      <c r="AS27" s="3">
        <f t="shared" si="52"/>
        <v>4</v>
      </c>
      <c r="AT27" s="3">
        <v>2</v>
      </c>
      <c r="AU27" s="12">
        <f t="shared" si="53"/>
        <v>8</v>
      </c>
      <c r="AV27" s="9">
        <v>66.400000000000006</v>
      </c>
      <c r="AW27" s="4" t="str">
        <f t="shared" si="54"/>
        <v>C+</v>
      </c>
      <c r="AX27" s="3">
        <f t="shared" si="55"/>
        <v>2.5</v>
      </c>
      <c r="AY27" s="3">
        <v>3</v>
      </c>
      <c r="AZ27" s="12">
        <f t="shared" si="56"/>
        <v>7.5</v>
      </c>
      <c r="BA27" s="3">
        <v>71.525000000000006</v>
      </c>
      <c r="BB27" s="4" t="str">
        <f t="shared" si="57"/>
        <v>B</v>
      </c>
      <c r="BC27" s="3">
        <f t="shared" si="58"/>
        <v>3</v>
      </c>
      <c r="BD27" s="3">
        <v>2</v>
      </c>
      <c r="BE27" s="12">
        <f t="shared" si="59"/>
        <v>6</v>
      </c>
      <c r="BF27" s="3">
        <v>80.599999999999994</v>
      </c>
      <c r="BG27" s="4" t="str">
        <f t="shared" si="60"/>
        <v>A</v>
      </c>
      <c r="BH27" s="3">
        <f t="shared" si="61"/>
        <v>4</v>
      </c>
      <c r="BI27" s="3">
        <v>2</v>
      </c>
      <c r="BJ27" s="12">
        <f t="shared" si="62"/>
        <v>8</v>
      </c>
      <c r="BK27" s="16">
        <v>81.92</v>
      </c>
      <c r="BL27" s="4" t="str">
        <f t="shared" si="63"/>
        <v>A</v>
      </c>
      <c r="BM27" s="3">
        <f t="shared" si="64"/>
        <v>4</v>
      </c>
      <c r="BN27" s="3">
        <v>2</v>
      </c>
      <c r="BO27" s="12">
        <f t="shared" si="65"/>
        <v>8</v>
      </c>
      <c r="BP27" s="19">
        <v>81.349999999999994</v>
      </c>
      <c r="BQ27" s="4" t="str">
        <f t="shared" si="66"/>
        <v>A</v>
      </c>
      <c r="BR27" s="3">
        <f t="shared" si="67"/>
        <v>4</v>
      </c>
      <c r="BS27" s="3">
        <v>2</v>
      </c>
      <c r="BT27" s="12">
        <f t="shared" si="68"/>
        <v>8</v>
      </c>
      <c r="BU27" s="5">
        <v>75.400000000000006</v>
      </c>
      <c r="BV27" s="4" t="str">
        <f t="shared" si="69"/>
        <v>B+</v>
      </c>
      <c r="BW27" s="3">
        <f t="shared" si="70"/>
        <v>3.5</v>
      </c>
      <c r="BX27" s="3">
        <v>2</v>
      </c>
      <c r="BY27" s="12">
        <f t="shared" si="71"/>
        <v>7</v>
      </c>
      <c r="BZ27" s="3">
        <v>78.2</v>
      </c>
      <c r="CA27" s="4" t="str">
        <f t="shared" si="88"/>
        <v>B+</v>
      </c>
      <c r="CB27" s="3">
        <f t="shared" si="92"/>
        <v>3.5</v>
      </c>
      <c r="CC27" s="3">
        <v>2</v>
      </c>
      <c r="CD27" s="12">
        <f t="shared" si="72"/>
        <v>7</v>
      </c>
      <c r="CE27" s="20">
        <v>78.400000000000006</v>
      </c>
      <c r="CF27" s="4" t="str">
        <f t="shared" si="16"/>
        <v>B+</v>
      </c>
      <c r="CG27" s="3">
        <f t="shared" si="73"/>
        <v>3.5</v>
      </c>
      <c r="CH27" s="3">
        <v>2</v>
      </c>
      <c r="CI27" s="12">
        <f t="shared" si="74"/>
        <v>7</v>
      </c>
      <c r="CJ27" s="6">
        <v>75.724999999999994</v>
      </c>
      <c r="CK27" s="4" t="str">
        <f t="shared" si="18"/>
        <v>B+</v>
      </c>
      <c r="CL27" s="3">
        <f t="shared" si="75"/>
        <v>3.5</v>
      </c>
      <c r="CM27" s="3">
        <v>2</v>
      </c>
      <c r="CN27" s="12">
        <f t="shared" si="76"/>
        <v>7</v>
      </c>
      <c r="CO27" s="7">
        <v>76.8</v>
      </c>
      <c r="CP27" s="4" t="str">
        <f t="shared" si="90"/>
        <v>B+</v>
      </c>
      <c r="CQ27" s="3">
        <f t="shared" si="93"/>
        <v>3.5</v>
      </c>
      <c r="CR27" s="3">
        <v>2</v>
      </c>
      <c r="CS27" s="12">
        <f t="shared" si="77"/>
        <v>7</v>
      </c>
      <c r="CT27" s="14">
        <v>80.2</v>
      </c>
      <c r="CU27" s="4" t="str">
        <f t="shared" si="22"/>
        <v>A</v>
      </c>
      <c r="CV27" s="3">
        <f t="shared" si="78"/>
        <v>4</v>
      </c>
      <c r="CW27" s="3">
        <v>2</v>
      </c>
      <c r="CX27" s="12">
        <f t="shared" si="79"/>
        <v>8</v>
      </c>
      <c r="CY27" s="21">
        <v>80.2</v>
      </c>
      <c r="CZ27" s="4" t="str">
        <f t="shared" si="24"/>
        <v>A</v>
      </c>
      <c r="DA27" s="3">
        <f t="shared" si="80"/>
        <v>4</v>
      </c>
      <c r="DB27" s="3">
        <v>2</v>
      </c>
      <c r="DC27" s="12">
        <f t="shared" si="81"/>
        <v>8</v>
      </c>
      <c r="DD27" s="3">
        <v>78.400000000000006</v>
      </c>
      <c r="DE27" s="4" t="str">
        <f t="shared" si="26"/>
        <v>B+</v>
      </c>
      <c r="DF27" s="3">
        <f t="shared" si="82"/>
        <v>3.5</v>
      </c>
      <c r="DG27" s="3">
        <v>2</v>
      </c>
      <c r="DH27" s="12">
        <f t="shared" si="83"/>
        <v>7</v>
      </c>
      <c r="DI27" s="3">
        <v>80</v>
      </c>
      <c r="DJ27" s="4" t="str">
        <f t="shared" si="28"/>
        <v>A</v>
      </c>
      <c r="DK27" s="3">
        <f t="shared" si="84"/>
        <v>4</v>
      </c>
      <c r="DL27" s="3">
        <v>4</v>
      </c>
      <c r="DM27" s="12">
        <f t="shared" si="85"/>
        <v>16</v>
      </c>
      <c r="DN27" s="3">
        <v>87.5</v>
      </c>
      <c r="DO27" s="3">
        <v>24</v>
      </c>
      <c r="DP27" s="3">
        <v>90</v>
      </c>
      <c r="DQ27" s="3">
        <v>24</v>
      </c>
      <c r="DR27" s="3">
        <v>177.5</v>
      </c>
      <c r="DS27" s="3">
        <v>48</v>
      </c>
      <c r="DT27" s="9">
        <v>3.6979166666666665</v>
      </c>
      <c r="DU27" s="9">
        <v>3.6979166666666665</v>
      </c>
      <c r="DV27" s="12" t="str">
        <f t="shared" si="86"/>
        <v>Cum Laude</v>
      </c>
      <c r="DW27" s="12" t="str">
        <f t="shared" si="87"/>
        <v>Excellent</v>
      </c>
      <c r="DX27" s="22" t="s">
        <v>150</v>
      </c>
      <c r="DY27" s="26" t="s">
        <v>204</v>
      </c>
    </row>
    <row r="28" spans="1:129" ht="30" x14ac:dyDescent="0.25">
      <c r="A28" s="3">
        <v>26</v>
      </c>
      <c r="B28" s="2" t="s">
        <v>51</v>
      </c>
      <c r="C28" s="2">
        <v>172312045</v>
      </c>
      <c r="D28" s="11" t="s">
        <v>88</v>
      </c>
      <c r="E28" s="13" t="s">
        <v>110</v>
      </c>
      <c r="F28" s="28" t="s">
        <v>218</v>
      </c>
      <c r="G28" s="27" t="s">
        <v>242</v>
      </c>
      <c r="H28" s="16">
        <v>76.866666666666674</v>
      </c>
      <c r="I28" s="4" t="str">
        <f t="shared" si="30"/>
        <v>B+</v>
      </c>
      <c r="J28" s="3">
        <f t="shared" si="31"/>
        <v>3.5</v>
      </c>
      <c r="K28" s="3">
        <v>2</v>
      </c>
      <c r="L28" s="12">
        <f t="shared" si="32"/>
        <v>7</v>
      </c>
      <c r="M28" s="19">
        <v>85.166666666666671</v>
      </c>
      <c r="N28" s="4" t="str">
        <f t="shared" si="33"/>
        <v>A</v>
      </c>
      <c r="O28" s="3">
        <f t="shared" si="34"/>
        <v>4</v>
      </c>
      <c r="P28" s="3">
        <v>2</v>
      </c>
      <c r="Q28" s="12">
        <f t="shared" si="35"/>
        <v>8</v>
      </c>
      <c r="R28" s="6">
        <v>80.099999999999994</v>
      </c>
      <c r="S28" s="4" t="str">
        <f t="shared" si="36"/>
        <v>A</v>
      </c>
      <c r="T28" s="3">
        <f t="shared" si="37"/>
        <v>4</v>
      </c>
      <c r="U28" s="3">
        <v>2</v>
      </c>
      <c r="V28" s="12">
        <f t="shared" si="38"/>
        <v>8</v>
      </c>
      <c r="W28" s="3">
        <v>78.2</v>
      </c>
      <c r="X28" s="4" t="str">
        <f t="shared" si="39"/>
        <v>B+</v>
      </c>
      <c r="Y28" s="3">
        <f t="shared" si="40"/>
        <v>3.5</v>
      </c>
      <c r="Z28" s="3">
        <v>3</v>
      </c>
      <c r="AA28" s="12">
        <f t="shared" si="41"/>
        <v>10.5</v>
      </c>
      <c r="AB28" s="6">
        <v>78.5</v>
      </c>
      <c r="AC28" s="4" t="str">
        <f t="shared" si="42"/>
        <v>B+</v>
      </c>
      <c r="AD28" s="3">
        <f t="shared" si="43"/>
        <v>3.5</v>
      </c>
      <c r="AE28" s="3">
        <v>2</v>
      </c>
      <c r="AF28" s="12">
        <f t="shared" si="44"/>
        <v>7</v>
      </c>
      <c r="AG28" s="6">
        <v>85.166666666666671</v>
      </c>
      <c r="AH28" s="4" t="str">
        <f t="shared" si="45"/>
        <v>A</v>
      </c>
      <c r="AI28" s="3">
        <f t="shared" si="46"/>
        <v>4</v>
      </c>
      <c r="AJ28" s="3">
        <v>2</v>
      </c>
      <c r="AK28" s="12">
        <f t="shared" si="47"/>
        <v>8</v>
      </c>
      <c r="AL28" s="7">
        <v>78.2</v>
      </c>
      <c r="AM28" s="4" t="str">
        <f t="shared" si="48"/>
        <v>B+</v>
      </c>
      <c r="AN28" s="3">
        <f t="shared" si="49"/>
        <v>3.5</v>
      </c>
      <c r="AO28" s="3">
        <v>2</v>
      </c>
      <c r="AP28" s="12">
        <f t="shared" si="50"/>
        <v>7</v>
      </c>
      <c r="AQ28" s="14">
        <v>85.3</v>
      </c>
      <c r="AR28" s="4" t="str">
        <f t="shared" si="51"/>
        <v>A</v>
      </c>
      <c r="AS28" s="3">
        <f t="shared" si="52"/>
        <v>4</v>
      </c>
      <c r="AT28" s="3">
        <v>2</v>
      </c>
      <c r="AU28" s="12">
        <f t="shared" si="53"/>
        <v>8</v>
      </c>
      <c r="AV28" s="9">
        <v>75</v>
      </c>
      <c r="AW28" s="4" t="str">
        <f t="shared" si="54"/>
        <v>B+</v>
      </c>
      <c r="AX28" s="3">
        <f t="shared" si="55"/>
        <v>3.5</v>
      </c>
      <c r="AY28" s="3">
        <v>3</v>
      </c>
      <c r="AZ28" s="12">
        <f t="shared" si="56"/>
        <v>10.5</v>
      </c>
      <c r="BA28" s="3">
        <v>70.724999999999994</v>
      </c>
      <c r="BB28" s="4" t="str">
        <f t="shared" si="57"/>
        <v>B</v>
      </c>
      <c r="BC28" s="3">
        <f t="shared" si="58"/>
        <v>3</v>
      </c>
      <c r="BD28" s="3">
        <v>2</v>
      </c>
      <c r="BE28" s="12">
        <f t="shared" si="59"/>
        <v>6</v>
      </c>
      <c r="BF28" s="3">
        <v>78.2</v>
      </c>
      <c r="BG28" s="4" t="str">
        <f t="shared" si="60"/>
        <v>B+</v>
      </c>
      <c r="BH28" s="3">
        <f t="shared" si="61"/>
        <v>3.5</v>
      </c>
      <c r="BI28" s="3">
        <v>2</v>
      </c>
      <c r="BJ28" s="12">
        <f t="shared" si="62"/>
        <v>7</v>
      </c>
      <c r="BK28" s="16">
        <v>81.84</v>
      </c>
      <c r="BL28" s="4" t="str">
        <f t="shared" si="63"/>
        <v>A</v>
      </c>
      <c r="BM28" s="3">
        <f t="shared" si="64"/>
        <v>4</v>
      </c>
      <c r="BN28" s="3">
        <v>2</v>
      </c>
      <c r="BO28" s="12">
        <f t="shared" si="65"/>
        <v>8</v>
      </c>
      <c r="BP28" s="19">
        <v>79.050000000000011</v>
      </c>
      <c r="BQ28" s="4" t="str">
        <f t="shared" si="66"/>
        <v>B+</v>
      </c>
      <c r="BR28" s="3">
        <f t="shared" si="67"/>
        <v>3.5</v>
      </c>
      <c r="BS28" s="3">
        <v>2</v>
      </c>
      <c r="BT28" s="12">
        <f t="shared" si="68"/>
        <v>7</v>
      </c>
      <c r="BU28" s="6">
        <v>76</v>
      </c>
      <c r="BV28" s="4" t="str">
        <f t="shared" si="69"/>
        <v>B+</v>
      </c>
      <c r="BW28" s="3">
        <f t="shared" si="70"/>
        <v>3.5</v>
      </c>
      <c r="BX28" s="3">
        <v>2</v>
      </c>
      <c r="BY28" s="12">
        <f t="shared" si="71"/>
        <v>7</v>
      </c>
      <c r="BZ28" s="3">
        <v>81.800000000000011</v>
      </c>
      <c r="CA28" s="4" t="str">
        <f t="shared" si="88"/>
        <v>A</v>
      </c>
      <c r="CB28" s="3">
        <f t="shared" si="92"/>
        <v>4</v>
      </c>
      <c r="CC28" s="3">
        <v>2</v>
      </c>
      <c r="CD28" s="12">
        <f t="shared" si="72"/>
        <v>8</v>
      </c>
      <c r="CE28" s="6">
        <v>79.599999999999994</v>
      </c>
      <c r="CF28" s="4" t="str">
        <f t="shared" si="16"/>
        <v>B+</v>
      </c>
      <c r="CG28" s="3">
        <f t="shared" si="73"/>
        <v>3.5</v>
      </c>
      <c r="CH28" s="3">
        <v>2</v>
      </c>
      <c r="CI28" s="12">
        <f t="shared" si="74"/>
        <v>7</v>
      </c>
      <c r="CJ28" s="6">
        <v>76.125</v>
      </c>
      <c r="CK28" s="4" t="str">
        <f t="shared" si="18"/>
        <v>B+</v>
      </c>
      <c r="CL28" s="3">
        <f t="shared" si="75"/>
        <v>3.5</v>
      </c>
      <c r="CM28" s="3">
        <v>2</v>
      </c>
      <c r="CN28" s="12">
        <f t="shared" si="76"/>
        <v>7</v>
      </c>
      <c r="CO28" s="7">
        <v>80</v>
      </c>
      <c r="CP28" s="4" t="str">
        <f t="shared" si="90"/>
        <v>A</v>
      </c>
      <c r="CQ28" s="3">
        <f t="shared" si="93"/>
        <v>4</v>
      </c>
      <c r="CR28" s="3">
        <v>2</v>
      </c>
      <c r="CS28" s="12">
        <f t="shared" si="77"/>
        <v>8</v>
      </c>
      <c r="CT28" s="14">
        <v>80.599999999999994</v>
      </c>
      <c r="CU28" s="4" t="str">
        <f t="shared" si="22"/>
        <v>A</v>
      </c>
      <c r="CV28" s="3">
        <f t="shared" si="78"/>
        <v>4</v>
      </c>
      <c r="CW28" s="3">
        <v>2</v>
      </c>
      <c r="CX28" s="12">
        <f t="shared" si="79"/>
        <v>8</v>
      </c>
      <c r="CY28" s="21">
        <v>80.599999999999994</v>
      </c>
      <c r="CZ28" s="4" t="str">
        <f t="shared" si="24"/>
        <v>A</v>
      </c>
      <c r="DA28" s="3">
        <f t="shared" si="80"/>
        <v>4</v>
      </c>
      <c r="DB28" s="3">
        <v>2</v>
      </c>
      <c r="DC28" s="12">
        <f t="shared" si="81"/>
        <v>8</v>
      </c>
      <c r="DD28" s="3">
        <v>80</v>
      </c>
      <c r="DE28" s="4" t="str">
        <f t="shared" si="26"/>
        <v>A</v>
      </c>
      <c r="DF28" s="3">
        <f t="shared" si="82"/>
        <v>4</v>
      </c>
      <c r="DG28" s="3">
        <v>2</v>
      </c>
      <c r="DH28" s="12">
        <f t="shared" si="83"/>
        <v>8</v>
      </c>
      <c r="DI28" s="3">
        <v>84.15</v>
      </c>
      <c r="DJ28" s="4" t="str">
        <f t="shared" si="28"/>
        <v>A</v>
      </c>
      <c r="DK28" s="3">
        <f t="shared" si="84"/>
        <v>4</v>
      </c>
      <c r="DL28" s="3">
        <v>4</v>
      </c>
      <c r="DM28" s="12">
        <f t="shared" si="85"/>
        <v>16</v>
      </c>
      <c r="DN28" s="3">
        <v>87</v>
      </c>
      <c r="DO28" s="3">
        <v>24</v>
      </c>
      <c r="DP28" s="3">
        <v>92</v>
      </c>
      <c r="DQ28" s="3">
        <v>24</v>
      </c>
      <c r="DR28" s="3">
        <v>179</v>
      </c>
      <c r="DS28" s="3">
        <v>48</v>
      </c>
      <c r="DT28" s="9">
        <v>3.7291666666666665</v>
      </c>
      <c r="DU28" s="9">
        <v>3.7291666666666665</v>
      </c>
      <c r="DV28" s="12" t="str">
        <f t="shared" si="86"/>
        <v>Cum Laude</v>
      </c>
      <c r="DW28" s="12" t="str">
        <f t="shared" si="87"/>
        <v>Excellent</v>
      </c>
      <c r="DX28" s="22" t="s">
        <v>160</v>
      </c>
      <c r="DY28" s="26" t="s">
        <v>205</v>
      </c>
    </row>
    <row r="29" spans="1:129" x14ac:dyDescent="0.25">
      <c r="A29" s="3">
        <v>27</v>
      </c>
      <c r="B29" s="2" t="s">
        <v>52</v>
      </c>
      <c r="C29" s="2">
        <v>172312046</v>
      </c>
      <c r="D29" s="11" t="s">
        <v>111</v>
      </c>
      <c r="E29" s="13" t="s">
        <v>112</v>
      </c>
      <c r="F29" s="28" t="s">
        <v>218</v>
      </c>
      <c r="G29" s="27" t="s">
        <v>243</v>
      </c>
      <c r="H29" s="16">
        <v>76.333333333333329</v>
      </c>
      <c r="I29" s="4" t="str">
        <f t="shared" si="30"/>
        <v>B+</v>
      </c>
      <c r="J29" s="3">
        <f t="shared" si="31"/>
        <v>3.5</v>
      </c>
      <c r="K29" s="3">
        <v>2</v>
      </c>
      <c r="L29" s="12">
        <f t="shared" si="32"/>
        <v>7</v>
      </c>
      <c r="M29" s="19">
        <v>84.633333333333326</v>
      </c>
      <c r="N29" s="4" t="str">
        <f t="shared" si="33"/>
        <v>A</v>
      </c>
      <c r="O29" s="3">
        <f t="shared" si="34"/>
        <v>4</v>
      </c>
      <c r="P29" s="3">
        <v>2</v>
      </c>
      <c r="Q29" s="12">
        <f t="shared" si="35"/>
        <v>8</v>
      </c>
      <c r="R29" s="6">
        <v>79.099999999999994</v>
      </c>
      <c r="S29" s="4" t="str">
        <f t="shared" si="36"/>
        <v>B+</v>
      </c>
      <c r="T29" s="3">
        <f t="shared" si="37"/>
        <v>3.5</v>
      </c>
      <c r="U29" s="3">
        <v>2</v>
      </c>
      <c r="V29" s="12">
        <f t="shared" si="38"/>
        <v>7</v>
      </c>
      <c r="W29" s="3">
        <v>80</v>
      </c>
      <c r="X29" s="4" t="str">
        <f t="shared" si="39"/>
        <v>A</v>
      </c>
      <c r="Y29" s="3">
        <f t="shared" si="40"/>
        <v>4</v>
      </c>
      <c r="Z29" s="3">
        <v>3</v>
      </c>
      <c r="AA29" s="12">
        <f t="shared" si="41"/>
        <v>12</v>
      </c>
      <c r="AB29" s="6">
        <v>83.000000000000014</v>
      </c>
      <c r="AC29" s="4" t="str">
        <f t="shared" si="42"/>
        <v>A</v>
      </c>
      <c r="AD29" s="3">
        <f t="shared" si="43"/>
        <v>4</v>
      </c>
      <c r="AE29" s="3">
        <v>2</v>
      </c>
      <c r="AF29" s="12">
        <f t="shared" si="44"/>
        <v>8</v>
      </c>
      <c r="AG29" s="6">
        <v>84.633333333333326</v>
      </c>
      <c r="AH29" s="4" t="str">
        <f t="shared" si="45"/>
        <v>A</v>
      </c>
      <c r="AI29" s="3">
        <f t="shared" si="46"/>
        <v>4</v>
      </c>
      <c r="AJ29" s="3">
        <v>2</v>
      </c>
      <c r="AK29" s="12">
        <f t="shared" si="47"/>
        <v>8</v>
      </c>
      <c r="AL29" s="7">
        <v>77</v>
      </c>
      <c r="AM29" s="4" t="str">
        <f t="shared" si="48"/>
        <v>B+</v>
      </c>
      <c r="AN29" s="3">
        <f t="shared" si="49"/>
        <v>3.5</v>
      </c>
      <c r="AO29" s="3">
        <v>2</v>
      </c>
      <c r="AP29" s="12">
        <f t="shared" si="50"/>
        <v>7</v>
      </c>
      <c r="AQ29" s="14">
        <v>81.3</v>
      </c>
      <c r="AR29" s="4" t="str">
        <f t="shared" si="51"/>
        <v>A</v>
      </c>
      <c r="AS29" s="3">
        <f t="shared" si="52"/>
        <v>4</v>
      </c>
      <c r="AT29" s="3">
        <v>2</v>
      </c>
      <c r="AU29" s="12">
        <f t="shared" si="53"/>
        <v>8</v>
      </c>
      <c r="AV29" s="9">
        <v>65.599999999999994</v>
      </c>
      <c r="AW29" s="4" t="str">
        <f t="shared" si="54"/>
        <v>C+</v>
      </c>
      <c r="AX29" s="3">
        <f t="shared" si="55"/>
        <v>2.5</v>
      </c>
      <c r="AY29" s="3">
        <v>3</v>
      </c>
      <c r="AZ29" s="12">
        <f t="shared" si="56"/>
        <v>7.5</v>
      </c>
      <c r="BA29" s="3">
        <v>72.924999999999997</v>
      </c>
      <c r="BB29" s="4" t="str">
        <f t="shared" si="57"/>
        <v>B</v>
      </c>
      <c r="BC29" s="3">
        <f t="shared" si="58"/>
        <v>3</v>
      </c>
      <c r="BD29" s="3">
        <v>2</v>
      </c>
      <c r="BE29" s="12">
        <f t="shared" si="59"/>
        <v>6</v>
      </c>
      <c r="BF29" s="3">
        <v>77</v>
      </c>
      <c r="BG29" s="4" t="str">
        <f t="shared" si="60"/>
        <v>B+</v>
      </c>
      <c r="BH29" s="3">
        <f t="shared" si="61"/>
        <v>3.5</v>
      </c>
      <c r="BI29" s="3">
        <v>2</v>
      </c>
      <c r="BJ29" s="12">
        <f t="shared" si="62"/>
        <v>7</v>
      </c>
      <c r="BK29" s="16">
        <v>78.680000000000007</v>
      </c>
      <c r="BL29" s="4" t="str">
        <f t="shared" si="63"/>
        <v>B+</v>
      </c>
      <c r="BM29" s="3">
        <f t="shared" si="64"/>
        <v>3.5</v>
      </c>
      <c r="BN29" s="3">
        <v>2</v>
      </c>
      <c r="BO29" s="12">
        <f t="shared" si="65"/>
        <v>7</v>
      </c>
      <c r="BP29" s="19">
        <v>78.650000000000006</v>
      </c>
      <c r="BQ29" s="4" t="str">
        <f t="shared" si="66"/>
        <v>B+</v>
      </c>
      <c r="BR29" s="3">
        <f t="shared" si="67"/>
        <v>3.5</v>
      </c>
      <c r="BS29" s="3">
        <v>2</v>
      </c>
      <c r="BT29" s="12">
        <f t="shared" si="68"/>
        <v>7</v>
      </c>
      <c r="BU29" s="6">
        <v>75</v>
      </c>
      <c r="BV29" s="4" t="str">
        <f t="shared" si="69"/>
        <v>B+</v>
      </c>
      <c r="BW29" s="3">
        <f t="shared" si="70"/>
        <v>3.5</v>
      </c>
      <c r="BX29" s="3">
        <v>2</v>
      </c>
      <c r="BY29" s="12">
        <f t="shared" si="71"/>
        <v>7</v>
      </c>
      <c r="BZ29" s="3">
        <v>78.150000000000006</v>
      </c>
      <c r="CA29" s="4" t="str">
        <f t="shared" si="88"/>
        <v>B+</v>
      </c>
      <c r="CB29" s="3">
        <f t="shared" si="92"/>
        <v>3.5</v>
      </c>
      <c r="CC29" s="3">
        <v>2</v>
      </c>
      <c r="CD29" s="12">
        <f t="shared" si="72"/>
        <v>7</v>
      </c>
      <c r="CE29" s="6">
        <v>79.599999999999994</v>
      </c>
      <c r="CF29" s="4" t="str">
        <f t="shared" si="16"/>
        <v>B+</v>
      </c>
      <c r="CG29" s="3">
        <f t="shared" si="73"/>
        <v>3.5</v>
      </c>
      <c r="CH29" s="3">
        <v>2</v>
      </c>
      <c r="CI29" s="12">
        <f t="shared" si="74"/>
        <v>7</v>
      </c>
      <c r="CJ29" s="6">
        <v>72.525000000000006</v>
      </c>
      <c r="CK29" s="4" t="str">
        <f t="shared" si="18"/>
        <v>B</v>
      </c>
      <c r="CL29" s="3">
        <f t="shared" si="75"/>
        <v>3</v>
      </c>
      <c r="CM29" s="3">
        <v>2</v>
      </c>
      <c r="CN29" s="12">
        <f t="shared" si="76"/>
        <v>6</v>
      </c>
      <c r="CO29" s="7">
        <v>70.400000000000006</v>
      </c>
      <c r="CP29" s="4" t="str">
        <f t="shared" si="90"/>
        <v>B</v>
      </c>
      <c r="CQ29" s="3">
        <f t="shared" si="93"/>
        <v>3</v>
      </c>
      <c r="CR29" s="3">
        <v>2</v>
      </c>
      <c r="CS29" s="12">
        <f t="shared" si="77"/>
        <v>6</v>
      </c>
      <c r="CT29" s="14">
        <v>81.599999999999994</v>
      </c>
      <c r="CU29" s="4" t="str">
        <f t="shared" si="22"/>
        <v>A</v>
      </c>
      <c r="CV29" s="3">
        <f t="shared" si="78"/>
        <v>4</v>
      </c>
      <c r="CW29" s="3">
        <v>2</v>
      </c>
      <c r="CX29" s="12">
        <f t="shared" si="79"/>
        <v>8</v>
      </c>
      <c r="CY29" s="21">
        <v>81.599999999999994</v>
      </c>
      <c r="CZ29" s="4" t="str">
        <f t="shared" si="24"/>
        <v>A</v>
      </c>
      <c r="DA29" s="3">
        <f t="shared" si="80"/>
        <v>4</v>
      </c>
      <c r="DB29" s="3">
        <v>2</v>
      </c>
      <c r="DC29" s="12">
        <f t="shared" si="81"/>
        <v>8</v>
      </c>
      <c r="DD29" s="3">
        <v>78.400000000000006</v>
      </c>
      <c r="DE29" s="4" t="str">
        <f t="shared" si="26"/>
        <v>B+</v>
      </c>
      <c r="DF29" s="3">
        <f t="shared" si="82"/>
        <v>3.5</v>
      </c>
      <c r="DG29" s="3">
        <v>2</v>
      </c>
      <c r="DH29" s="12">
        <f t="shared" si="83"/>
        <v>7</v>
      </c>
      <c r="DI29" s="3">
        <v>80.650000000000006</v>
      </c>
      <c r="DJ29" s="4" t="str">
        <f t="shared" si="28"/>
        <v>A</v>
      </c>
      <c r="DK29" s="3">
        <f t="shared" si="84"/>
        <v>4</v>
      </c>
      <c r="DL29" s="3">
        <v>4</v>
      </c>
      <c r="DM29" s="12">
        <f t="shared" si="85"/>
        <v>16</v>
      </c>
      <c r="DN29" s="3">
        <v>85.5</v>
      </c>
      <c r="DO29" s="3">
        <v>24</v>
      </c>
      <c r="DP29" s="3">
        <v>86</v>
      </c>
      <c r="DQ29" s="3">
        <v>24</v>
      </c>
      <c r="DR29" s="3">
        <v>171.5</v>
      </c>
      <c r="DS29" s="3">
        <v>48</v>
      </c>
      <c r="DT29" s="9">
        <v>3.5729166666666665</v>
      </c>
      <c r="DU29" s="9">
        <v>3.5729166666666665</v>
      </c>
      <c r="DV29" s="12" t="str">
        <f t="shared" si="86"/>
        <v>Cum Laude</v>
      </c>
      <c r="DW29" s="12" t="str">
        <f t="shared" si="87"/>
        <v>Excellent</v>
      </c>
      <c r="DX29" s="22" t="s">
        <v>151</v>
      </c>
      <c r="DY29" s="26" t="s">
        <v>206</v>
      </c>
    </row>
    <row r="30" spans="1:129" x14ac:dyDescent="0.25">
      <c r="A30" s="3">
        <v>28</v>
      </c>
      <c r="B30" s="2" t="s">
        <v>53</v>
      </c>
      <c r="C30" s="2">
        <v>172312047</v>
      </c>
      <c r="D30" s="11" t="s">
        <v>113</v>
      </c>
      <c r="E30" s="13" t="s">
        <v>114</v>
      </c>
      <c r="F30" s="28" t="s">
        <v>218</v>
      </c>
      <c r="G30" s="27" t="s">
        <v>244</v>
      </c>
      <c r="H30" s="16">
        <v>76.333333333333329</v>
      </c>
      <c r="I30" s="4" t="str">
        <f t="shared" si="30"/>
        <v>B+</v>
      </c>
      <c r="J30" s="3">
        <f t="shared" si="31"/>
        <v>3.5</v>
      </c>
      <c r="K30" s="3">
        <v>2</v>
      </c>
      <c r="L30" s="12">
        <f t="shared" si="32"/>
        <v>7</v>
      </c>
      <c r="M30" s="19">
        <v>82.366666666666674</v>
      </c>
      <c r="N30" s="4" t="str">
        <f t="shared" si="33"/>
        <v>A</v>
      </c>
      <c r="O30" s="3">
        <f t="shared" si="34"/>
        <v>4</v>
      </c>
      <c r="P30" s="3">
        <v>2</v>
      </c>
      <c r="Q30" s="12">
        <f t="shared" si="35"/>
        <v>8</v>
      </c>
      <c r="R30" s="6">
        <v>78.5</v>
      </c>
      <c r="S30" s="4" t="str">
        <f t="shared" si="36"/>
        <v>B+</v>
      </c>
      <c r="T30" s="3">
        <f t="shared" si="37"/>
        <v>3.5</v>
      </c>
      <c r="U30" s="3">
        <v>2</v>
      </c>
      <c r="V30" s="12">
        <f t="shared" si="38"/>
        <v>7</v>
      </c>
      <c r="W30" s="3">
        <v>77.599999999999994</v>
      </c>
      <c r="X30" s="4" t="str">
        <f t="shared" si="39"/>
        <v>B+</v>
      </c>
      <c r="Y30" s="3">
        <f t="shared" si="40"/>
        <v>3.5</v>
      </c>
      <c r="Z30" s="3">
        <v>3</v>
      </c>
      <c r="AA30" s="12">
        <f t="shared" si="41"/>
        <v>10.5</v>
      </c>
      <c r="AB30" s="6">
        <v>80</v>
      </c>
      <c r="AC30" s="4" t="str">
        <f t="shared" si="42"/>
        <v>A</v>
      </c>
      <c r="AD30" s="3">
        <f t="shared" si="43"/>
        <v>4</v>
      </c>
      <c r="AE30" s="3">
        <v>2</v>
      </c>
      <c r="AF30" s="12">
        <f t="shared" si="44"/>
        <v>8</v>
      </c>
      <c r="AG30" s="6">
        <v>82.366666666666674</v>
      </c>
      <c r="AH30" s="4" t="str">
        <f t="shared" si="45"/>
        <v>A</v>
      </c>
      <c r="AI30" s="3">
        <f t="shared" si="46"/>
        <v>4</v>
      </c>
      <c r="AJ30" s="3">
        <v>2</v>
      </c>
      <c r="AK30" s="12">
        <f t="shared" si="47"/>
        <v>8</v>
      </c>
      <c r="AL30" s="7">
        <v>77.599999999999994</v>
      </c>
      <c r="AM30" s="4" t="str">
        <f t="shared" si="48"/>
        <v>B+</v>
      </c>
      <c r="AN30" s="3">
        <f t="shared" si="49"/>
        <v>3.5</v>
      </c>
      <c r="AO30" s="3">
        <v>2</v>
      </c>
      <c r="AP30" s="12">
        <f t="shared" si="50"/>
        <v>7</v>
      </c>
      <c r="AQ30" s="14">
        <v>85.166666666666671</v>
      </c>
      <c r="AR30" s="4" t="str">
        <f t="shared" si="51"/>
        <v>A</v>
      </c>
      <c r="AS30" s="3">
        <f t="shared" si="52"/>
        <v>4</v>
      </c>
      <c r="AT30" s="3">
        <v>2</v>
      </c>
      <c r="AU30" s="12">
        <f t="shared" si="53"/>
        <v>8</v>
      </c>
      <c r="AV30" s="9">
        <v>68.400000000000006</v>
      </c>
      <c r="AW30" s="4" t="str">
        <f t="shared" si="54"/>
        <v>C+</v>
      </c>
      <c r="AX30" s="3">
        <f t="shared" si="55"/>
        <v>2.5</v>
      </c>
      <c r="AY30" s="3">
        <v>3</v>
      </c>
      <c r="AZ30" s="12">
        <f t="shared" si="56"/>
        <v>7.5</v>
      </c>
      <c r="BA30" s="3">
        <v>72.125</v>
      </c>
      <c r="BB30" s="4" t="str">
        <f t="shared" si="57"/>
        <v>B</v>
      </c>
      <c r="BC30" s="3">
        <f t="shared" si="58"/>
        <v>3</v>
      </c>
      <c r="BD30" s="3">
        <v>2</v>
      </c>
      <c r="BE30" s="12">
        <f t="shared" si="59"/>
        <v>6</v>
      </c>
      <c r="BF30" s="3">
        <v>80.599999999999994</v>
      </c>
      <c r="BG30" s="4" t="str">
        <f t="shared" si="60"/>
        <v>A</v>
      </c>
      <c r="BH30" s="3">
        <f t="shared" si="61"/>
        <v>4</v>
      </c>
      <c r="BI30" s="3">
        <v>2</v>
      </c>
      <c r="BJ30" s="12">
        <f t="shared" si="62"/>
        <v>8</v>
      </c>
      <c r="BK30" s="16">
        <v>81.72</v>
      </c>
      <c r="BL30" s="4" t="str">
        <f t="shared" si="63"/>
        <v>A</v>
      </c>
      <c r="BM30" s="3">
        <f t="shared" si="64"/>
        <v>4</v>
      </c>
      <c r="BN30" s="3">
        <v>2</v>
      </c>
      <c r="BO30" s="12">
        <f t="shared" si="65"/>
        <v>8</v>
      </c>
      <c r="BP30" s="19">
        <v>80.150000000000006</v>
      </c>
      <c r="BQ30" s="4" t="str">
        <f t="shared" si="66"/>
        <v>A</v>
      </c>
      <c r="BR30" s="3">
        <f t="shared" si="67"/>
        <v>4</v>
      </c>
      <c r="BS30" s="3">
        <v>2</v>
      </c>
      <c r="BT30" s="12">
        <f t="shared" si="68"/>
        <v>8</v>
      </c>
      <c r="BU30" s="6">
        <v>75</v>
      </c>
      <c r="BV30" s="4" t="str">
        <f t="shared" si="69"/>
        <v>B+</v>
      </c>
      <c r="BW30" s="3">
        <f t="shared" si="70"/>
        <v>3.5</v>
      </c>
      <c r="BX30" s="3">
        <v>2</v>
      </c>
      <c r="BY30" s="12">
        <f t="shared" si="71"/>
        <v>7</v>
      </c>
      <c r="BZ30" s="3">
        <v>82</v>
      </c>
      <c r="CA30" s="4" t="str">
        <f t="shared" si="88"/>
        <v>A</v>
      </c>
      <c r="CB30" s="3">
        <f t="shared" si="92"/>
        <v>4</v>
      </c>
      <c r="CC30" s="3">
        <v>2</v>
      </c>
      <c r="CD30" s="12">
        <f t="shared" si="72"/>
        <v>8</v>
      </c>
      <c r="CE30" s="6">
        <v>82.4</v>
      </c>
      <c r="CF30" s="4" t="str">
        <f t="shared" si="16"/>
        <v>A</v>
      </c>
      <c r="CG30" s="3">
        <f t="shared" si="73"/>
        <v>4</v>
      </c>
      <c r="CH30" s="3">
        <v>2</v>
      </c>
      <c r="CI30" s="12">
        <f t="shared" si="74"/>
        <v>8</v>
      </c>
      <c r="CJ30" s="6">
        <v>74.525000000000006</v>
      </c>
      <c r="CK30" s="4" t="str">
        <f t="shared" si="18"/>
        <v>B</v>
      </c>
      <c r="CL30" s="3">
        <f t="shared" si="75"/>
        <v>3</v>
      </c>
      <c r="CM30" s="3">
        <v>2</v>
      </c>
      <c r="CN30" s="12">
        <f t="shared" si="76"/>
        <v>6</v>
      </c>
      <c r="CO30" s="7">
        <v>78.400000000000006</v>
      </c>
      <c r="CP30" s="4" t="str">
        <f t="shared" si="90"/>
        <v>B+</v>
      </c>
      <c r="CQ30" s="3">
        <f t="shared" si="93"/>
        <v>3.5</v>
      </c>
      <c r="CR30" s="3">
        <v>2</v>
      </c>
      <c r="CS30" s="12">
        <f t="shared" si="77"/>
        <v>7</v>
      </c>
      <c r="CT30" s="14">
        <v>80.2</v>
      </c>
      <c r="CU30" s="4" t="str">
        <f t="shared" si="22"/>
        <v>A</v>
      </c>
      <c r="CV30" s="3">
        <f t="shared" si="78"/>
        <v>4</v>
      </c>
      <c r="CW30" s="3">
        <v>2</v>
      </c>
      <c r="CX30" s="12">
        <f t="shared" si="79"/>
        <v>8</v>
      </c>
      <c r="CY30" s="21">
        <v>80.2</v>
      </c>
      <c r="CZ30" s="4" t="str">
        <f t="shared" si="24"/>
        <v>A</v>
      </c>
      <c r="DA30" s="3">
        <f t="shared" si="80"/>
        <v>4</v>
      </c>
      <c r="DB30" s="3">
        <v>2</v>
      </c>
      <c r="DC30" s="12">
        <f t="shared" si="81"/>
        <v>8</v>
      </c>
      <c r="DD30" s="3">
        <v>78.800000000000011</v>
      </c>
      <c r="DE30" s="4" t="str">
        <f t="shared" si="26"/>
        <v>B+</v>
      </c>
      <c r="DF30" s="3">
        <f t="shared" si="82"/>
        <v>3.5</v>
      </c>
      <c r="DG30" s="3">
        <v>2</v>
      </c>
      <c r="DH30" s="12">
        <f t="shared" si="83"/>
        <v>7</v>
      </c>
      <c r="DI30" s="3">
        <v>80.5</v>
      </c>
      <c r="DJ30" s="4" t="str">
        <f t="shared" si="28"/>
        <v>A</v>
      </c>
      <c r="DK30" s="3">
        <f t="shared" si="84"/>
        <v>4</v>
      </c>
      <c r="DL30" s="3">
        <v>4</v>
      </c>
      <c r="DM30" s="12">
        <f t="shared" si="85"/>
        <v>16</v>
      </c>
      <c r="DN30" s="3">
        <v>85</v>
      </c>
      <c r="DO30" s="3">
        <v>24</v>
      </c>
      <c r="DP30" s="3">
        <v>91</v>
      </c>
      <c r="DQ30" s="3">
        <v>24</v>
      </c>
      <c r="DR30" s="3">
        <v>176</v>
      </c>
      <c r="DS30" s="3">
        <v>48</v>
      </c>
      <c r="DT30" s="9">
        <v>3.6666666666666665</v>
      </c>
      <c r="DU30" s="9">
        <v>3.6666666666666665</v>
      </c>
      <c r="DV30" s="12" t="str">
        <f t="shared" si="86"/>
        <v>Cum Laude</v>
      </c>
      <c r="DW30" s="12" t="str">
        <f t="shared" si="87"/>
        <v>Excellent</v>
      </c>
      <c r="DX30" s="22" t="s">
        <v>152</v>
      </c>
      <c r="DY30" s="26" t="s">
        <v>207</v>
      </c>
    </row>
    <row r="31" spans="1:129" x14ac:dyDescent="0.25">
      <c r="A31" s="3">
        <v>29</v>
      </c>
      <c r="B31" s="2" t="s">
        <v>54</v>
      </c>
      <c r="C31" s="2">
        <v>172312048</v>
      </c>
      <c r="D31" s="11" t="s">
        <v>115</v>
      </c>
      <c r="E31" s="13" t="s">
        <v>116</v>
      </c>
      <c r="F31" s="28" t="s">
        <v>218</v>
      </c>
      <c r="G31" s="27" t="s">
        <v>245</v>
      </c>
      <c r="H31" s="16">
        <v>76.333333333333329</v>
      </c>
      <c r="I31" s="4" t="str">
        <f t="shared" si="30"/>
        <v>B+</v>
      </c>
      <c r="J31" s="3">
        <f t="shared" si="31"/>
        <v>3.5</v>
      </c>
      <c r="K31" s="3">
        <v>2</v>
      </c>
      <c r="L31" s="12">
        <f t="shared" si="32"/>
        <v>7</v>
      </c>
      <c r="M31" s="19">
        <v>81.833333333333329</v>
      </c>
      <c r="N31" s="4" t="str">
        <f t="shared" si="33"/>
        <v>A</v>
      </c>
      <c r="O31" s="3">
        <f t="shared" si="34"/>
        <v>4</v>
      </c>
      <c r="P31" s="3">
        <v>2</v>
      </c>
      <c r="Q31" s="12">
        <f t="shared" si="35"/>
        <v>8</v>
      </c>
      <c r="R31" s="6">
        <v>79.800000000000011</v>
      </c>
      <c r="S31" s="4" t="str">
        <f t="shared" si="36"/>
        <v>B+</v>
      </c>
      <c r="T31" s="3">
        <f t="shared" si="37"/>
        <v>3.5</v>
      </c>
      <c r="U31" s="3">
        <v>2</v>
      </c>
      <c r="V31" s="12">
        <f t="shared" si="38"/>
        <v>7</v>
      </c>
      <c r="W31" s="3">
        <v>80.599999999999994</v>
      </c>
      <c r="X31" s="4" t="str">
        <f t="shared" si="39"/>
        <v>A</v>
      </c>
      <c r="Y31" s="3">
        <f t="shared" si="40"/>
        <v>4</v>
      </c>
      <c r="Z31" s="3">
        <v>3</v>
      </c>
      <c r="AA31" s="12">
        <f t="shared" si="41"/>
        <v>12</v>
      </c>
      <c r="AB31" s="6">
        <v>83.750000000000014</v>
      </c>
      <c r="AC31" s="4" t="str">
        <f t="shared" si="42"/>
        <v>A</v>
      </c>
      <c r="AD31" s="3">
        <f t="shared" si="43"/>
        <v>4</v>
      </c>
      <c r="AE31" s="3">
        <v>2</v>
      </c>
      <c r="AF31" s="12">
        <f t="shared" si="44"/>
        <v>8</v>
      </c>
      <c r="AG31" s="6">
        <v>81.833333333333329</v>
      </c>
      <c r="AH31" s="4" t="str">
        <f t="shared" si="45"/>
        <v>A</v>
      </c>
      <c r="AI31" s="3">
        <f t="shared" si="46"/>
        <v>4</v>
      </c>
      <c r="AJ31" s="3">
        <v>2</v>
      </c>
      <c r="AK31" s="12">
        <f t="shared" si="47"/>
        <v>8</v>
      </c>
      <c r="AL31" s="7">
        <v>80.599999999999994</v>
      </c>
      <c r="AM31" s="4" t="str">
        <f t="shared" si="48"/>
        <v>A</v>
      </c>
      <c r="AN31" s="3">
        <f t="shared" si="49"/>
        <v>4</v>
      </c>
      <c r="AO31" s="3">
        <v>2</v>
      </c>
      <c r="AP31" s="12">
        <f t="shared" si="50"/>
        <v>8</v>
      </c>
      <c r="AQ31" s="14">
        <v>85.3</v>
      </c>
      <c r="AR31" s="4" t="str">
        <f t="shared" si="51"/>
        <v>A</v>
      </c>
      <c r="AS31" s="3">
        <f t="shared" si="52"/>
        <v>4</v>
      </c>
      <c r="AT31" s="3">
        <v>2</v>
      </c>
      <c r="AU31" s="12">
        <f t="shared" si="53"/>
        <v>8</v>
      </c>
      <c r="AV31" s="9">
        <v>69.599999999999994</v>
      </c>
      <c r="AW31" s="4" t="str">
        <f t="shared" si="54"/>
        <v>C+</v>
      </c>
      <c r="AX31" s="3">
        <f t="shared" si="55"/>
        <v>2.5</v>
      </c>
      <c r="AY31" s="3">
        <v>3</v>
      </c>
      <c r="AZ31" s="12">
        <f t="shared" si="56"/>
        <v>7.5</v>
      </c>
      <c r="BA31" s="3">
        <v>72.125</v>
      </c>
      <c r="BB31" s="4" t="str">
        <f t="shared" si="57"/>
        <v>B</v>
      </c>
      <c r="BC31" s="3">
        <f t="shared" si="58"/>
        <v>3</v>
      </c>
      <c r="BD31" s="3">
        <v>2</v>
      </c>
      <c r="BE31" s="12">
        <f t="shared" si="59"/>
        <v>6</v>
      </c>
      <c r="BF31" s="3">
        <v>80.599999999999994</v>
      </c>
      <c r="BG31" s="4" t="str">
        <f t="shared" si="60"/>
        <v>A</v>
      </c>
      <c r="BH31" s="3">
        <f t="shared" si="61"/>
        <v>4</v>
      </c>
      <c r="BI31" s="3">
        <v>2</v>
      </c>
      <c r="BJ31" s="12">
        <f t="shared" si="62"/>
        <v>8</v>
      </c>
      <c r="BK31" s="16">
        <v>80.760000000000005</v>
      </c>
      <c r="BL31" s="4" t="str">
        <f t="shared" si="63"/>
        <v>A</v>
      </c>
      <c r="BM31" s="3">
        <f t="shared" si="64"/>
        <v>4</v>
      </c>
      <c r="BN31" s="3">
        <v>2</v>
      </c>
      <c r="BO31" s="12">
        <f t="shared" si="65"/>
        <v>8</v>
      </c>
      <c r="BP31" s="19">
        <v>79.150000000000006</v>
      </c>
      <c r="BQ31" s="4" t="str">
        <f t="shared" si="66"/>
        <v>B+</v>
      </c>
      <c r="BR31" s="3">
        <f t="shared" si="67"/>
        <v>3.5</v>
      </c>
      <c r="BS31" s="3">
        <v>2</v>
      </c>
      <c r="BT31" s="12">
        <f t="shared" si="68"/>
        <v>7</v>
      </c>
      <c r="BU31" s="6">
        <v>75.2</v>
      </c>
      <c r="BV31" s="4" t="str">
        <f t="shared" si="69"/>
        <v>B+</v>
      </c>
      <c r="BW31" s="3">
        <f t="shared" si="70"/>
        <v>3.5</v>
      </c>
      <c r="BX31" s="3">
        <v>2</v>
      </c>
      <c r="BY31" s="12">
        <f t="shared" si="71"/>
        <v>7</v>
      </c>
      <c r="BZ31" s="3">
        <v>77.349999999999994</v>
      </c>
      <c r="CA31" s="4" t="str">
        <f t="shared" si="88"/>
        <v>B+</v>
      </c>
      <c r="CB31" s="3">
        <f t="shared" si="92"/>
        <v>3.5</v>
      </c>
      <c r="CC31" s="3">
        <v>2</v>
      </c>
      <c r="CD31" s="12">
        <f t="shared" si="72"/>
        <v>7</v>
      </c>
      <c r="CE31" s="6">
        <v>81.199999999999989</v>
      </c>
      <c r="CF31" s="4" t="str">
        <f t="shared" si="16"/>
        <v>A</v>
      </c>
      <c r="CG31" s="3">
        <f t="shared" si="73"/>
        <v>4</v>
      </c>
      <c r="CH31" s="3">
        <v>2</v>
      </c>
      <c r="CI31" s="12">
        <f t="shared" si="74"/>
        <v>8</v>
      </c>
      <c r="CJ31" s="6">
        <v>75.575000000000003</v>
      </c>
      <c r="CK31" s="4" t="str">
        <f t="shared" si="18"/>
        <v>B+</v>
      </c>
      <c r="CL31" s="3">
        <f t="shared" si="75"/>
        <v>3.5</v>
      </c>
      <c r="CM31" s="3">
        <v>2</v>
      </c>
      <c r="CN31" s="12">
        <f t="shared" si="76"/>
        <v>7</v>
      </c>
      <c r="CO31" s="7">
        <v>80</v>
      </c>
      <c r="CP31" s="4" t="str">
        <f t="shared" si="90"/>
        <v>A</v>
      </c>
      <c r="CQ31" s="3">
        <f t="shared" si="93"/>
        <v>4</v>
      </c>
      <c r="CR31" s="3">
        <v>2</v>
      </c>
      <c r="CS31" s="12">
        <f t="shared" si="77"/>
        <v>8</v>
      </c>
      <c r="CT31" s="14">
        <v>80.2</v>
      </c>
      <c r="CU31" s="4" t="str">
        <f t="shared" si="22"/>
        <v>A</v>
      </c>
      <c r="CV31" s="3">
        <f t="shared" si="78"/>
        <v>4</v>
      </c>
      <c r="CW31" s="3">
        <v>2</v>
      </c>
      <c r="CX31" s="12">
        <f t="shared" si="79"/>
        <v>8</v>
      </c>
      <c r="CY31" s="21">
        <v>80.2</v>
      </c>
      <c r="CZ31" s="4" t="str">
        <f t="shared" si="24"/>
        <v>A</v>
      </c>
      <c r="DA31" s="3">
        <f t="shared" si="80"/>
        <v>4</v>
      </c>
      <c r="DB31" s="3">
        <v>2</v>
      </c>
      <c r="DC31" s="12">
        <f t="shared" si="81"/>
        <v>8</v>
      </c>
      <c r="DD31" s="3">
        <v>77.8</v>
      </c>
      <c r="DE31" s="4" t="str">
        <f t="shared" si="26"/>
        <v>B+</v>
      </c>
      <c r="DF31" s="3">
        <f t="shared" si="82"/>
        <v>3.5</v>
      </c>
      <c r="DG31" s="3">
        <v>2</v>
      </c>
      <c r="DH31" s="12">
        <f t="shared" si="83"/>
        <v>7</v>
      </c>
      <c r="DI31" s="3">
        <v>81.099999999999994</v>
      </c>
      <c r="DJ31" s="4" t="str">
        <f t="shared" si="28"/>
        <v>A</v>
      </c>
      <c r="DK31" s="3">
        <f t="shared" si="84"/>
        <v>4</v>
      </c>
      <c r="DL31" s="3">
        <v>4</v>
      </c>
      <c r="DM31" s="12">
        <f t="shared" si="85"/>
        <v>16</v>
      </c>
      <c r="DN31" s="3">
        <v>87.5</v>
      </c>
      <c r="DO31" s="3">
        <v>24</v>
      </c>
      <c r="DP31" s="3">
        <v>91</v>
      </c>
      <c r="DQ31" s="3">
        <v>24</v>
      </c>
      <c r="DR31" s="3">
        <v>178.5</v>
      </c>
      <c r="DS31" s="3">
        <v>48</v>
      </c>
      <c r="DT31" s="9">
        <v>3.71875</v>
      </c>
      <c r="DU31" s="9">
        <v>3.71875</v>
      </c>
      <c r="DV31" s="12" t="str">
        <f t="shared" si="86"/>
        <v>Cum Laude</v>
      </c>
      <c r="DW31" s="12" t="str">
        <f t="shared" si="87"/>
        <v>Excellent</v>
      </c>
      <c r="DX31" s="22" t="s">
        <v>153</v>
      </c>
      <c r="DY31" s="26" t="s">
        <v>208</v>
      </c>
    </row>
    <row r="32" spans="1:129" ht="30" x14ac:dyDescent="0.25">
      <c r="A32" s="3">
        <v>30</v>
      </c>
      <c r="B32" s="2" t="s">
        <v>55</v>
      </c>
      <c r="C32" s="2">
        <v>172312049</v>
      </c>
      <c r="D32" s="11" t="s">
        <v>88</v>
      </c>
      <c r="E32" s="13" t="s">
        <v>117</v>
      </c>
      <c r="F32" s="28" t="s">
        <v>218</v>
      </c>
      <c r="G32" s="27" t="s">
        <v>246</v>
      </c>
      <c r="H32" s="16">
        <v>76.333333333333329</v>
      </c>
      <c r="I32" s="4" t="str">
        <f t="shared" si="30"/>
        <v>B+</v>
      </c>
      <c r="J32" s="3">
        <f t="shared" si="31"/>
        <v>3.5</v>
      </c>
      <c r="K32" s="3">
        <v>2</v>
      </c>
      <c r="L32" s="12">
        <f t="shared" si="32"/>
        <v>7</v>
      </c>
      <c r="M32" s="19">
        <v>81.833333333333329</v>
      </c>
      <c r="N32" s="4" t="str">
        <f t="shared" si="33"/>
        <v>A</v>
      </c>
      <c r="O32" s="3">
        <f t="shared" si="34"/>
        <v>4</v>
      </c>
      <c r="P32" s="3">
        <v>2</v>
      </c>
      <c r="Q32" s="12">
        <f t="shared" si="35"/>
        <v>8</v>
      </c>
      <c r="R32" s="6">
        <v>80</v>
      </c>
      <c r="S32" s="4" t="str">
        <f t="shared" si="36"/>
        <v>A</v>
      </c>
      <c r="T32" s="3">
        <f t="shared" si="37"/>
        <v>4</v>
      </c>
      <c r="U32" s="3">
        <v>2</v>
      </c>
      <c r="V32" s="12">
        <f t="shared" si="38"/>
        <v>8</v>
      </c>
      <c r="W32" s="3">
        <v>80</v>
      </c>
      <c r="X32" s="4" t="str">
        <f t="shared" si="39"/>
        <v>A</v>
      </c>
      <c r="Y32" s="3">
        <f t="shared" si="40"/>
        <v>4</v>
      </c>
      <c r="Z32" s="3">
        <v>3</v>
      </c>
      <c r="AA32" s="12">
        <f t="shared" si="41"/>
        <v>12</v>
      </c>
      <c r="AB32" s="6">
        <v>80.95</v>
      </c>
      <c r="AC32" s="4" t="str">
        <f t="shared" si="42"/>
        <v>A</v>
      </c>
      <c r="AD32" s="3">
        <f t="shared" si="43"/>
        <v>4</v>
      </c>
      <c r="AE32" s="3">
        <v>2</v>
      </c>
      <c r="AF32" s="12">
        <f t="shared" si="44"/>
        <v>8</v>
      </c>
      <c r="AG32" s="6">
        <v>81.833333333333329</v>
      </c>
      <c r="AH32" s="4" t="str">
        <f t="shared" si="45"/>
        <v>A</v>
      </c>
      <c r="AI32" s="3">
        <f t="shared" si="46"/>
        <v>4</v>
      </c>
      <c r="AJ32" s="3">
        <v>2</v>
      </c>
      <c r="AK32" s="12">
        <f t="shared" si="47"/>
        <v>8</v>
      </c>
      <c r="AL32" s="7">
        <v>78.800000000000011</v>
      </c>
      <c r="AM32" s="4" t="str">
        <f t="shared" si="48"/>
        <v>B+</v>
      </c>
      <c r="AN32" s="3">
        <f t="shared" si="49"/>
        <v>3.5</v>
      </c>
      <c r="AO32" s="3">
        <v>2</v>
      </c>
      <c r="AP32" s="12">
        <f t="shared" si="50"/>
        <v>7</v>
      </c>
      <c r="AQ32" s="14">
        <v>83.3</v>
      </c>
      <c r="AR32" s="4" t="str">
        <f t="shared" si="51"/>
        <v>A</v>
      </c>
      <c r="AS32" s="3">
        <f t="shared" si="52"/>
        <v>4</v>
      </c>
      <c r="AT32" s="3">
        <v>2</v>
      </c>
      <c r="AU32" s="12">
        <f t="shared" si="53"/>
        <v>8</v>
      </c>
      <c r="AV32" s="9">
        <v>72.400000000000006</v>
      </c>
      <c r="AW32" s="4" t="str">
        <f t="shared" si="54"/>
        <v>B</v>
      </c>
      <c r="AX32" s="3">
        <f t="shared" si="55"/>
        <v>3</v>
      </c>
      <c r="AY32" s="3">
        <v>3</v>
      </c>
      <c r="AZ32" s="12">
        <f t="shared" si="56"/>
        <v>9</v>
      </c>
      <c r="BA32" s="3">
        <v>74.924999999999997</v>
      </c>
      <c r="BB32" s="4" t="str">
        <f t="shared" si="57"/>
        <v>B</v>
      </c>
      <c r="BC32" s="3">
        <f t="shared" si="58"/>
        <v>3</v>
      </c>
      <c r="BD32" s="3">
        <v>2</v>
      </c>
      <c r="BE32" s="12">
        <f t="shared" si="59"/>
        <v>6</v>
      </c>
      <c r="BF32" s="3">
        <v>78.800000000000011</v>
      </c>
      <c r="BG32" s="4" t="str">
        <f t="shared" si="60"/>
        <v>B+</v>
      </c>
      <c r="BH32" s="3">
        <f t="shared" si="61"/>
        <v>3.5</v>
      </c>
      <c r="BI32" s="3">
        <v>2</v>
      </c>
      <c r="BJ32" s="12">
        <f t="shared" si="62"/>
        <v>7</v>
      </c>
      <c r="BK32" s="16">
        <v>77.8</v>
      </c>
      <c r="BL32" s="4" t="str">
        <f t="shared" si="63"/>
        <v>B+</v>
      </c>
      <c r="BM32" s="3">
        <f t="shared" si="64"/>
        <v>3.5</v>
      </c>
      <c r="BN32" s="3">
        <v>2</v>
      </c>
      <c r="BO32" s="12">
        <f t="shared" si="65"/>
        <v>7</v>
      </c>
      <c r="BP32" s="19">
        <v>77.8</v>
      </c>
      <c r="BQ32" s="4" t="str">
        <f t="shared" si="66"/>
        <v>B+</v>
      </c>
      <c r="BR32" s="3">
        <f t="shared" si="67"/>
        <v>3.5</v>
      </c>
      <c r="BS32" s="3">
        <v>2</v>
      </c>
      <c r="BT32" s="12">
        <f t="shared" si="68"/>
        <v>7</v>
      </c>
      <c r="BU32" s="6">
        <v>70.2</v>
      </c>
      <c r="BV32" s="4" t="str">
        <f t="shared" si="69"/>
        <v>B</v>
      </c>
      <c r="BW32" s="3">
        <f t="shared" si="70"/>
        <v>3</v>
      </c>
      <c r="BX32" s="3">
        <v>2</v>
      </c>
      <c r="BY32" s="12">
        <f t="shared" si="71"/>
        <v>6</v>
      </c>
      <c r="BZ32" s="3">
        <v>77.800000000000011</v>
      </c>
      <c r="CA32" s="4" t="str">
        <f t="shared" si="88"/>
        <v>B+</v>
      </c>
      <c r="CB32" s="3">
        <f t="shared" si="92"/>
        <v>3.5</v>
      </c>
      <c r="CC32" s="3">
        <v>2</v>
      </c>
      <c r="CD32" s="12">
        <f t="shared" si="72"/>
        <v>7</v>
      </c>
      <c r="CE32" s="6">
        <v>72.8</v>
      </c>
      <c r="CF32" s="4" t="str">
        <f t="shared" si="16"/>
        <v>B</v>
      </c>
      <c r="CG32" s="3">
        <f t="shared" si="73"/>
        <v>3</v>
      </c>
      <c r="CH32" s="3">
        <v>2</v>
      </c>
      <c r="CI32" s="12">
        <f t="shared" si="74"/>
        <v>6</v>
      </c>
      <c r="CJ32" s="6">
        <v>73.325000000000003</v>
      </c>
      <c r="CK32" s="4" t="str">
        <f t="shared" si="18"/>
        <v>B</v>
      </c>
      <c r="CL32" s="3">
        <f t="shared" si="75"/>
        <v>3</v>
      </c>
      <c r="CM32" s="3">
        <v>2</v>
      </c>
      <c r="CN32" s="12">
        <f t="shared" si="76"/>
        <v>6</v>
      </c>
      <c r="CO32" s="7">
        <v>72</v>
      </c>
      <c r="CP32" s="4" t="str">
        <f t="shared" si="90"/>
        <v>B</v>
      </c>
      <c r="CQ32" s="3">
        <f t="shared" si="93"/>
        <v>3</v>
      </c>
      <c r="CR32" s="3">
        <v>2</v>
      </c>
      <c r="CS32" s="12">
        <f t="shared" si="77"/>
        <v>6</v>
      </c>
      <c r="CT32" s="14">
        <v>78.2</v>
      </c>
      <c r="CU32" s="4" t="str">
        <f t="shared" si="22"/>
        <v>B+</v>
      </c>
      <c r="CV32" s="3">
        <f t="shared" si="78"/>
        <v>3.5</v>
      </c>
      <c r="CW32" s="3">
        <v>2</v>
      </c>
      <c r="CX32" s="12">
        <f t="shared" si="79"/>
        <v>7</v>
      </c>
      <c r="CY32" s="21">
        <v>78.2</v>
      </c>
      <c r="CZ32" s="4" t="str">
        <f t="shared" si="24"/>
        <v>B+</v>
      </c>
      <c r="DA32" s="3">
        <f t="shared" si="80"/>
        <v>3.5</v>
      </c>
      <c r="DB32" s="3">
        <v>2</v>
      </c>
      <c r="DC32" s="12">
        <f t="shared" si="81"/>
        <v>7</v>
      </c>
      <c r="DD32" s="3">
        <v>77.8</v>
      </c>
      <c r="DE32" s="4" t="str">
        <f t="shared" si="26"/>
        <v>B+</v>
      </c>
      <c r="DF32" s="3">
        <f t="shared" si="82"/>
        <v>3.5</v>
      </c>
      <c r="DG32" s="3">
        <v>2</v>
      </c>
      <c r="DH32" s="12">
        <f t="shared" si="83"/>
        <v>7</v>
      </c>
      <c r="DI32" s="3">
        <v>80.33</v>
      </c>
      <c r="DJ32" s="4" t="str">
        <f t="shared" si="28"/>
        <v>A</v>
      </c>
      <c r="DK32" s="3">
        <f t="shared" si="84"/>
        <v>4</v>
      </c>
      <c r="DL32" s="3">
        <v>4</v>
      </c>
      <c r="DM32" s="12">
        <f t="shared" si="85"/>
        <v>16</v>
      </c>
      <c r="DN32" s="3">
        <v>88</v>
      </c>
      <c r="DO32" s="3">
        <v>24</v>
      </c>
      <c r="DP32" s="3">
        <v>82</v>
      </c>
      <c r="DQ32" s="3">
        <v>24</v>
      </c>
      <c r="DR32" s="3">
        <v>170</v>
      </c>
      <c r="DS32" s="3">
        <v>48</v>
      </c>
      <c r="DT32" s="9">
        <v>3.5416666666666665</v>
      </c>
      <c r="DU32" s="9">
        <v>3.5416666666666665</v>
      </c>
      <c r="DV32" s="12" t="str">
        <f t="shared" si="86"/>
        <v>Cum Laude</v>
      </c>
      <c r="DW32" s="12" t="str">
        <f t="shared" si="87"/>
        <v>Excellent</v>
      </c>
      <c r="DX32" s="22" t="s">
        <v>174</v>
      </c>
      <c r="DY32" s="26" t="s">
        <v>209</v>
      </c>
    </row>
    <row r="33" spans="1:129" x14ac:dyDescent="0.25">
      <c r="A33" s="3">
        <v>31</v>
      </c>
      <c r="B33" s="2" t="s">
        <v>56</v>
      </c>
      <c r="C33" s="2">
        <v>172312050</v>
      </c>
      <c r="D33" s="11" t="s">
        <v>88</v>
      </c>
      <c r="E33" s="13" t="s">
        <v>118</v>
      </c>
      <c r="F33" s="28" t="s">
        <v>218</v>
      </c>
      <c r="G33" s="27" t="s">
        <v>247</v>
      </c>
      <c r="H33" s="16">
        <v>80.133333333333326</v>
      </c>
      <c r="I33" s="4" t="str">
        <f t="shared" si="30"/>
        <v>A</v>
      </c>
      <c r="J33" s="3">
        <f t="shared" si="31"/>
        <v>4</v>
      </c>
      <c r="K33" s="3">
        <v>2</v>
      </c>
      <c r="L33" s="12">
        <f t="shared" si="32"/>
        <v>8</v>
      </c>
      <c r="M33" s="19">
        <v>86.233333333333334</v>
      </c>
      <c r="N33" s="4" t="str">
        <f t="shared" si="33"/>
        <v>A</v>
      </c>
      <c r="O33" s="3">
        <f t="shared" si="34"/>
        <v>4</v>
      </c>
      <c r="P33" s="3">
        <v>2</v>
      </c>
      <c r="Q33" s="12">
        <f t="shared" si="35"/>
        <v>8</v>
      </c>
      <c r="R33" s="6">
        <v>80.099999999999994</v>
      </c>
      <c r="S33" s="4" t="str">
        <f t="shared" si="36"/>
        <v>A</v>
      </c>
      <c r="T33" s="3">
        <f t="shared" si="37"/>
        <v>4</v>
      </c>
      <c r="U33" s="3">
        <v>2</v>
      </c>
      <c r="V33" s="12">
        <f t="shared" si="38"/>
        <v>8</v>
      </c>
      <c r="W33" s="3">
        <v>80</v>
      </c>
      <c r="X33" s="4" t="str">
        <f t="shared" si="39"/>
        <v>A</v>
      </c>
      <c r="Y33" s="3">
        <f t="shared" si="40"/>
        <v>4</v>
      </c>
      <c r="Z33" s="3">
        <v>3</v>
      </c>
      <c r="AA33" s="12">
        <f t="shared" si="41"/>
        <v>12</v>
      </c>
      <c r="AB33" s="6">
        <v>85.550000000000011</v>
      </c>
      <c r="AC33" s="4" t="str">
        <f t="shared" si="42"/>
        <v>A</v>
      </c>
      <c r="AD33" s="3">
        <f t="shared" si="43"/>
        <v>4</v>
      </c>
      <c r="AE33" s="3">
        <v>2</v>
      </c>
      <c r="AF33" s="12">
        <f t="shared" si="44"/>
        <v>8</v>
      </c>
      <c r="AG33" s="6">
        <v>86.233333333333334</v>
      </c>
      <c r="AH33" s="4" t="str">
        <f t="shared" si="45"/>
        <v>A</v>
      </c>
      <c r="AI33" s="3">
        <f t="shared" si="46"/>
        <v>4</v>
      </c>
      <c r="AJ33" s="3">
        <v>2</v>
      </c>
      <c r="AK33" s="12">
        <f t="shared" si="47"/>
        <v>8</v>
      </c>
      <c r="AL33" s="7">
        <v>76.800000000000011</v>
      </c>
      <c r="AM33" s="4" t="str">
        <f t="shared" si="48"/>
        <v>B+</v>
      </c>
      <c r="AN33" s="3">
        <f t="shared" si="49"/>
        <v>3.5</v>
      </c>
      <c r="AO33" s="3">
        <v>2</v>
      </c>
      <c r="AP33" s="12">
        <f t="shared" si="50"/>
        <v>7</v>
      </c>
      <c r="AQ33" s="14">
        <v>82.1</v>
      </c>
      <c r="AR33" s="4" t="str">
        <f t="shared" si="51"/>
        <v>A</v>
      </c>
      <c r="AS33" s="3">
        <f t="shared" si="52"/>
        <v>4</v>
      </c>
      <c r="AT33" s="3">
        <v>2</v>
      </c>
      <c r="AU33" s="12">
        <f t="shared" si="53"/>
        <v>8</v>
      </c>
      <c r="AV33" s="9">
        <v>71</v>
      </c>
      <c r="AW33" s="4" t="str">
        <f t="shared" si="54"/>
        <v>B</v>
      </c>
      <c r="AX33" s="3">
        <f t="shared" si="55"/>
        <v>3</v>
      </c>
      <c r="AY33" s="3">
        <v>3</v>
      </c>
      <c r="AZ33" s="12">
        <f t="shared" si="56"/>
        <v>9</v>
      </c>
      <c r="BA33" s="3">
        <v>73.325000000000003</v>
      </c>
      <c r="BB33" s="4" t="str">
        <f t="shared" si="57"/>
        <v>B</v>
      </c>
      <c r="BC33" s="3">
        <f t="shared" si="58"/>
        <v>3</v>
      </c>
      <c r="BD33" s="3">
        <v>2</v>
      </c>
      <c r="BE33" s="12">
        <f t="shared" si="59"/>
        <v>6</v>
      </c>
      <c r="BF33" s="3">
        <v>80.599999999999994</v>
      </c>
      <c r="BG33" s="4" t="str">
        <f t="shared" si="60"/>
        <v>A</v>
      </c>
      <c r="BH33" s="3">
        <f t="shared" si="61"/>
        <v>4</v>
      </c>
      <c r="BI33" s="3">
        <v>2</v>
      </c>
      <c r="BJ33" s="12">
        <f t="shared" si="62"/>
        <v>8</v>
      </c>
      <c r="BK33" s="16">
        <v>81.013333333333321</v>
      </c>
      <c r="BL33" s="4" t="str">
        <f t="shared" si="63"/>
        <v>A</v>
      </c>
      <c r="BM33" s="3">
        <f t="shared" si="64"/>
        <v>4</v>
      </c>
      <c r="BN33" s="3">
        <v>2</v>
      </c>
      <c r="BO33" s="12">
        <f t="shared" si="65"/>
        <v>8</v>
      </c>
      <c r="BP33" s="19">
        <v>80.75</v>
      </c>
      <c r="BQ33" s="4" t="str">
        <f t="shared" si="66"/>
        <v>A</v>
      </c>
      <c r="BR33" s="3">
        <f t="shared" si="67"/>
        <v>4</v>
      </c>
      <c r="BS33" s="3">
        <v>2</v>
      </c>
      <c r="BT33" s="12">
        <f t="shared" si="68"/>
        <v>8</v>
      </c>
      <c r="BU33" s="6">
        <v>70</v>
      </c>
      <c r="BV33" s="4" t="str">
        <f t="shared" si="69"/>
        <v>B</v>
      </c>
      <c r="BW33" s="3">
        <f t="shared" si="70"/>
        <v>3</v>
      </c>
      <c r="BX33" s="3">
        <v>2</v>
      </c>
      <c r="BY33" s="12">
        <f t="shared" si="71"/>
        <v>6</v>
      </c>
      <c r="BZ33" s="3">
        <v>80</v>
      </c>
      <c r="CA33" s="4" t="str">
        <f t="shared" si="88"/>
        <v>A</v>
      </c>
      <c r="CB33" s="3">
        <f t="shared" si="92"/>
        <v>4</v>
      </c>
      <c r="CC33" s="3">
        <v>2</v>
      </c>
      <c r="CD33" s="12">
        <f t="shared" si="72"/>
        <v>8</v>
      </c>
      <c r="CE33" s="6">
        <v>76.8</v>
      </c>
      <c r="CF33" s="4" t="str">
        <f t="shared" si="16"/>
        <v>B+</v>
      </c>
      <c r="CG33" s="3">
        <f t="shared" si="73"/>
        <v>3.5</v>
      </c>
      <c r="CH33" s="3">
        <v>2</v>
      </c>
      <c r="CI33" s="12">
        <f t="shared" si="74"/>
        <v>7</v>
      </c>
      <c r="CJ33" s="6">
        <v>76.724999999999994</v>
      </c>
      <c r="CK33" s="4" t="str">
        <f t="shared" si="18"/>
        <v>B+</v>
      </c>
      <c r="CL33" s="3">
        <f t="shared" si="75"/>
        <v>3.5</v>
      </c>
      <c r="CM33" s="3">
        <v>2</v>
      </c>
      <c r="CN33" s="12">
        <f t="shared" si="76"/>
        <v>7</v>
      </c>
      <c r="CO33" s="7">
        <v>72</v>
      </c>
      <c r="CP33" s="4" t="str">
        <f t="shared" si="90"/>
        <v>B</v>
      </c>
      <c r="CQ33" s="3">
        <f t="shared" si="93"/>
        <v>3</v>
      </c>
      <c r="CR33" s="3">
        <v>2</v>
      </c>
      <c r="CS33" s="12">
        <f t="shared" si="77"/>
        <v>6</v>
      </c>
      <c r="CT33" s="14">
        <v>80.2</v>
      </c>
      <c r="CU33" s="4" t="str">
        <f t="shared" si="22"/>
        <v>A</v>
      </c>
      <c r="CV33" s="3">
        <f t="shared" si="78"/>
        <v>4</v>
      </c>
      <c r="CW33" s="3">
        <v>2</v>
      </c>
      <c r="CX33" s="12">
        <f t="shared" si="79"/>
        <v>8</v>
      </c>
      <c r="CY33" s="21">
        <v>80.2</v>
      </c>
      <c r="CZ33" s="4" t="str">
        <f t="shared" si="24"/>
        <v>A</v>
      </c>
      <c r="DA33" s="3">
        <f t="shared" si="80"/>
        <v>4</v>
      </c>
      <c r="DB33" s="3">
        <v>2</v>
      </c>
      <c r="DC33" s="12">
        <f t="shared" si="81"/>
        <v>8</v>
      </c>
      <c r="DD33" s="3">
        <v>81.45</v>
      </c>
      <c r="DE33" s="4" t="str">
        <f t="shared" si="26"/>
        <v>A</v>
      </c>
      <c r="DF33" s="3">
        <f t="shared" si="82"/>
        <v>4</v>
      </c>
      <c r="DG33" s="3">
        <v>2</v>
      </c>
      <c r="DH33" s="12">
        <f t="shared" si="83"/>
        <v>8</v>
      </c>
      <c r="DI33" s="3">
        <v>82.65</v>
      </c>
      <c r="DJ33" s="4" t="str">
        <f t="shared" si="28"/>
        <v>A</v>
      </c>
      <c r="DK33" s="3">
        <f t="shared" si="84"/>
        <v>4</v>
      </c>
      <c r="DL33" s="3">
        <v>4</v>
      </c>
      <c r="DM33" s="12">
        <f t="shared" si="85"/>
        <v>16</v>
      </c>
      <c r="DN33" s="3">
        <v>90</v>
      </c>
      <c r="DO33" s="3">
        <v>24</v>
      </c>
      <c r="DP33" s="3">
        <v>90</v>
      </c>
      <c r="DQ33" s="3">
        <v>24</v>
      </c>
      <c r="DR33" s="3">
        <v>180</v>
      </c>
      <c r="DS33" s="3">
        <v>48</v>
      </c>
      <c r="DT33" s="9">
        <v>3.75</v>
      </c>
      <c r="DU33" s="9">
        <v>3.75</v>
      </c>
      <c r="DV33" s="12" t="str">
        <f t="shared" si="86"/>
        <v>Cum Laude</v>
      </c>
      <c r="DW33" s="12" t="str">
        <f t="shared" si="87"/>
        <v>Excellent</v>
      </c>
      <c r="DX33" s="22" t="s">
        <v>154</v>
      </c>
      <c r="DY33" s="26" t="s">
        <v>210</v>
      </c>
    </row>
    <row r="34" spans="1:129" ht="30" x14ac:dyDescent="0.25">
      <c r="A34" s="3">
        <v>32</v>
      </c>
      <c r="B34" s="2" t="s">
        <v>57</v>
      </c>
      <c r="C34" s="2">
        <v>172312051</v>
      </c>
      <c r="D34" s="11" t="s">
        <v>104</v>
      </c>
      <c r="E34" s="13" t="s">
        <v>119</v>
      </c>
      <c r="F34" s="28" t="s">
        <v>218</v>
      </c>
      <c r="G34" s="27" t="s">
        <v>248</v>
      </c>
      <c r="H34" s="16">
        <v>76.333333333333329</v>
      </c>
      <c r="I34" s="4" t="str">
        <f t="shared" si="30"/>
        <v>B+</v>
      </c>
      <c r="J34" s="3">
        <f t="shared" si="31"/>
        <v>3.5</v>
      </c>
      <c r="K34" s="3">
        <v>2</v>
      </c>
      <c r="L34" s="12">
        <f t="shared" si="32"/>
        <v>7</v>
      </c>
      <c r="M34" s="19">
        <v>80.233333333333334</v>
      </c>
      <c r="N34" s="4" t="str">
        <f t="shared" si="33"/>
        <v>A</v>
      </c>
      <c r="O34" s="3">
        <f t="shared" si="34"/>
        <v>4</v>
      </c>
      <c r="P34" s="3">
        <v>2</v>
      </c>
      <c r="Q34" s="12">
        <f t="shared" si="35"/>
        <v>8</v>
      </c>
      <c r="R34" s="6">
        <v>80.3</v>
      </c>
      <c r="S34" s="4" t="str">
        <f t="shared" si="36"/>
        <v>A</v>
      </c>
      <c r="T34" s="3">
        <f t="shared" si="37"/>
        <v>4</v>
      </c>
      <c r="U34" s="3">
        <v>2</v>
      </c>
      <c r="V34" s="12">
        <f t="shared" si="38"/>
        <v>8</v>
      </c>
      <c r="W34" s="3">
        <v>80</v>
      </c>
      <c r="X34" s="4" t="str">
        <f t="shared" si="39"/>
        <v>A</v>
      </c>
      <c r="Y34" s="3">
        <f t="shared" si="40"/>
        <v>4</v>
      </c>
      <c r="Z34" s="3">
        <v>3</v>
      </c>
      <c r="AA34" s="12">
        <f t="shared" si="41"/>
        <v>12</v>
      </c>
      <c r="AB34" s="6">
        <v>73.5</v>
      </c>
      <c r="AC34" s="4" t="str">
        <f t="shared" si="42"/>
        <v>B</v>
      </c>
      <c r="AD34" s="3">
        <f t="shared" si="43"/>
        <v>3</v>
      </c>
      <c r="AE34" s="3">
        <v>2</v>
      </c>
      <c r="AF34" s="12">
        <f t="shared" si="44"/>
        <v>6</v>
      </c>
      <c r="AG34" s="6">
        <v>80.233333333333334</v>
      </c>
      <c r="AH34" s="4" t="str">
        <f t="shared" si="45"/>
        <v>A</v>
      </c>
      <c r="AI34" s="3">
        <f t="shared" si="46"/>
        <v>4</v>
      </c>
      <c r="AJ34" s="3">
        <v>2</v>
      </c>
      <c r="AK34" s="12">
        <f t="shared" si="47"/>
        <v>8</v>
      </c>
      <c r="AL34" s="7">
        <v>79.599999999999994</v>
      </c>
      <c r="AM34" s="4" t="str">
        <f t="shared" si="48"/>
        <v>B+</v>
      </c>
      <c r="AN34" s="3">
        <f t="shared" si="49"/>
        <v>3.5</v>
      </c>
      <c r="AO34" s="3">
        <v>2</v>
      </c>
      <c r="AP34" s="12">
        <f t="shared" si="50"/>
        <v>7</v>
      </c>
      <c r="AQ34" s="14">
        <v>83.833333333333329</v>
      </c>
      <c r="AR34" s="4" t="str">
        <f t="shared" si="51"/>
        <v>A</v>
      </c>
      <c r="AS34" s="3">
        <f t="shared" si="52"/>
        <v>4</v>
      </c>
      <c r="AT34" s="3">
        <v>2</v>
      </c>
      <c r="AU34" s="12">
        <f t="shared" si="53"/>
        <v>8</v>
      </c>
      <c r="AV34" s="9">
        <v>71</v>
      </c>
      <c r="AW34" s="4" t="str">
        <f t="shared" si="54"/>
        <v>B</v>
      </c>
      <c r="AX34" s="3">
        <f t="shared" si="55"/>
        <v>3</v>
      </c>
      <c r="AY34" s="3">
        <v>3</v>
      </c>
      <c r="AZ34" s="12">
        <f t="shared" si="56"/>
        <v>9</v>
      </c>
      <c r="BA34" s="3">
        <v>70.724999999999994</v>
      </c>
      <c r="BB34" s="4" t="str">
        <f t="shared" si="57"/>
        <v>B</v>
      </c>
      <c r="BC34" s="3">
        <f t="shared" si="58"/>
        <v>3</v>
      </c>
      <c r="BD34" s="3">
        <v>2</v>
      </c>
      <c r="BE34" s="12">
        <f t="shared" si="59"/>
        <v>6</v>
      </c>
      <c r="BF34" s="3">
        <v>80.599999999999994</v>
      </c>
      <c r="BG34" s="4" t="str">
        <f t="shared" si="60"/>
        <v>A</v>
      </c>
      <c r="BH34" s="3">
        <f t="shared" si="61"/>
        <v>4</v>
      </c>
      <c r="BI34" s="3">
        <v>2</v>
      </c>
      <c r="BJ34" s="12">
        <f t="shared" si="62"/>
        <v>8</v>
      </c>
      <c r="BK34" s="16">
        <v>80</v>
      </c>
      <c r="BL34" s="4" t="str">
        <f t="shared" si="63"/>
        <v>A</v>
      </c>
      <c r="BM34" s="3">
        <f t="shared" si="64"/>
        <v>4</v>
      </c>
      <c r="BN34" s="3">
        <v>2</v>
      </c>
      <c r="BO34" s="12">
        <f t="shared" si="65"/>
        <v>8</v>
      </c>
      <c r="BP34" s="19">
        <v>80.95</v>
      </c>
      <c r="BQ34" s="4" t="str">
        <f t="shared" si="66"/>
        <v>A</v>
      </c>
      <c r="BR34" s="3">
        <f t="shared" si="67"/>
        <v>4</v>
      </c>
      <c r="BS34" s="3">
        <v>2</v>
      </c>
      <c r="BT34" s="12">
        <f t="shared" si="68"/>
        <v>8</v>
      </c>
      <c r="BU34" s="6">
        <v>75.2</v>
      </c>
      <c r="BV34" s="4" t="str">
        <f t="shared" si="69"/>
        <v>B+</v>
      </c>
      <c r="BW34" s="3">
        <f t="shared" si="70"/>
        <v>3.5</v>
      </c>
      <c r="BX34" s="3">
        <v>2</v>
      </c>
      <c r="BY34" s="12">
        <f t="shared" si="71"/>
        <v>7</v>
      </c>
      <c r="BZ34" s="3">
        <v>80.2</v>
      </c>
      <c r="CA34" s="4" t="str">
        <f t="shared" si="88"/>
        <v>A</v>
      </c>
      <c r="CB34" s="3">
        <f t="shared" si="92"/>
        <v>4</v>
      </c>
      <c r="CC34" s="3">
        <v>2</v>
      </c>
      <c r="CD34" s="12">
        <f t="shared" si="72"/>
        <v>8</v>
      </c>
      <c r="CE34" s="6">
        <v>78.400000000000006</v>
      </c>
      <c r="CF34" s="4" t="str">
        <f t="shared" si="16"/>
        <v>B+</v>
      </c>
      <c r="CG34" s="3">
        <f t="shared" si="73"/>
        <v>3.5</v>
      </c>
      <c r="CH34" s="3">
        <v>2</v>
      </c>
      <c r="CI34" s="12">
        <f t="shared" si="74"/>
        <v>7</v>
      </c>
      <c r="CJ34" s="6">
        <v>77.075000000000003</v>
      </c>
      <c r="CK34" s="4" t="str">
        <f t="shared" si="18"/>
        <v>B+</v>
      </c>
      <c r="CL34" s="3">
        <f t="shared" si="75"/>
        <v>3.5</v>
      </c>
      <c r="CM34" s="3">
        <v>2</v>
      </c>
      <c r="CN34" s="12">
        <f t="shared" si="76"/>
        <v>7</v>
      </c>
      <c r="CO34" s="7">
        <v>72</v>
      </c>
      <c r="CP34" s="4" t="str">
        <f t="shared" si="90"/>
        <v>B</v>
      </c>
      <c r="CQ34" s="3">
        <f t="shared" si="93"/>
        <v>3</v>
      </c>
      <c r="CR34" s="3">
        <v>2</v>
      </c>
      <c r="CS34" s="12">
        <f t="shared" si="77"/>
        <v>6</v>
      </c>
      <c r="CT34" s="14">
        <v>80.599999999999994</v>
      </c>
      <c r="CU34" s="4" t="str">
        <f t="shared" si="22"/>
        <v>A</v>
      </c>
      <c r="CV34" s="3">
        <f t="shared" si="78"/>
        <v>4</v>
      </c>
      <c r="CW34" s="3">
        <v>2</v>
      </c>
      <c r="CX34" s="12">
        <f t="shared" si="79"/>
        <v>8</v>
      </c>
      <c r="CY34" s="21">
        <v>80.599999999999994</v>
      </c>
      <c r="CZ34" s="4" t="str">
        <f t="shared" si="24"/>
        <v>A</v>
      </c>
      <c r="DA34" s="3">
        <f t="shared" si="80"/>
        <v>4</v>
      </c>
      <c r="DB34" s="3">
        <v>2</v>
      </c>
      <c r="DC34" s="12">
        <f t="shared" si="81"/>
        <v>8</v>
      </c>
      <c r="DD34" s="3">
        <v>78</v>
      </c>
      <c r="DE34" s="4" t="str">
        <f t="shared" si="26"/>
        <v>B+</v>
      </c>
      <c r="DF34" s="3">
        <f t="shared" si="82"/>
        <v>3.5</v>
      </c>
      <c r="DG34" s="3">
        <v>2</v>
      </c>
      <c r="DH34" s="12">
        <f t="shared" si="83"/>
        <v>7</v>
      </c>
      <c r="DI34" s="3">
        <v>80</v>
      </c>
      <c r="DJ34" s="4" t="str">
        <f t="shared" si="28"/>
        <v>A</v>
      </c>
      <c r="DK34" s="3">
        <f t="shared" si="84"/>
        <v>4</v>
      </c>
      <c r="DL34" s="3">
        <v>4</v>
      </c>
      <c r="DM34" s="12">
        <f t="shared" si="85"/>
        <v>16</v>
      </c>
      <c r="DN34" s="3">
        <v>88</v>
      </c>
      <c r="DO34" s="3">
        <v>24</v>
      </c>
      <c r="DP34" s="3">
        <v>90</v>
      </c>
      <c r="DQ34" s="3">
        <v>24</v>
      </c>
      <c r="DR34" s="3">
        <v>178</v>
      </c>
      <c r="DS34" s="3">
        <v>48</v>
      </c>
      <c r="DT34" s="9">
        <v>3.7083333333333335</v>
      </c>
      <c r="DU34" s="9">
        <v>3.7083333333333335</v>
      </c>
      <c r="DV34" s="12" t="str">
        <f t="shared" si="86"/>
        <v>Cum Laude</v>
      </c>
      <c r="DW34" s="12" t="str">
        <f t="shared" si="87"/>
        <v>Excellent</v>
      </c>
      <c r="DX34" s="22" t="s">
        <v>175</v>
      </c>
      <c r="DY34" s="26" t="s">
        <v>211</v>
      </c>
    </row>
    <row r="35" spans="1:129" x14ac:dyDescent="0.25">
      <c r="A35" s="3">
        <v>33</v>
      </c>
      <c r="B35" s="2" t="s">
        <v>58</v>
      </c>
      <c r="C35" s="2">
        <v>172312052</v>
      </c>
      <c r="D35" s="11" t="s">
        <v>120</v>
      </c>
      <c r="E35" s="13" t="s">
        <v>121</v>
      </c>
      <c r="F35" s="28" t="s">
        <v>218</v>
      </c>
      <c r="G35" s="27" t="s">
        <v>249</v>
      </c>
      <c r="H35" s="16">
        <v>76.333333333333329</v>
      </c>
      <c r="I35" s="4" t="str">
        <f t="shared" si="30"/>
        <v>B+</v>
      </c>
      <c r="J35" s="3">
        <f t="shared" si="31"/>
        <v>3.5</v>
      </c>
      <c r="K35" s="3">
        <v>2</v>
      </c>
      <c r="L35" s="12">
        <f t="shared" si="32"/>
        <v>7</v>
      </c>
      <c r="M35" s="19">
        <v>83.166666666666671</v>
      </c>
      <c r="N35" s="4" t="str">
        <f t="shared" si="33"/>
        <v>A</v>
      </c>
      <c r="O35" s="3">
        <f t="shared" si="34"/>
        <v>4</v>
      </c>
      <c r="P35" s="3">
        <v>2</v>
      </c>
      <c r="Q35" s="12">
        <f t="shared" si="35"/>
        <v>8</v>
      </c>
      <c r="R35" s="6">
        <v>78.599999999999994</v>
      </c>
      <c r="S35" s="4" t="str">
        <f t="shared" si="36"/>
        <v>B+</v>
      </c>
      <c r="T35" s="3">
        <f t="shared" si="37"/>
        <v>3.5</v>
      </c>
      <c r="U35" s="3">
        <v>2</v>
      </c>
      <c r="V35" s="12">
        <f t="shared" si="38"/>
        <v>7</v>
      </c>
      <c r="W35" s="3">
        <v>80</v>
      </c>
      <c r="X35" s="4" t="str">
        <f t="shared" si="39"/>
        <v>A</v>
      </c>
      <c r="Y35" s="3">
        <f t="shared" si="40"/>
        <v>4</v>
      </c>
      <c r="Z35" s="3">
        <v>3</v>
      </c>
      <c r="AA35" s="12">
        <f t="shared" si="41"/>
        <v>12</v>
      </c>
      <c r="AB35" s="6">
        <v>80.45</v>
      </c>
      <c r="AC35" s="4" t="str">
        <f t="shared" si="42"/>
        <v>A</v>
      </c>
      <c r="AD35" s="3">
        <f t="shared" si="43"/>
        <v>4</v>
      </c>
      <c r="AE35" s="3">
        <v>2</v>
      </c>
      <c r="AF35" s="12">
        <f t="shared" si="44"/>
        <v>8</v>
      </c>
      <c r="AG35" s="6">
        <v>83.166666666666671</v>
      </c>
      <c r="AH35" s="4" t="str">
        <f t="shared" si="45"/>
        <v>A</v>
      </c>
      <c r="AI35" s="3">
        <f t="shared" si="46"/>
        <v>4</v>
      </c>
      <c r="AJ35" s="3">
        <v>2</v>
      </c>
      <c r="AK35" s="12">
        <f t="shared" si="47"/>
        <v>8</v>
      </c>
      <c r="AL35" s="7">
        <v>78.800000000000011</v>
      </c>
      <c r="AM35" s="4" t="str">
        <f t="shared" si="48"/>
        <v>B+</v>
      </c>
      <c r="AN35" s="3">
        <f t="shared" si="49"/>
        <v>3.5</v>
      </c>
      <c r="AO35" s="3">
        <v>2</v>
      </c>
      <c r="AP35" s="12">
        <f t="shared" si="50"/>
        <v>7</v>
      </c>
      <c r="AQ35" s="14">
        <v>81.166666666666671</v>
      </c>
      <c r="AR35" s="4" t="str">
        <f t="shared" si="51"/>
        <v>A</v>
      </c>
      <c r="AS35" s="3">
        <f t="shared" si="52"/>
        <v>4</v>
      </c>
      <c r="AT35" s="3">
        <v>2</v>
      </c>
      <c r="AU35" s="12">
        <f t="shared" si="53"/>
        <v>8</v>
      </c>
      <c r="AV35" s="9">
        <v>65</v>
      </c>
      <c r="AW35" s="4" t="str">
        <f t="shared" si="54"/>
        <v>C+</v>
      </c>
      <c r="AX35" s="3">
        <f t="shared" si="55"/>
        <v>2.5</v>
      </c>
      <c r="AY35" s="3">
        <v>3</v>
      </c>
      <c r="AZ35" s="12">
        <f t="shared" si="56"/>
        <v>7.5</v>
      </c>
      <c r="BA35" s="3">
        <v>71.325000000000003</v>
      </c>
      <c r="BB35" s="4" t="str">
        <f t="shared" si="57"/>
        <v>B</v>
      </c>
      <c r="BC35" s="3">
        <f t="shared" si="58"/>
        <v>3</v>
      </c>
      <c r="BD35" s="3">
        <v>2</v>
      </c>
      <c r="BE35" s="12">
        <f t="shared" si="59"/>
        <v>6</v>
      </c>
      <c r="BF35" s="3">
        <v>80</v>
      </c>
      <c r="BG35" s="4" t="str">
        <f t="shared" si="60"/>
        <v>A</v>
      </c>
      <c r="BH35" s="3">
        <f t="shared" si="61"/>
        <v>4</v>
      </c>
      <c r="BI35" s="3">
        <v>2</v>
      </c>
      <c r="BJ35" s="12">
        <f t="shared" si="62"/>
        <v>8</v>
      </c>
      <c r="BK35" s="16">
        <v>77.760000000000005</v>
      </c>
      <c r="BL35" s="4" t="str">
        <f t="shared" si="63"/>
        <v>B+</v>
      </c>
      <c r="BM35" s="3">
        <f t="shared" si="64"/>
        <v>3.5</v>
      </c>
      <c r="BN35" s="3">
        <v>2</v>
      </c>
      <c r="BO35" s="12">
        <f t="shared" si="65"/>
        <v>7</v>
      </c>
      <c r="BP35" s="19">
        <v>79.349999999999994</v>
      </c>
      <c r="BQ35" s="4" t="str">
        <f t="shared" si="66"/>
        <v>B+</v>
      </c>
      <c r="BR35" s="3">
        <f t="shared" si="67"/>
        <v>3.5</v>
      </c>
      <c r="BS35" s="3">
        <v>2</v>
      </c>
      <c r="BT35" s="12">
        <f t="shared" si="68"/>
        <v>7</v>
      </c>
      <c r="BU35" s="6">
        <v>75</v>
      </c>
      <c r="BV35" s="4" t="str">
        <f t="shared" si="69"/>
        <v>B+</v>
      </c>
      <c r="BW35" s="3">
        <f t="shared" si="70"/>
        <v>3.5</v>
      </c>
      <c r="BX35" s="3">
        <v>2</v>
      </c>
      <c r="BY35" s="12">
        <f t="shared" si="71"/>
        <v>7</v>
      </c>
      <c r="BZ35" s="3">
        <v>78.599999999999994</v>
      </c>
      <c r="CA35" s="4" t="str">
        <f t="shared" si="88"/>
        <v>B+</v>
      </c>
      <c r="CB35" s="3">
        <f t="shared" si="92"/>
        <v>3.5</v>
      </c>
      <c r="CC35" s="3">
        <v>2</v>
      </c>
      <c r="CD35" s="12">
        <f t="shared" si="72"/>
        <v>7</v>
      </c>
      <c r="CE35" s="6">
        <v>75.599999999999994</v>
      </c>
      <c r="CF35" s="4" t="str">
        <f t="shared" si="16"/>
        <v>B+</v>
      </c>
      <c r="CG35" s="3">
        <f t="shared" si="73"/>
        <v>3.5</v>
      </c>
      <c r="CH35" s="3">
        <v>2</v>
      </c>
      <c r="CI35" s="12">
        <f t="shared" si="74"/>
        <v>7</v>
      </c>
      <c r="CJ35" s="6">
        <v>66</v>
      </c>
      <c r="CK35" s="4" t="str">
        <f t="shared" si="18"/>
        <v>C+</v>
      </c>
      <c r="CL35" s="3">
        <f t="shared" si="75"/>
        <v>2.5</v>
      </c>
      <c r="CM35" s="3">
        <v>2</v>
      </c>
      <c r="CN35" s="12">
        <f t="shared" si="76"/>
        <v>5</v>
      </c>
      <c r="CO35" s="7">
        <v>70.400000000000006</v>
      </c>
      <c r="CP35" s="4" t="str">
        <f t="shared" si="90"/>
        <v>B</v>
      </c>
      <c r="CQ35" s="3">
        <f t="shared" si="93"/>
        <v>3</v>
      </c>
      <c r="CR35" s="3">
        <v>2</v>
      </c>
      <c r="CS35" s="12">
        <f t="shared" si="77"/>
        <v>6</v>
      </c>
      <c r="CT35" s="14">
        <v>80.2</v>
      </c>
      <c r="CU35" s="4" t="str">
        <f t="shared" si="22"/>
        <v>A</v>
      </c>
      <c r="CV35" s="3">
        <f t="shared" si="78"/>
        <v>4</v>
      </c>
      <c r="CW35" s="3">
        <v>2</v>
      </c>
      <c r="CX35" s="12">
        <f t="shared" si="79"/>
        <v>8</v>
      </c>
      <c r="CY35" s="21">
        <v>80.2</v>
      </c>
      <c r="CZ35" s="4" t="str">
        <f t="shared" si="24"/>
        <v>A</v>
      </c>
      <c r="DA35" s="3">
        <f t="shared" si="80"/>
        <v>4</v>
      </c>
      <c r="DB35" s="3">
        <v>2</v>
      </c>
      <c r="DC35" s="12">
        <f t="shared" si="81"/>
        <v>8</v>
      </c>
      <c r="DD35" s="3">
        <v>77.599999999999994</v>
      </c>
      <c r="DE35" s="4" t="str">
        <f t="shared" si="26"/>
        <v>B+</v>
      </c>
      <c r="DF35" s="3">
        <f t="shared" si="82"/>
        <v>3.5</v>
      </c>
      <c r="DG35" s="3">
        <v>2</v>
      </c>
      <c r="DH35" s="12">
        <f t="shared" si="83"/>
        <v>7</v>
      </c>
      <c r="DI35" s="3">
        <v>79.5</v>
      </c>
      <c r="DJ35" s="4" t="str">
        <f t="shared" si="28"/>
        <v>B+</v>
      </c>
      <c r="DK35" s="3">
        <f t="shared" si="84"/>
        <v>3.5</v>
      </c>
      <c r="DL35" s="3">
        <v>4</v>
      </c>
      <c r="DM35" s="12">
        <f t="shared" si="85"/>
        <v>14</v>
      </c>
      <c r="DN35" s="3">
        <v>86.5</v>
      </c>
      <c r="DO35" s="3">
        <v>24</v>
      </c>
      <c r="DP35" s="3">
        <v>83</v>
      </c>
      <c r="DQ35" s="3">
        <v>24</v>
      </c>
      <c r="DR35" s="3">
        <v>169.5</v>
      </c>
      <c r="DS35" s="3">
        <v>48</v>
      </c>
      <c r="DT35" s="9">
        <v>3.53125</v>
      </c>
      <c r="DU35" s="9">
        <v>3.53125</v>
      </c>
      <c r="DV35" s="12" t="str">
        <f t="shared" si="86"/>
        <v>Cum Laude</v>
      </c>
      <c r="DW35" s="12" t="str">
        <f t="shared" si="87"/>
        <v>Excellent</v>
      </c>
      <c r="DX35" s="22" t="s">
        <v>155</v>
      </c>
      <c r="DY35" s="26" t="s">
        <v>212</v>
      </c>
    </row>
    <row r="36" spans="1:129" ht="30" x14ac:dyDescent="0.25">
      <c r="A36" s="3">
        <v>34</v>
      </c>
      <c r="B36" s="2" t="s">
        <v>59</v>
      </c>
      <c r="C36" s="2">
        <v>172312053</v>
      </c>
      <c r="D36" s="11" t="s">
        <v>88</v>
      </c>
      <c r="E36" s="13" t="s">
        <v>122</v>
      </c>
      <c r="F36" s="28" t="s">
        <v>218</v>
      </c>
      <c r="G36" s="27" t="s">
        <v>250</v>
      </c>
      <c r="H36" s="16">
        <v>80</v>
      </c>
      <c r="I36" s="4" t="str">
        <f t="shared" si="30"/>
        <v>A</v>
      </c>
      <c r="J36" s="3">
        <f t="shared" si="31"/>
        <v>4</v>
      </c>
      <c r="K36" s="3">
        <v>2</v>
      </c>
      <c r="L36" s="12">
        <f t="shared" si="32"/>
        <v>8</v>
      </c>
      <c r="M36" s="19">
        <v>87.166666666666671</v>
      </c>
      <c r="N36" s="4" t="str">
        <f t="shared" si="33"/>
        <v>A</v>
      </c>
      <c r="O36" s="3">
        <f t="shared" si="34"/>
        <v>4</v>
      </c>
      <c r="P36" s="3">
        <v>2</v>
      </c>
      <c r="Q36" s="12">
        <f t="shared" si="35"/>
        <v>8</v>
      </c>
      <c r="R36" s="6">
        <v>80</v>
      </c>
      <c r="S36" s="4" t="str">
        <f t="shared" si="36"/>
        <v>A</v>
      </c>
      <c r="T36" s="3">
        <f t="shared" si="37"/>
        <v>4</v>
      </c>
      <c r="U36" s="3">
        <v>2</v>
      </c>
      <c r="V36" s="12">
        <f t="shared" si="38"/>
        <v>8</v>
      </c>
      <c r="W36" s="3">
        <v>78.800000000000011</v>
      </c>
      <c r="X36" s="4" t="str">
        <f t="shared" si="39"/>
        <v>B+</v>
      </c>
      <c r="Y36" s="3">
        <f t="shared" si="40"/>
        <v>3.5</v>
      </c>
      <c r="Z36" s="3">
        <v>3</v>
      </c>
      <c r="AA36" s="12">
        <f t="shared" si="41"/>
        <v>10.5</v>
      </c>
      <c r="AB36" s="6">
        <v>80.7</v>
      </c>
      <c r="AC36" s="4" t="str">
        <f t="shared" si="42"/>
        <v>A</v>
      </c>
      <c r="AD36" s="3">
        <f t="shared" si="43"/>
        <v>4</v>
      </c>
      <c r="AE36" s="3">
        <v>2</v>
      </c>
      <c r="AF36" s="12">
        <f t="shared" si="44"/>
        <v>8</v>
      </c>
      <c r="AG36" s="6">
        <v>87.166666666666671</v>
      </c>
      <c r="AH36" s="4" t="str">
        <f t="shared" si="45"/>
        <v>A</v>
      </c>
      <c r="AI36" s="3">
        <f t="shared" si="46"/>
        <v>4</v>
      </c>
      <c r="AJ36" s="3">
        <v>2</v>
      </c>
      <c r="AK36" s="12">
        <f t="shared" si="47"/>
        <v>8</v>
      </c>
      <c r="AL36" s="7">
        <v>80.599999999999994</v>
      </c>
      <c r="AM36" s="4" t="str">
        <f t="shared" si="48"/>
        <v>A</v>
      </c>
      <c r="AN36" s="3">
        <f t="shared" si="49"/>
        <v>4</v>
      </c>
      <c r="AO36" s="3">
        <v>2</v>
      </c>
      <c r="AP36" s="12">
        <f t="shared" si="50"/>
        <v>8</v>
      </c>
      <c r="AQ36" s="14">
        <v>83.966666666666669</v>
      </c>
      <c r="AR36" s="4" t="str">
        <f t="shared" si="51"/>
        <v>A</v>
      </c>
      <c r="AS36" s="3">
        <f t="shared" si="52"/>
        <v>4</v>
      </c>
      <c r="AT36" s="3">
        <v>2</v>
      </c>
      <c r="AU36" s="12">
        <f t="shared" si="53"/>
        <v>8</v>
      </c>
      <c r="AV36" s="9">
        <v>73.599999999999994</v>
      </c>
      <c r="AW36" s="4" t="str">
        <f t="shared" si="54"/>
        <v>B</v>
      </c>
      <c r="AX36" s="3">
        <f t="shared" si="55"/>
        <v>3</v>
      </c>
      <c r="AY36" s="3">
        <v>3</v>
      </c>
      <c r="AZ36" s="12">
        <f t="shared" si="56"/>
        <v>9</v>
      </c>
      <c r="BA36" s="3">
        <v>75.924999999999997</v>
      </c>
      <c r="BB36" s="4" t="str">
        <f t="shared" si="57"/>
        <v>B+</v>
      </c>
      <c r="BC36" s="3">
        <f t="shared" si="58"/>
        <v>3.5</v>
      </c>
      <c r="BD36" s="3">
        <v>2</v>
      </c>
      <c r="BE36" s="12">
        <f t="shared" si="59"/>
        <v>7</v>
      </c>
      <c r="BF36" s="3">
        <v>80.599999999999994</v>
      </c>
      <c r="BG36" s="4" t="str">
        <f t="shared" si="60"/>
        <v>A</v>
      </c>
      <c r="BH36" s="3">
        <f t="shared" si="61"/>
        <v>4</v>
      </c>
      <c r="BI36" s="3">
        <v>2</v>
      </c>
      <c r="BJ36" s="12">
        <f t="shared" si="62"/>
        <v>8</v>
      </c>
      <c r="BK36" s="16">
        <v>81.599999999999994</v>
      </c>
      <c r="BL36" s="4" t="str">
        <f t="shared" si="63"/>
        <v>A</v>
      </c>
      <c r="BM36" s="3">
        <f t="shared" si="64"/>
        <v>4</v>
      </c>
      <c r="BN36" s="3">
        <v>2</v>
      </c>
      <c r="BO36" s="12">
        <f t="shared" si="65"/>
        <v>8</v>
      </c>
      <c r="BP36" s="19">
        <v>80.55</v>
      </c>
      <c r="BQ36" s="4" t="str">
        <f t="shared" si="66"/>
        <v>A</v>
      </c>
      <c r="BR36" s="3">
        <f t="shared" si="67"/>
        <v>4</v>
      </c>
      <c r="BS36" s="3">
        <v>2</v>
      </c>
      <c r="BT36" s="12">
        <f t="shared" si="68"/>
        <v>8</v>
      </c>
      <c r="BU36" s="6">
        <v>71</v>
      </c>
      <c r="BV36" s="4" t="str">
        <f t="shared" si="69"/>
        <v>B</v>
      </c>
      <c r="BW36" s="3">
        <f t="shared" si="70"/>
        <v>3</v>
      </c>
      <c r="BX36" s="3">
        <v>2</v>
      </c>
      <c r="BY36" s="12">
        <f t="shared" si="71"/>
        <v>6</v>
      </c>
      <c r="BZ36" s="3">
        <v>83.6</v>
      </c>
      <c r="CA36" s="4" t="str">
        <f t="shared" si="88"/>
        <v>A</v>
      </c>
      <c r="CB36" s="3">
        <f t="shared" si="92"/>
        <v>4</v>
      </c>
      <c r="CC36" s="3">
        <v>2</v>
      </c>
      <c r="CD36" s="12">
        <f t="shared" si="72"/>
        <v>8</v>
      </c>
      <c r="CE36" s="6">
        <v>82.4</v>
      </c>
      <c r="CF36" s="4" t="str">
        <f t="shared" si="16"/>
        <v>A</v>
      </c>
      <c r="CG36" s="3">
        <f t="shared" si="73"/>
        <v>4</v>
      </c>
      <c r="CH36" s="3">
        <v>2</v>
      </c>
      <c r="CI36" s="12">
        <f t="shared" si="74"/>
        <v>8</v>
      </c>
      <c r="CJ36" s="6">
        <v>79.125</v>
      </c>
      <c r="CK36" s="4" t="str">
        <f t="shared" si="18"/>
        <v>B+</v>
      </c>
      <c r="CL36" s="3">
        <f t="shared" si="75"/>
        <v>3.5</v>
      </c>
      <c r="CM36" s="3">
        <v>2</v>
      </c>
      <c r="CN36" s="12">
        <f t="shared" si="76"/>
        <v>7</v>
      </c>
      <c r="CO36" s="7">
        <v>80</v>
      </c>
      <c r="CP36" s="4" t="str">
        <f t="shared" si="90"/>
        <v>A</v>
      </c>
      <c r="CQ36" s="3">
        <f t="shared" si="93"/>
        <v>4</v>
      </c>
      <c r="CR36" s="3">
        <v>2</v>
      </c>
      <c r="CS36" s="12">
        <f t="shared" si="77"/>
        <v>8</v>
      </c>
      <c r="CT36" s="14">
        <v>80.2</v>
      </c>
      <c r="CU36" s="4" t="str">
        <f t="shared" si="22"/>
        <v>A</v>
      </c>
      <c r="CV36" s="3">
        <f t="shared" si="78"/>
        <v>4</v>
      </c>
      <c r="CW36" s="3">
        <v>2</v>
      </c>
      <c r="CX36" s="12">
        <f t="shared" si="79"/>
        <v>8</v>
      </c>
      <c r="CY36" s="21">
        <v>80.2</v>
      </c>
      <c r="CZ36" s="4" t="str">
        <f t="shared" si="24"/>
        <v>A</v>
      </c>
      <c r="DA36" s="3">
        <f t="shared" si="80"/>
        <v>4</v>
      </c>
      <c r="DB36" s="3">
        <v>2</v>
      </c>
      <c r="DC36" s="12">
        <f t="shared" si="81"/>
        <v>8</v>
      </c>
      <c r="DD36" s="3">
        <v>78.8</v>
      </c>
      <c r="DE36" s="4" t="str">
        <f t="shared" si="26"/>
        <v>B+</v>
      </c>
      <c r="DF36" s="3">
        <f t="shared" si="82"/>
        <v>3.5</v>
      </c>
      <c r="DG36" s="3">
        <v>2</v>
      </c>
      <c r="DH36" s="12">
        <f t="shared" si="83"/>
        <v>7</v>
      </c>
      <c r="DI36" s="3">
        <v>80.5</v>
      </c>
      <c r="DJ36" s="4" t="str">
        <f t="shared" si="28"/>
        <v>A</v>
      </c>
      <c r="DK36" s="3">
        <f t="shared" si="84"/>
        <v>4</v>
      </c>
      <c r="DL36" s="3">
        <v>4</v>
      </c>
      <c r="DM36" s="12">
        <f t="shared" si="85"/>
        <v>16</v>
      </c>
      <c r="DN36" s="3">
        <v>90.5</v>
      </c>
      <c r="DO36" s="3">
        <v>24</v>
      </c>
      <c r="DP36" s="3">
        <v>92</v>
      </c>
      <c r="DQ36" s="3">
        <v>24</v>
      </c>
      <c r="DR36" s="3">
        <v>182.5</v>
      </c>
      <c r="DS36" s="3">
        <v>48</v>
      </c>
      <c r="DT36" s="9">
        <v>3.8020833333333335</v>
      </c>
      <c r="DU36" s="9">
        <v>3.8020833333333335</v>
      </c>
      <c r="DV36" s="12" t="str">
        <f t="shared" si="86"/>
        <v>Cum Laude</v>
      </c>
      <c r="DW36" s="12" t="str">
        <f t="shared" si="87"/>
        <v>Excellent</v>
      </c>
      <c r="DX36" s="22" t="s">
        <v>161</v>
      </c>
      <c r="DY36" s="26" t="s">
        <v>213</v>
      </c>
    </row>
    <row r="37" spans="1:129" x14ac:dyDescent="0.25">
      <c r="A37" s="3">
        <v>35</v>
      </c>
      <c r="B37" s="2" t="s">
        <v>60</v>
      </c>
      <c r="C37" s="2">
        <v>172312054</v>
      </c>
      <c r="D37" s="11" t="s">
        <v>123</v>
      </c>
      <c r="E37" s="13" t="s">
        <v>124</v>
      </c>
      <c r="F37" s="28" t="s">
        <v>218</v>
      </c>
      <c r="G37" s="27" t="s">
        <v>251</v>
      </c>
      <c r="H37" s="16">
        <v>76.333333333333329</v>
      </c>
      <c r="I37" s="4" t="str">
        <f t="shared" si="30"/>
        <v>B+</v>
      </c>
      <c r="J37" s="3">
        <f t="shared" si="31"/>
        <v>3.5</v>
      </c>
      <c r="K37" s="3">
        <v>2</v>
      </c>
      <c r="L37" s="12">
        <f t="shared" si="32"/>
        <v>7</v>
      </c>
      <c r="M37" s="19">
        <v>83.3</v>
      </c>
      <c r="N37" s="4" t="str">
        <f t="shared" si="33"/>
        <v>A</v>
      </c>
      <c r="O37" s="3">
        <f t="shared" si="34"/>
        <v>4</v>
      </c>
      <c r="P37" s="3">
        <v>2</v>
      </c>
      <c r="Q37" s="12">
        <f t="shared" si="35"/>
        <v>8</v>
      </c>
      <c r="R37" s="6">
        <v>78.800000000000011</v>
      </c>
      <c r="S37" s="4" t="str">
        <f t="shared" si="36"/>
        <v>B+</v>
      </c>
      <c r="T37" s="3">
        <f t="shared" si="37"/>
        <v>3.5</v>
      </c>
      <c r="U37" s="3">
        <v>2</v>
      </c>
      <c r="V37" s="12">
        <f t="shared" si="38"/>
        <v>7</v>
      </c>
      <c r="W37" s="3">
        <v>80.599999999999994</v>
      </c>
      <c r="X37" s="4" t="str">
        <f t="shared" si="39"/>
        <v>A</v>
      </c>
      <c r="Y37" s="3">
        <f t="shared" si="40"/>
        <v>4</v>
      </c>
      <c r="Z37" s="3">
        <v>3</v>
      </c>
      <c r="AA37" s="12">
        <f t="shared" si="41"/>
        <v>12</v>
      </c>
      <c r="AB37" s="6">
        <v>80.950000000000017</v>
      </c>
      <c r="AC37" s="4" t="str">
        <f t="shared" si="42"/>
        <v>A</v>
      </c>
      <c r="AD37" s="3">
        <f t="shared" si="43"/>
        <v>4</v>
      </c>
      <c r="AE37" s="3">
        <v>2</v>
      </c>
      <c r="AF37" s="12">
        <f t="shared" si="44"/>
        <v>8</v>
      </c>
      <c r="AG37" s="6">
        <v>83.3</v>
      </c>
      <c r="AH37" s="4" t="str">
        <f t="shared" si="45"/>
        <v>A</v>
      </c>
      <c r="AI37" s="3">
        <f t="shared" si="46"/>
        <v>4</v>
      </c>
      <c r="AJ37" s="3">
        <v>2</v>
      </c>
      <c r="AK37" s="12">
        <f t="shared" si="47"/>
        <v>8</v>
      </c>
      <c r="AL37" s="7">
        <v>79.2</v>
      </c>
      <c r="AM37" s="4" t="str">
        <f t="shared" si="48"/>
        <v>B+</v>
      </c>
      <c r="AN37" s="3">
        <f t="shared" si="49"/>
        <v>3.5</v>
      </c>
      <c r="AO37" s="3">
        <v>2</v>
      </c>
      <c r="AP37" s="12">
        <f t="shared" si="50"/>
        <v>7</v>
      </c>
      <c r="AQ37" s="14">
        <v>81.833333333333329</v>
      </c>
      <c r="AR37" s="4" t="str">
        <f t="shared" si="51"/>
        <v>A</v>
      </c>
      <c r="AS37" s="3">
        <f t="shared" si="52"/>
        <v>4</v>
      </c>
      <c r="AT37" s="3">
        <v>2</v>
      </c>
      <c r="AU37" s="12">
        <f t="shared" si="53"/>
        <v>8</v>
      </c>
      <c r="AV37" s="9">
        <v>72.400000000000006</v>
      </c>
      <c r="AW37" s="4" t="str">
        <f t="shared" si="54"/>
        <v>B</v>
      </c>
      <c r="AX37" s="3">
        <f t="shared" si="55"/>
        <v>3</v>
      </c>
      <c r="AY37" s="3">
        <v>3</v>
      </c>
      <c r="AZ37" s="12">
        <f t="shared" si="56"/>
        <v>9</v>
      </c>
      <c r="BA37" s="3">
        <v>74.924999999999997</v>
      </c>
      <c r="BB37" s="4" t="str">
        <f t="shared" si="57"/>
        <v>B</v>
      </c>
      <c r="BC37" s="3">
        <f t="shared" si="58"/>
        <v>3</v>
      </c>
      <c r="BD37" s="3">
        <v>2</v>
      </c>
      <c r="BE37" s="12">
        <f t="shared" si="59"/>
        <v>6</v>
      </c>
      <c r="BF37" s="3">
        <v>80.599999999999994</v>
      </c>
      <c r="BG37" s="4" t="str">
        <f t="shared" si="60"/>
        <v>A</v>
      </c>
      <c r="BH37" s="3">
        <f t="shared" si="61"/>
        <v>4</v>
      </c>
      <c r="BI37" s="3">
        <v>2</v>
      </c>
      <c r="BJ37" s="12">
        <f t="shared" si="62"/>
        <v>8</v>
      </c>
      <c r="BK37" s="16">
        <v>78.2</v>
      </c>
      <c r="BL37" s="4" t="str">
        <f t="shared" si="63"/>
        <v>B+</v>
      </c>
      <c r="BM37" s="3">
        <f t="shared" si="64"/>
        <v>3.5</v>
      </c>
      <c r="BN37" s="3">
        <v>2</v>
      </c>
      <c r="BO37" s="12">
        <f t="shared" si="65"/>
        <v>7</v>
      </c>
      <c r="BP37" s="19">
        <v>78.849999999999994</v>
      </c>
      <c r="BQ37" s="4" t="str">
        <f t="shared" si="66"/>
        <v>B+</v>
      </c>
      <c r="BR37" s="3">
        <f t="shared" si="67"/>
        <v>3.5</v>
      </c>
      <c r="BS37" s="3">
        <v>2</v>
      </c>
      <c r="BT37" s="12">
        <f t="shared" si="68"/>
        <v>7</v>
      </c>
      <c r="BU37" s="6">
        <v>70.400000000000006</v>
      </c>
      <c r="BV37" s="4" t="str">
        <f t="shared" si="69"/>
        <v>B</v>
      </c>
      <c r="BW37" s="3">
        <f t="shared" si="70"/>
        <v>3</v>
      </c>
      <c r="BX37" s="3">
        <v>2</v>
      </c>
      <c r="BY37" s="12">
        <f t="shared" si="71"/>
        <v>6</v>
      </c>
      <c r="BZ37" s="3">
        <v>79.2</v>
      </c>
      <c r="CA37" s="4" t="str">
        <f t="shared" si="88"/>
        <v>B+</v>
      </c>
      <c r="CB37" s="3">
        <f t="shared" si="92"/>
        <v>3.5</v>
      </c>
      <c r="CC37" s="3">
        <v>2</v>
      </c>
      <c r="CD37" s="12">
        <f t="shared" si="72"/>
        <v>7</v>
      </c>
      <c r="CE37" s="6">
        <v>72.8</v>
      </c>
      <c r="CF37" s="4" t="str">
        <f t="shared" si="16"/>
        <v>B</v>
      </c>
      <c r="CG37" s="3">
        <f t="shared" si="73"/>
        <v>3</v>
      </c>
      <c r="CH37" s="3">
        <v>2</v>
      </c>
      <c r="CI37" s="12">
        <f t="shared" si="74"/>
        <v>6</v>
      </c>
      <c r="CJ37" s="6">
        <v>71.125</v>
      </c>
      <c r="CK37" s="4" t="str">
        <f t="shared" si="18"/>
        <v>B</v>
      </c>
      <c r="CL37" s="3">
        <f t="shared" si="75"/>
        <v>3</v>
      </c>
      <c r="CM37" s="3">
        <v>2</v>
      </c>
      <c r="CN37" s="12">
        <f t="shared" si="76"/>
        <v>6</v>
      </c>
      <c r="CO37" s="7">
        <v>72</v>
      </c>
      <c r="CP37" s="4" t="str">
        <f t="shared" si="90"/>
        <v>B</v>
      </c>
      <c r="CQ37" s="3">
        <f t="shared" si="93"/>
        <v>3</v>
      </c>
      <c r="CR37" s="3">
        <v>2</v>
      </c>
      <c r="CS37" s="12">
        <f t="shared" si="77"/>
        <v>6</v>
      </c>
      <c r="CT37" s="14">
        <v>79.2</v>
      </c>
      <c r="CU37" s="4" t="str">
        <f t="shared" si="22"/>
        <v>B+</v>
      </c>
      <c r="CV37" s="3">
        <f t="shared" si="78"/>
        <v>3.5</v>
      </c>
      <c r="CW37" s="3">
        <v>2</v>
      </c>
      <c r="CX37" s="12">
        <f t="shared" si="79"/>
        <v>7</v>
      </c>
      <c r="CY37" s="21">
        <v>79.2</v>
      </c>
      <c r="CZ37" s="4" t="str">
        <f t="shared" si="24"/>
        <v>B+</v>
      </c>
      <c r="DA37" s="3">
        <f t="shared" si="80"/>
        <v>3.5</v>
      </c>
      <c r="DB37" s="3">
        <v>2</v>
      </c>
      <c r="DC37" s="12">
        <f t="shared" si="81"/>
        <v>7</v>
      </c>
      <c r="DD37" s="3">
        <v>77.800000000000011</v>
      </c>
      <c r="DE37" s="4" t="str">
        <f t="shared" si="26"/>
        <v>B+</v>
      </c>
      <c r="DF37" s="3">
        <f t="shared" si="82"/>
        <v>3.5</v>
      </c>
      <c r="DG37" s="3">
        <v>2</v>
      </c>
      <c r="DH37" s="12">
        <f t="shared" si="83"/>
        <v>7</v>
      </c>
      <c r="DI37" s="3">
        <v>80.150000000000006</v>
      </c>
      <c r="DJ37" s="4" t="str">
        <f t="shared" si="28"/>
        <v>A</v>
      </c>
      <c r="DK37" s="3">
        <f t="shared" si="84"/>
        <v>4</v>
      </c>
      <c r="DL37" s="3">
        <v>4</v>
      </c>
      <c r="DM37" s="12">
        <f t="shared" si="85"/>
        <v>16</v>
      </c>
      <c r="DN37" s="3">
        <v>88</v>
      </c>
      <c r="DO37" s="3">
        <v>24</v>
      </c>
      <c r="DP37" s="3">
        <v>82</v>
      </c>
      <c r="DQ37" s="3">
        <v>24</v>
      </c>
      <c r="DR37" s="3">
        <v>170</v>
      </c>
      <c r="DS37" s="3">
        <v>48</v>
      </c>
      <c r="DT37" s="9">
        <v>3.5416666666666665</v>
      </c>
      <c r="DU37" s="9">
        <v>3.5416666666666665</v>
      </c>
      <c r="DV37" s="12" t="str">
        <f t="shared" si="86"/>
        <v>Cum Laude</v>
      </c>
      <c r="DW37" s="12" t="str">
        <f t="shared" si="87"/>
        <v>Excellent</v>
      </c>
      <c r="DX37" s="22" t="s">
        <v>176</v>
      </c>
      <c r="DY37" s="26" t="s">
        <v>214</v>
      </c>
    </row>
    <row r="38" spans="1:129" x14ac:dyDescent="0.25">
      <c r="A38" s="3">
        <v>36</v>
      </c>
      <c r="B38" s="2" t="s">
        <v>61</v>
      </c>
      <c r="C38" s="2">
        <v>172312055</v>
      </c>
      <c r="D38" s="11" t="s">
        <v>88</v>
      </c>
      <c r="E38" s="13" t="s">
        <v>125</v>
      </c>
      <c r="F38" s="28" t="s">
        <v>218</v>
      </c>
      <c r="G38" s="27" t="s">
        <v>252</v>
      </c>
      <c r="H38" s="16">
        <v>80.333333333333343</v>
      </c>
      <c r="I38" s="4" t="str">
        <f t="shared" si="30"/>
        <v>A</v>
      </c>
      <c r="J38" s="3">
        <f t="shared" si="31"/>
        <v>4</v>
      </c>
      <c r="K38" s="3">
        <v>2</v>
      </c>
      <c r="L38" s="12">
        <f t="shared" si="32"/>
        <v>8</v>
      </c>
      <c r="M38" s="19">
        <v>82.1</v>
      </c>
      <c r="N38" s="4" t="str">
        <f t="shared" si="33"/>
        <v>A</v>
      </c>
      <c r="O38" s="3">
        <f t="shared" si="34"/>
        <v>4</v>
      </c>
      <c r="P38" s="3">
        <v>2</v>
      </c>
      <c r="Q38" s="12">
        <f t="shared" si="35"/>
        <v>8</v>
      </c>
      <c r="R38" s="6">
        <v>78.599999999999994</v>
      </c>
      <c r="S38" s="4" t="str">
        <f t="shared" si="36"/>
        <v>B+</v>
      </c>
      <c r="T38" s="3">
        <f t="shared" si="37"/>
        <v>3.5</v>
      </c>
      <c r="U38" s="3">
        <v>2</v>
      </c>
      <c r="V38" s="12">
        <f t="shared" si="38"/>
        <v>7</v>
      </c>
      <c r="W38" s="3">
        <v>80.599999999999994</v>
      </c>
      <c r="X38" s="4" t="str">
        <f t="shared" si="39"/>
        <v>A</v>
      </c>
      <c r="Y38" s="3">
        <f t="shared" si="40"/>
        <v>4</v>
      </c>
      <c r="Z38" s="3">
        <v>3</v>
      </c>
      <c r="AA38" s="12">
        <f t="shared" si="41"/>
        <v>12</v>
      </c>
      <c r="AB38" s="6">
        <v>71.45</v>
      </c>
      <c r="AC38" s="4" t="str">
        <f t="shared" si="42"/>
        <v>B</v>
      </c>
      <c r="AD38" s="3">
        <f t="shared" si="43"/>
        <v>3</v>
      </c>
      <c r="AE38" s="3">
        <v>2</v>
      </c>
      <c r="AF38" s="12">
        <f t="shared" si="44"/>
        <v>6</v>
      </c>
      <c r="AG38" s="6">
        <v>82.1</v>
      </c>
      <c r="AH38" s="4" t="str">
        <f t="shared" si="45"/>
        <v>A</v>
      </c>
      <c r="AI38" s="3">
        <f t="shared" si="46"/>
        <v>4</v>
      </c>
      <c r="AJ38" s="3">
        <v>2</v>
      </c>
      <c r="AK38" s="12">
        <f t="shared" si="47"/>
        <v>8</v>
      </c>
      <c r="AL38" s="7">
        <v>79.599999999999994</v>
      </c>
      <c r="AM38" s="4" t="str">
        <f t="shared" si="48"/>
        <v>B+</v>
      </c>
      <c r="AN38" s="3">
        <f t="shared" si="49"/>
        <v>3.5</v>
      </c>
      <c r="AO38" s="3">
        <v>2</v>
      </c>
      <c r="AP38" s="12">
        <f t="shared" si="50"/>
        <v>7</v>
      </c>
      <c r="AQ38" s="14">
        <v>82.5</v>
      </c>
      <c r="AR38" s="4" t="str">
        <f t="shared" si="51"/>
        <v>A</v>
      </c>
      <c r="AS38" s="3">
        <f t="shared" si="52"/>
        <v>4</v>
      </c>
      <c r="AT38" s="3">
        <v>2</v>
      </c>
      <c r="AU38" s="12">
        <f t="shared" si="53"/>
        <v>8</v>
      </c>
      <c r="AV38" s="9">
        <v>67</v>
      </c>
      <c r="AW38" s="4" t="str">
        <f t="shared" si="54"/>
        <v>C+</v>
      </c>
      <c r="AX38" s="3">
        <f t="shared" si="55"/>
        <v>2.5</v>
      </c>
      <c r="AY38" s="3">
        <v>3</v>
      </c>
      <c r="AZ38" s="12">
        <f t="shared" si="56"/>
        <v>7.5</v>
      </c>
      <c r="BA38" s="3">
        <v>73.525000000000006</v>
      </c>
      <c r="BB38" s="4" t="str">
        <f t="shared" si="57"/>
        <v>B</v>
      </c>
      <c r="BC38" s="3">
        <f t="shared" si="58"/>
        <v>3</v>
      </c>
      <c r="BD38" s="3">
        <v>2</v>
      </c>
      <c r="BE38" s="12">
        <f t="shared" si="59"/>
        <v>6</v>
      </c>
      <c r="BF38" s="3">
        <v>80.599999999999994</v>
      </c>
      <c r="BG38" s="4" t="str">
        <f t="shared" si="60"/>
        <v>A</v>
      </c>
      <c r="BH38" s="3">
        <f t="shared" si="61"/>
        <v>4</v>
      </c>
      <c r="BI38" s="3">
        <v>2</v>
      </c>
      <c r="BJ38" s="12">
        <f t="shared" si="62"/>
        <v>8</v>
      </c>
      <c r="BK38" s="16">
        <v>77.52</v>
      </c>
      <c r="BL38" s="4" t="str">
        <f t="shared" si="63"/>
        <v>B+</v>
      </c>
      <c r="BM38" s="3">
        <f t="shared" si="64"/>
        <v>3.5</v>
      </c>
      <c r="BN38" s="3">
        <v>2</v>
      </c>
      <c r="BO38" s="12">
        <f t="shared" si="65"/>
        <v>7</v>
      </c>
      <c r="BP38" s="19">
        <v>79.55</v>
      </c>
      <c r="BQ38" s="4" t="str">
        <f t="shared" si="66"/>
        <v>B+</v>
      </c>
      <c r="BR38" s="3">
        <f t="shared" si="67"/>
        <v>3.5</v>
      </c>
      <c r="BS38" s="3">
        <v>2</v>
      </c>
      <c r="BT38" s="12">
        <f t="shared" si="68"/>
        <v>7</v>
      </c>
      <c r="BU38" s="6">
        <v>70.400000000000006</v>
      </c>
      <c r="BV38" s="4" t="str">
        <f t="shared" si="69"/>
        <v>B</v>
      </c>
      <c r="BW38" s="3">
        <f t="shared" si="70"/>
        <v>3</v>
      </c>
      <c r="BX38" s="3">
        <v>2</v>
      </c>
      <c r="BY38" s="12">
        <f t="shared" si="71"/>
        <v>6</v>
      </c>
      <c r="BZ38" s="3">
        <v>78.8</v>
      </c>
      <c r="CA38" s="4" t="str">
        <f t="shared" si="88"/>
        <v>B+</v>
      </c>
      <c r="CB38" s="3">
        <f t="shared" si="92"/>
        <v>3.5</v>
      </c>
      <c r="CC38" s="3">
        <v>2</v>
      </c>
      <c r="CD38" s="12">
        <f t="shared" si="72"/>
        <v>7</v>
      </c>
      <c r="CE38" s="6">
        <v>72.8</v>
      </c>
      <c r="CF38" s="4" t="str">
        <f t="shared" si="16"/>
        <v>B</v>
      </c>
      <c r="CG38" s="3">
        <f t="shared" si="73"/>
        <v>3</v>
      </c>
      <c r="CH38" s="3">
        <v>2</v>
      </c>
      <c r="CI38" s="12">
        <f t="shared" si="74"/>
        <v>6</v>
      </c>
      <c r="CJ38" s="6">
        <v>68.525000000000006</v>
      </c>
      <c r="CK38" s="4" t="str">
        <f t="shared" si="18"/>
        <v>C+</v>
      </c>
      <c r="CL38" s="3">
        <f t="shared" si="75"/>
        <v>2.5</v>
      </c>
      <c r="CM38" s="3">
        <v>2</v>
      </c>
      <c r="CN38" s="12">
        <f t="shared" si="76"/>
        <v>5</v>
      </c>
      <c r="CO38" s="7">
        <v>70.400000000000006</v>
      </c>
      <c r="CP38" s="4" t="str">
        <f t="shared" si="90"/>
        <v>B</v>
      </c>
      <c r="CQ38" s="3">
        <f t="shared" si="93"/>
        <v>3</v>
      </c>
      <c r="CR38" s="3">
        <v>2</v>
      </c>
      <c r="CS38" s="12">
        <f t="shared" si="77"/>
        <v>6</v>
      </c>
      <c r="CT38" s="14">
        <v>80.599999999999994</v>
      </c>
      <c r="CU38" s="4" t="str">
        <f t="shared" si="22"/>
        <v>A</v>
      </c>
      <c r="CV38" s="3">
        <f t="shared" si="78"/>
        <v>4</v>
      </c>
      <c r="CW38" s="3">
        <v>2</v>
      </c>
      <c r="CX38" s="12">
        <f t="shared" si="79"/>
        <v>8</v>
      </c>
      <c r="CY38" s="21">
        <v>80.599999999999994</v>
      </c>
      <c r="CZ38" s="4" t="str">
        <f t="shared" si="24"/>
        <v>A</v>
      </c>
      <c r="DA38" s="3">
        <f t="shared" si="80"/>
        <v>4</v>
      </c>
      <c r="DB38" s="3">
        <v>2</v>
      </c>
      <c r="DC38" s="12">
        <f t="shared" si="81"/>
        <v>8</v>
      </c>
      <c r="DD38" s="3">
        <v>78.800000000000011</v>
      </c>
      <c r="DE38" s="4" t="str">
        <f t="shared" si="26"/>
        <v>B+</v>
      </c>
      <c r="DF38" s="3">
        <f t="shared" si="82"/>
        <v>3.5</v>
      </c>
      <c r="DG38" s="3">
        <v>2</v>
      </c>
      <c r="DH38" s="12">
        <f t="shared" si="83"/>
        <v>7</v>
      </c>
      <c r="DI38" s="3">
        <v>80.5</v>
      </c>
      <c r="DJ38" s="4" t="str">
        <f t="shared" si="28"/>
        <v>A</v>
      </c>
      <c r="DK38" s="3">
        <f t="shared" si="84"/>
        <v>4</v>
      </c>
      <c r="DL38" s="3">
        <v>4</v>
      </c>
      <c r="DM38" s="12">
        <f t="shared" si="85"/>
        <v>16</v>
      </c>
      <c r="DN38" s="3">
        <v>86.5</v>
      </c>
      <c r="DO38" s="3">
        <v>24</v>
      </c>
      <c r="DP38" s="3">
        <v>83</v>
      </c>
      <c r="DQ38" s="3">
        <v>24</v>
      </c>
      <c r="DR38" s="3">
        <v>169.5</v>
      </c>
      <c r="DS38" s="3">
        <v>48</v>
      </c>
      <c r="DT38" s="9">
        <v>3.53125</v>
      </c>
      <c r="DU38" s="9">
        <v>3.53125</v>
      </c>
      <c r="DV38" s="12" t="str">
        <f t="shared" si="86"/>
        <v>Cum Laude</v>
      </c>
      <c r="DW38" s="12" t="str">
        <f t="shared" si="87"/>
        <v>Excellent</v>
      </c>
      <c r="DX38" s="22" t="s">
        <v>156</v>
      </c>
      <c r="DY38" s="26" t="s">
        <v>215</v>
      </c>
    </row>
    <row r="39" spans="1:129" x14ac:dyDescent="0.25">
      <c r="A39" s="29">
        <v>38</v>
      </c>
      <c r="B39" s="2" t="s">
        <v>62</v>
      </c>
      <c r="C39" s="2">
        <v>172312057</v>
      </c>
      <c r="D39" s="11" t="s">
        <v>138</v>
      </c>
      <c r="E39" s="13" t="s">
        <v>139</v>
      </c>
      <c r="F39" s="28" t="s">
        <v>218</v>
      </c>
      <c r="G39" s="27" t="s">
        <v>253</v>
      </c>
      <c r="H39" s="16">
        <v>76.866666666666674</v>
      </c>
      <c r="I39" s="4" t="str">
        <f t="shared" si="30"/>
        <v>B+</v>
      </c>
      <c r="J39" s="3">
        <f t="shared" si="31"/>
        <v>3.5</v>
      </c>
      <c r="K39" s="3">
        <v>2</v>
      </c>
      <c r="L39" s="12">
        <f t="shared" si="32"/>
        <v>7</v>
      </c>
      <c r="M39" s="19">
        <v>82.366666666666674</v>
      </c>
      <c r="N39" s="4" t="str">
        <f t="shared" si="33"/>
        <v>A</v>
      </c>
      <c r="O39" s="3">
        <f t="shared" si="34"/>
        <v>4</v>
      </c>
      <c r="P39" s="3">
        <v>2</v>
      </c>
      <c r="Q39" s="12">
        <f t="shared" si="35"/>
        <v>8</v>
      </c>
      <c r="R39" s="6">
        <v>78.599999999999994</v>
      </c>
      <c r="S39" s="4" t="str">
        <f t="shared" si="36"/>
        <v>B+</v>
      </c>
      <c r="T39" s="3">
        <f t="shared" si="37"/>
        <v>3.5</v>
      </c>
      <c r="U39" s="3">
        <v>2</v>
      </c>
      <c r="V39" s="12">
        <f t="shared" si="38"/>
        <v>7</v>
      </c>
      <c r="W39" s="3">
        <v>80.599999999999994</v>
      </c>
      <c r="X39" s="4" t="str">
        <f t="shared" si="39"/>
        <v>A</v>
      </c>
      <c r="Y39" s="3">
        <f t="shared" si="40"/>
        <v>4</v>
      </c>
      <c r="Z39" s="3">
        <v>3</v>
      </c>
      <c r="AA39" s="12">
        <f t="shared" si="41"/>
        <v>12</v>
      </c>
      <c r="AB39" s="6">
        <v>75.900000000000006</v>
      </c>
      <c r="AC39" s="4" t="str">
        <f t="shared" si="42"/>
        <v>B+</v>
      </c>
      <c r="AD39" s="3">
        <f t="shared" si="43"/>
        <v>3.5</v>
      </c>
      <c r="AE39" s="3">
        <v>2</v>
      </c>
      <c r="AF39" s="12">
        <f t="shared" si="44"/>
        <v>7</v>
      </c>
      <c r="AG39" s="6">
        <v>82.366666666666674</v>
      </c>
      <c r="AH39" s="4" t="str">
        <f t="shared" si="45"/>
        <v>A</v>
      </c>
      <c r="AI39" s="3">
        <f t="shared" si="46"/>
        <v>4</v>
      </c>
      <c r="AJ39" s="3">
        <v>2</v>
      </c>
      <c r="AK39" s="12">
        <f t="shared" si="47"/>
        <v>8</v>
      </c>
      <c r="AL39" s="7">
        <v>79</v>
      </c>
      <c r="AM39" s="4" t="str">
        <f t="shared" si="48"/>
        <v>B+</v>
      </c>
      <c r="AN39" s="3">
        <f t="shared" si="49"/>
        <v>3.5</v>
      </c>
      <c r="AO39" s="3">
        <v>2</v>
      </c>
      <c r="AP39" s="12">
        <f t="shared" si="50"/>
        <v>7</v>
      </c>
      <c r="AQ39" s="14">
        <v>86.233333333333334</v>
      </c>
      <c r="AR39" s="4" t="str">
        <f t="shared" si="51"/>
        <v>A</v>
      </c>
      <c r="AS39" s="3">
        <f t="shared" si="52"/>
        <v>4</v>
      </c>
      <c r="AT39" s="3">
        <v>2</v>
      </c>
      <c r="AU39" s="12">
        <f t="shared" si="53"/>
        <v>8</v>
      </c>
      <c r="AV39" s="9">
        <v>69</v>
      </c>
      <c r="AW39" s="4" t="str">
        <f t="shared" si="54"/>
        <v>C+</v>
      </c>
      <c r="AX39" s="3">
        <f t="shared" si="55"/>
        <v>2.5</v>
      </c>
      <c r="AY39" s="3">
        <v>3</v>
      </c>
      <c r="AZ39" s="12">
        <f t="shared" si="56"/>
        <v>7.5</v>
      </c>
      <c r="BA39" s="3">
        <v>72.325000000000003</v>
      </c>
      <c r="BB39" s="4" t="str">
        <f t="shared" si="57"/>
        <v>B</v>
      </c>
      <c r="BC39" s="3">
        <f t="shared" si="58"/>
        <v>3</v>
      </c>
      <c r="BD39" s="3">
        <v>2</v>
      </c>
      <c r="BE39" s="12">
        <f t="shared" si="59"/>
        <v>6</v>
      </c>
      <c r="BF39" s="3">
        <v>80.599999999999994</v>
      </c>
      <c r="BG39" s="4" t="str">
        <f t="shared" si="60"/>
        <v>A</v>
      </c>
      <c r="BH39" s="3">
        <f t="shared" si="61"/>
        <v>4</v>
      </c>
      <c r="BI39" s="3">
        <v>2</v>
      </c>
      <c r="BJ39" s="12">
        <f t="shared" si="62"/>
        <v>8</v>
      </c>
      <c r="BK39" s="16">
        <v>78.08</v>
      </c>
      <c r="BL39" s="4" t="str">
        <f t="shared" si="63"/>
        <v>B+</v>
      </c>
      <c r="BM39" s="3">
        <f t="shared" si="64"/>
        <v>3.5</v>
      </c>
      <c r="BN39" s="3">
        <v>2</v>
      </c>
      <c r="BO39" s="12">
        <f t="shared" si="65"/>
        <v>7</v>
      </c>
      <c r="BP39" s="19">
        <v>78.75</v>
      </c>
      <c r="BQ39" s="4" t="str">
        <f t="shared" si="66"/>
        <v>B+</v>
      </c>
      <c r="BR39" s="3">
        <f t="shared" si="67"/>
        <v>3.5</v>
      </c>
      <c r="BS39" s="3">
        <v>2</v>
      </c>
      <c r="BT39" s="12">
        <f t="shared" si="68"/>
        <v>7</v>
      </c>
      <c r="BU39" s="6">
        <v>75</v>
      </c>
      <c r="BV39" s="4" t="str">
        <f t="shared" si="69"/>
        <v>B+</v>
      </c>
      <c r="BW39" s="3">
        <f t="shared" si="70"/>
        <v>3.5</v>
      </c>
      <c r="BX39" s="3">
        <v>2</v>
      </c>
      <c r="BY39" s="12">
        <f t="shared" si="71"/>
        <v>7</v>
      </c>
      <c r="BZ39" s="3">
        <v>79</v>
      </c>
      <c r="CA39" s="4" t="str">
        <f t="shared" si="88"/>
        <v>B+</v>
      </c>
      <c r="CB39" s="3">
        <f t="shared" si="92"/>
        <v>3.5</v>
      </c>
      <c r="CC39" s="3">
        <v>2</v>
      </c>
      <c r="CD39" s="12">
        <f t="shared" si="72"/>
        <v>7</v>
      </c>
      <c r="CE39" s="6">
        <v>79.599999999999994</v>
      </c>
      <c r="CF39" s="4" t="str">
        <f t="shared" si="16"/>
        <v>B+</v>
      </c>
      <c r="CG39" s="3">
        <f t="shared" si="73"/>
        <v>3.5</v>
      </c>
      <c r="CH39" s="3">
        <v>2</v>
      </c>
      <c r="CI39" s="12">
        <f t="shared" si="74"/>
        <v>7</v>
      </c>
      <c r="CJ39" s="6">
        <v>75.325000000000003</v>
      </c>
      <c r="CK39" s="4" t="str">
        <f t="shared" si="18"/>
        <v>B+</v>
      </c>
      <c r="CL39" s="3">
        <f t="shared" si="75"/>
        <v>3.5</v>
      </c>
      <c r="CM39" s="3">
        <v>2</v>
      </c>
      <c r="CN39" s="12">
        <f t="shared" si="76"/>
        <v>7</v>
      </c>
      <c r="CO39" s="7">
        <v>71.400000000000006</v>
      </c>
      <c r="CP39" s="4" t="str">
        <f t="shared" si="90"/>
        <v>B</v>
      </c>
      <c r="CQ39" s="3">
        <f t="shared" si="93"/>
        <v>3</v>
      </c>
      <c r="CR39" s="3">
        <v>2</v>
      </c>
      <c r="CS39" s="12">
        <f t="shared" si="77"/>
        <v>6</v>
      </c>
      <c r="CT39" s="14">
        <v>81.599999999999994</v>
      </c>
      <c r="CU39" s="4" t="str">
        <f t="shared" si="22"/>
        <v>A</v>
      </c>
      <c r="CV39" s="3">
        <f t="shared" si="78"/>
        <v>4</v>
      </c>
      <c r="CW39" s="3">
        <v>2</v>
      </c>
      <c r="CX39" s="12">
        <f t="shared" si="79"/>
        <v>8</v>
      </c>
      <c r="CY39" s="21">
        <v>81.599999999999994</v>
      </c>
      <c r="CZ39" s="4" t="str">
        <f t="shared" si="24"/>
        <v>A</v>
      </c>
      <c r="DA39" s="3">
        <f t="shared" si="80"/>
        <v>4</v>
      </c>
      <c r="DB39" s="3">
        <v>2</v>
      </c>
      <c r="DC39" s="12">
        <f t="shared" si="81"/>
        <v>8</v>
      </c>
      <c r="DD39" s="3">
        <v>76</v>
      </c>
      <c r="DE39" s="4" t="str">
        <f t="shared" si="26"/>
        <v>B+</v>
      </c>
      <c r="DF39" s="3">
        <f t="shared" si="82"/>
        <v>3.5</v>
      </c>
      <c r="DG39" s="3">
        <v>2</v>
      </c>
      <c r="DH39" s="12">
        <f t="shared" si="83"/>
        <v>7</v>
      </c>
      <c r="DI39" s="3">
        <v>78.8</v>
      </c>
      <c r="DJ39" s="4" t="str">
        <f t="shared" si="28"/>
        <v>B+</v>
      </c>
      <c r="DK39" s="3">
        <f t="shared" si="84"/>
        <v>3.5</v>
      </c>
      <c r="DL39" s="3">
        <v>4</v>
      </c>
      <c r="DM39" s="12">
        <f t="shared" si="85"/>
        <v>14</v>
      </c>
      <c r="DN39" s="3">
        <v>85.5</v>
      </c>
      <c r="DO39" s="3">
        <v>24</v>
      </c>
      <c r="DP39" s="3">
        <v>85</v>
      </c>
      <c r="DQ39" s="3">
        <v>24</v>
      </c>
      <c r="DR39" s="3">
        <v>170.5</v>
      </c>
      <c r="DS39" s="3">
        <v>48</v>
      </c>
      <c r="DT39" s="9">
        <v>3.5520833333333335</v>
      </c>
      <c r="DU39" s="9">
        <v>3.5520833333333335</v>
      </c>
      <c r="DV39" s="12" t="str">
        <f t="shared" si="86"/>
        <v>Cum Laude</v>
      </c>
      <c r="DW39" s="12" t="str">
        <f t="shared" si="87"/>
        <v>Excellent</v>
      </c>
      <c r="DX39" s="22" t="s">
        <v>177</v>
      </c>
      <c r="DY39" s="26" t="s">
        <v>216</v>
      </c>
    </row>
    <row r="40" spans="1:129" x14ac:dyDescent="0.25">
      <c r="A40" s="3">
        <v>39</v>
      </c>
      <c r="B40" s="2" t="s">
        <v>63</v>
      </c>
      <c r="C40" s="2">
        <v>172312058</v>
      </c>
      <c r="D40" s="11" t="s">
        <v>126</v>
      </c>
      <c r="E40" s="13" t="s">
        <v>127</v>
      </c>
      <c r="F40" s="28" t="s">
        <v>218</v>
      </c>
      <c r="G40" s="27" t="s">
        <v>254</v>
      </c>
      <c r="H40" s="16">
        <v>80.066666666666663</v>
      </c>
      <c r="I40" s="4" t="str">
        <f t="shared" si="30"/>
        <v>A</v>
      </c>
      <c r="J40" s="3">
        <f t="shared" si="31"/>
        <v>4</v>
      </c>
      <c r="K40" s="3">
        <v>2</v>
      </c>
      <c r="L40" s="12">
        <f t="shared" si="32"/>
        <v>8</v>
      </c>
      <c r="M40" s="19">
        <v>86.233333333333334</v>
      </c>
      <c r="N40" s="4" t="str">
        <f t="shared" si="33"/>
        <v>A</v>
      </c>
      <c r="O40" s="3">
        <f t="shared" si="34"/>
        <v>4</v>
      </c>
      <c r="P40" s="3">
        <v>2</v>
      </c>
      <c r="Q40" s="12">
        <f t="shared" si="35"/>
        <v>8</v>
      </c>
      <c r="R40" s="6">
        <v>78.599999999999994</v>
      </c>
      <c r="S40" s="4" t="str">
        <f t="shared" si="36"/>
        <v>B+</v>
      </c>
      <c r="T40" s="3">
        <f t="shared" si="37"/>
        <v>3.5</v>
      </c>
      <c r="U40" s="3">
        <v>2</v>
      </c>
      <c r="V40" s="12">
        <f t="shared" si="38"/>
        <v>7</v>
      </c>
      <c r="W40" s="3">
        <v>80.599999999999994</v>
      </c>
      <c r="X40" s="4" t="str">
        <f t="shared" si="39"/>
        <v>A</v>
      </c>
      <c r="Y40" s="3">
        <f t="shared" si="40"/>
        <v>4</v>
      </c>
      <c r="Z40" s="3">
        <v>3</v>
      </c>
      <c r="AA40" s="12">
        <f t="shared" si="41"/>
        <v>12</v>
      </c>
      <c r="AB40" s="6">
        <v>83.200000000000017</v>
      </c>
      <c r="AC40" s="4" t="str">
        <f t="shared" si="42"/>
        <v>A</v>
      </c>
      <c r="AD40" s="3">
        <f t="shared" si="43"/>
        <v>4</v>
      </c>
      <c r="AE40" s="3">
        <v>2</v>
      </c>
      <c r="AF40" s="12">
        <f t="shared" si="44"/>
        <v>8</v>
      </c>
      <c r="AG40" s="6">
        <v>86.233333333333334</v>
      </c>
      <c r="AH40" s="4" t="str">
        <f t="shared" si="45"/>
        <v>A</v>
      </c>
      <c r="AI40" s="3">
        <f t="shared" si="46"/>
        <v>4</v>
      </c>
      <c r="AJ40" s="3">
        <v>2</v>
      </c>
      <c r="AK40" s="12">
        <f t="shared" si="47"/>
        <v>8</v>
      </c>
      <c r="AL40" s="7">
        <v>79.2</v>
      </c>
      <c r="AM40" s="4" t="str">
        <f t="shared" si="48"/>
        <v>B+</v>
      </c>
      <c r="AN40" s="3">
        <f t="shared" si="49"/>
        <v>3.5</v>
      </c>
      <c r="AO40" s="3">
        <v>2</v>
      </c>
      <c r="AP40" s="12">
        <f t="shared" si="50"/>
        <v>7</v>
      </c>
      <c r="AQ40" s="14">
        <v>81.966666666666669</v>
      </c>
      <c r="AR40" s="4" t="str">
        <f t="shared" si="51"/>
        <v>A</v>
      </c>
      <c r="AS40" s="3">
        <f t="shared" si="52"/>
        <v>4</v>
      </c>
      <c r="AT40" s="3">
        <v>2</v>
      </c>
      <c r="AU40" s="12">
        <f t="shared" si="53"/>
        <v>8</v>
      </c>
      <c r="AV40" s="9">
        <v>71</v>
      </c>
      <c r="AW40" s="4" t="str">
        <f t="shared" si="54"/>
        <v>B</v>
      </c>
      <c r="AX40" s="3">
        <f t="shared" si="55"/>
        <v>3</v>
      </c>
      <c r="AY40" s="3">
        <v>3</v>
      </c>
      <c r="AZ40" s="12">
        <f t="shared" si="56"/>
        <v>9</v>
      </c>
      <c r="BA40" s="3">
        <v>75.325000000000003</v>
      </c>
      <c r="BB40" s="4" t="str">
        <f t="shared" si="57"/>
        <v>B+</v>
      </c>
      <c r="BC40" s="3">
        <f t="shared" si="58"/>
        <v>3.5</v>
      </c>
      <c r="BD40" s="3">
        <v>2</v>
      </c>
      <c r="BE40" s="12">
        <f t="shared" si="59"/>
        <v>7</v>
      </c>
      <c r="BF40" s="3">
        <v>80.599999999999994</v>
      </c>
      <c r="BG40" s="4" t="str">
        <f t="shared" si="60"/>
        <v>A</v>
      </c>
      <c r="BH40" s="3">
        <f t="shared" si="61"/>
        <v>4</v>
      </c>
      <c r="BI40" s="3">
        <v>2</v>
      </c>
      <c r="BJ40" s="12">
        <f t="shared" si="62"/>
        <v>8</v>
      </c>
      <c r="BK40" s="16">
        <v>81.239999999999995</v>
      </c>
      <c r="BL40" s="4" t="str">
        <f t="shared" si="63"/>
        <v>A</v>
      </c>
      <c r="BM40" s="3">
        <f t="shared" si="64"/>
        <v>4</v>
      </c>
      <c r="BN40" s="3">
        <v>2</v>
      </c>
      <c r="BO40" s="12">
        <f t="shared" si="65"/>
        <v>8</v>
      </c>
      <c r="BP40" s="19">
        <v>80.349999999999994</v>
      </c>
      <c r="BQ40" s="4" t="str">
        <f t="shared" si="66"/>
        <v>A</v>
      </c>
      <c r="BR40" s="3">
        <f t="shared" si="67"/>
        <v>4</v>
      </c>
      <c r="BS40" s="3">
        <v>2</v>
      </c>
      <c r="BT40" s="12">
        <f t="shared" si="68"/>
        <v>8</v>
      </c>
      <c r="BU40" s="6">
        <v>70.400000000000006</v>
      </c>
      <c r="BV40" s="4" t="str">
        <f t="shared" si="69"/>
        <v>B</v>
      </c>
      <c r="BW40" s="3">
        <f t="shared" si="70"/>
        <v>3</v>
      </c>
      <c r="BX40" s="3">
        <v>2</v>
      </c>
      <c r="BY40" s="12">
        <f t="shared" si="71"/>
        <v>6</v>
      </c>
      <c r="BZ40" s="3">
        <v>78</v>
      </c>
      <c r="CA40" s="4" t="str">
        <f t="shared" si="88"/>
        <v>B+</v>
      </c>
      <c r="CB40" s="3">
        <f t="shared" si="92"/>
        <v>3.5</v>
      </c>
      <c r="CC40" s="3">
        <v>2</v>
      </c>
      <c r="CD40" s="12">
        <f t="shared" si="72"/>
        <v>7</v>
      </c>
      <c r="CE40" s="6">
        <v>76.8</v>
      </c>
      <c r="CF40" s="4" t="str">
        <f t="shared" si="16"/>
        <v>B+</v>
      </c>
      <c r="CG40" s="3">
        <f t="shared" si="73"/>
        <v>3.5</v>
      </c>
      <c r="CH40" s="3">
        <v>2</v>
      </c>
      <c r="CI40" s="12">
        <f t="shared" si="74"/>
        <v>7</v>
      </c>
      <c r="CJ40" s="6">
        <v>75.924999999999997</v>
      </c>
      <c r="CK40" s="4" t="str">
        <f t="shared" si="18"/>
        <v>B+</v>
      </c>
      <c r="CL40" s="3">
        <f t="shared" si="75"/>
        <v>3.5</v>
      </c>
      <c r="CM40" s="3">
        <v>2</v>
      </c>
      <c r="CN40" s="12">
        <f t="shared" si="76"/>
        <v>7</v>
      </c>
      <c r="CO40" s="7">
        <v>72</v>
      </c>
      <c r="CP40" s="4" t="str">
        <f t="shared" si="90"/>
        <v>B</v>
      </c>
      <c r="CQ40" s="3">
        <f t="shared" si="93"/>
        <v>3</v>
      </c>
      <c r="CR40" s="3">
        <v>2</v>
      </c>
      <c r="CS40" s="12">
        <f t="shared" si="77"/>
        <v>6</v>
      </c>
      <c r="CT40" s="14">
        <v>80.2</v>
      </c>
      <c r="CU40" s="4" t="str">
        <f t="shared" si="22"/>
        <v>A</v>
      </c>
      <c r="CV40" s="3">
        <f t="shared" si="78"/>
        <v>4</v>
      </c>
      <c r="CW40" s="3">
        <v>2</v>
      </c>
      <c r="CX40" s="12">
        <f t="shared" si="79"/>
        <v>8</v>
      </c>
      <c r="CY40" s="21">
        <v>80.2</v>
      </c>
      <c r="CZ40" s="4" t="str">
        <f t="shared" si="24"/>
        <v>A</v>
      </c>
      <c r="DA40" s="3">
        <f t="shared" si="80"/>
        <v>4</v>
      </c>
      <c r="DB40" s="3">
        <v>2</v>
      </c>
      <c r="DC40" s="12">
        <f t="shared" si="81"/>
        <v>8</v>
      </c>
      <c r="DD40" s="3">
        <v>78</v>
      </c>
      <c r="DE40" s="4" t="str">
        <f t="shared" si="26"/>
        <v>B+</v>
      </c>
      <c r="DF40" s="3">
        <f t="shared" si="82"/>
        <v>3.5</v>
      </c>
      <c r="DG40" s="3">
        <v>2</v>
      </c>
      <c r="DH40" s="12">
        <f t="shared" si="83"/>
        <v>7</v>
      </c>
      <c r="DI40" s="3">
        <v>84.5</v>
      </c>
      <c r="DJ40" s="4" t="str">
        <f t="shared" si="28"/>
        <v>A</v>
      </c>
      <c r="DK40" s="3">
        <f t="shared" si="84"/>
        <v>4</v>
      </c>
      <c r="DL40" s="3">
        <v>4</v>
      </c>
      <c r="DM40" s="12">
        <f t="shared" si="85"/>
        <v>16</v>
      </c>
      <c r="DN40" s="3">
        <v>90</v>
      </c>
      <c r="DO40" s="3">
        <v>24</v>
      </c>
      <c r="DP40" s="3">
        <v>88</v>
      </c>
      <c r="DQ40" s="3">
        <v>24</v>
      </c>
      <c r="DR40" s="3">
        <v>178</v>
      </c>
      <c r="DS40" s="3">
        <v>48</v>
      </c>
      <c r="DT40" s="9">
        <v>3.7083333333333335</v>
      </c>
      <c r="DU40" s="9">
        <v>3.7083333333333335</v>
      </c>
      <c r="DV40" s="12" t="str">
        <f t="shared" si="86"/>
        <v>Cum Laude</v>
      </c>
      <c r="DW40" s="12" t="str">
        <f t="shared" si="87"/>
        <v>Excellent</v>
      </c>
      <c r="DX40" s="22" t="s">
        <v>178</v>
      </c>
      <c r="DY40" s="26" t="s">
        <v>217</v>
      </c>
    </row>
  </sheetData>
  <mergeCells count="39">
    <mergeCell ref="DY1:DY2"/>
    <mergeCell ref="DN1:DO1"/>
    <mergeCell ref="A1:A2"/>
    <mergeCell ref="B1:B2"/>
    <mergeCell ref="C1:C2"/>
    <mergeCell ref="H1:L1"/>
    <mergeCell ref="M1:Q1"/>
    <mergeCell ref="CY1:DC1"/>
    <mergeCell ref="DD1:DH1"/>
    <mergeCell ref="W1:AA1"/>
    <mergeCell ref="AB1:AF1"/>
    <mergeCell ref="AG1:AK1"/>
    <mergeCell ref="AL1:AP1"/>
    <mergeCell ref="AQ1:AU1"/>
    <mergeCell ref="AV1:AZ1"/>
    <mergeCell ref="D1:D2"/>
    <mergeCell ref="E1:E2"/>
    <mergeCell ref="G1:G2"/>
    <mergeCell ref="BK1:BO1"/>
    <mergeCell ref="BP1:BT1"/>
    <mergeCell ref="BA1:BE1"/>
    <mergeCell ref="BF1:BJ1"/>
    <mergeCell ref="R1:V1"/>
    <mergeCell ref="DI1:DM1"/>
    <mergeCell ref="F1:F2"/>
    <mergeCell ref="DV1:DV2"/>
    <mergeCell ref="DW1:DW2"/>
    <mergeCell ref="DX1:DX2"/>
    <mergeCell ref="DU1:DU2"/>
    <mergeCell ref="BU1:BY1"/>
    <mergeCell ref="BZ1:CD1"/>
    <mergeCell ref="CE1:CI1"/>
    <mergeCell ref="CJ1:CN1"/>
    <mergeCell ref="DP1:DQ1"/>
    <mergeCell ref="DR1:DR2"/>
    <mergeCell ref="DS1:DS2"/>
    <mergeCell ref="DT1:DT2"/>
    <mergeCell ref="CO1:CS1"/>
    <mergeCell ref="CT1:CX1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2025-11-28T02:24:55Z</dcterms:created>
  <dcterms:modified xsi:type="dcterms:W3CDTF">2025-12-17T01:14:05Z</dcterms:modified>
</cp:coreProperties>
</file>