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308126DB-8070-4EC3-9D42-1866750C43D9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J27" i="1" l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Q27" i="1"/>
  <c r="DS27" i="1" s="1"/>
  <c r="DO27" i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P27" i="1" l="1"/>
  <c r="DR27" i="1" s="1"/>
  <c r="DU27" i="1" s="1"/>
  <c r="DN27" i="1"/>
  <c r="DW27" i="1" l="1"/>
  <c r="DV27" i="1"/>
  <c r="DQ42" i="1" l="1"/>
  <c r="DO42" i="1"/>
  <c r="DS42" i="1" s="1"/>
  <c r="DJ42" i="1"/>
  <c r="DK42" i="1" s="1"/>
  <c r="DM42" i="1" s="1"/>
  <c r="DP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DN42" i="1" s="1"/>
  <c r="S42" i="1"/>
  <c r="T42" i="1" s="1"/>
  <c r="V42" i="1" s="1"/>
  <c r="N42" i="1"/>
  <c r="O42" i="1" s="1"/>
  <c r="Q42" i="1" s="1"/>
  <c r="I42" i="1"/>
  <c r="J42" i="1" s="1"/>
  <c r="L42" i="1" s="1"/>
  <c r="DQ45" i="1"/>
  <c r="DO45" i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DR42" i="1" l="1"/>
  <c r="DU42" i="1" s="1"/>
  <c r="DT42" i="1"/>
  <c r="DP45" i="1"/>
  <c r="DT45" i="1" s="1"/>
  <c r="DN45" i="1"/>
  <c r="DS45" i="1"/>
  <c r="DW42" i="1" l="1"/>
  <c r="DV42" i="1"/>
  <c r="DR45" i="1"/>
  <c r="DU45" i="1" s="1"/>
  <c r="DV45" i="1" l="1"/>
  <c r="DW45" i="1"/>
  <c r="DQ50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3" i="1"/>
  <c r="DQ44" i="1"/>
  <c r="DQ46" i="1"/>
  <c r="DQ47" i="1"/>
  <c r="DQ48" i="1"/>
  <c r="DQ49" i="1"/>
  <c r="DQ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3" i="1"/>
  <c r="DO44" i="1"/>
  <c r="DO46" i="1"/>
  <c r="DO47" i="1"/>
  <c r="DO48" i="1"/>
  <c r="DO49" i="1"/>
  <c r="DO50" i="1"/>
  <c r="DO3" i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P43" i="1" l="1"/>
  <c r="DS49" i="1"/>
  <c r="DP19" i="1"/>
  <c r="DP35" i="1"/>
  <c r="DS50" i="1"/>
  <c r="DS39" i="1"/>
  <c r="DS23" i="1"/>
  <c r="DS33" i="1"/>
  <c r="DS17" i="1"/>
  <c r="DS40" i="1"/>
  <c r="DN46" i="1"/>
  <c r="DP32" i="1"/>
  <c r="DP3" i="1"/>
  <c r="DS35" i="1"/>
  <c r="DS19" i="1"/>
  <c r="DS34" i="1"/>
  <c r="DS18" i="1"/>
  <c r="DP46" i="1"/>
  <c r="DS32" i="1"/>
  <c r="DS16" i="1"/>
  <c r="DS3" i="1"/>
  <c r="DS31" i="1"/>
  <c r="DS15" i="1"/>
  <c r="DP48" i="1"/>
  <c r="DS24" i="1"/>
  <c r="DN6" i="1"/>
  <c r="DS46" i="1"/>
  <c r="DS37" i="1"/>
  <c r="DS21" i="1"/>
  <c r="DS30" i="1"/>
  <c r="DS14" i="1"/>
  <c r="DS48" i="1"/>
  <c r="DS29" i="1"/>
  <c r="DS47" i="1"/>
  <c r="DS12" i="1"/>
  <c r="DP13" i="1"/>
  <c r="DN10" i="1"/>
  <c r="DN35" i="1"/>
  <c r="DN40" i="1"/>
  <c r="DN44" i="1"/>
  <c r="DP50" i="1"/>
  <c r="DS43" i="1"/>
  <c r="DS26" i="1"/>
  <c r="DS9" i="1"/>
  <c r="DS8" i="1"/>
  <c r="DS36" i="1"/>
  <c r="DS20" i="1"/>
  <c r="DS13" i="1"/>
  <c r="DS41" i="1"/>
  <c r="DS25" i="1"/>
  <c r="DS7" i="1"/>
  <c r="DS6" i="1"/>
  <c r="DN24" i="1"/>
  <c r="DS28" i="1"/>
  <c r="DN7" i="1"/>
  <c r="DN25" i="1"/>
  <c r="DN41" i="1"/>
  <c r="DN12" i="1"/>
  <c r="DS5" i="1"/>
  <c r="DN17" i="1"/>
  <c r="DN4" i="1"/>
  <c r="DN22" i="1"/>
  <c r="DN38" i="1"/>
  <c r="DN28" i="1"/>
  <c r="DN9" i="1"/>
  <c r="DP12" i="1"/>
  <c r="DP15" i="1"/>
  <c r="DP28" i="1"/>
  <c r="DR28" i="1" s="1"/>
  <c r="DP31" i="1"/>
  <c r="DN5" i="1"/>
  <c r="DP14" i="1"/>
  <c r="DN23" i="1"/>
  <c r="DN31" i="1"/>
  <c r="DN26" i="1"/>
  <c r="DN43" i="1"/>
  <c r="DN14" i="1"/>
  <c r="DN30" i="1"/>
  <c r="DS11" i="1"/>
  <c r="DN32" i="1"/>
  <c r="DP29" i="1"/>
  <c r="DP30" i="1"/>
  <c r="DP34" i="1"/>
  <c r="DP37" i="1"/>
  <c r="DP39" i="1"/>
  <c r="DP40" i="1"/>
  <c r="DS44" i="1"/>
  <c r="DS10" i="1"/>
  <c r="DN37" i="1"/>
  <c r="DP24" i="1"/>
  <c r="DP49" i="1"/>
  <c r="DN18" i="1"/>
  <c r="DN39" i="1"/>
  <c r="DP16" i="1"/>
  <c r="DN33" i="1"/>
  <c r="DP23" i="1"/>
  <c r="DN16" i="1"/>
  <c r="DP20" i="1"/>
  <c r="DP36" i="1"/>
  <c r="DN8" i="1"/>
  <c r="DN20" i="1"/>
  <c r="DR20" i="1" s="1"/>
  <c r="DN36" i="1"/>
  <c r="DR36" i="1" s="1"/>
  <c r="DU36" i="1" s="1"/>
  <c r="DV36" i="1" s="1"/>
  <c r="DP21" i="1"/>
  <c r="DN11" i="1"/>
  <c r="DR11" i="1" s="1"/>
  <c r="DN21" i="1"/>
  <c r="DN50" i="1"/>
  <c r="DP7" i="1"/>
  <c r="DP25" i="1"/>
  <c r="DP41" i="1"/>
  <c r="DR41" i="1" s="1"/>
  <c r="DN49" i="1"/>
  <c r="DP6" i="1"/>
  <c r="DP10" i="1"/>
  <c r="DP18" i="1"/>
  <c r="DP44" i="1"/>
  <c r="DN47" i="1"/>
  <c r="DP17" i="1"/>
  <c r="DN34" i="1"/>
  <c r="DP4" i="1"/>
  <c r="DP22" i="1"/>
  <c r="DP38" i="1"/>
  <c r="DR38" i="1" s="1"/>
  <c r="DP47" i="1"/>
  <c r="DS38" i="1"/>
  <c r="DS22" i="1"/>
  <c r="DS4" i="1"/>
  <c r="DN15" i="1"/>
  <c r="DN19" i="1"/>
  <c r="DR19" i="1" s="1"/>
  <c r="DN48" i="1"/>
  <c r="DP5" i="1"/>
  <c r="DP8" i="1"/>
  <c r="DP11" i="1"/>
  <c r="DN3" i="1"/>
  <c r="DN13" i="1"/>
  <c r="DN29" i="1"/>
  <c r="DP33" i="1"/>
  <c r="DP9" i="1"/>
  <c r="DP26" i="1"/>
  <c r="DR44" i="1"/>
  <c r="DR23" i="1" l="1"/>
  <c r="DU23" i="1" s="1"/>
  <c r="DV23" i="1" s="1"/>
  <c r="DR16" i="1"/>
  <c r="DR9" i="1"/>
  <c r="DU44" i="1"/>
  <c r="DU20" i="1"/>
  <c r="DV20" i="1" s="1"/>
  <c r="DR8" i="1"/>
  <c r="DU8" i="1" s="1"/>
  <c r="DV8" i="1" s="1"/>
  <c r="DR34" i="1"/>
  <c r="DU34" i="1" s="1"/>
  <c r="DR29" i="1"/>
  <c r="DR3" i="1"/>
  <c r="DU29" i="1"/>
  <c r="DV29" i="1" s="1"/>
  <c r="DR6" i="1"/>
  <c r="DU6" i="1" s="1"/>
  <c r="DV6" i="1" s="1"/>
  <c r="DR37" i="1"/>
  <c r="DU37" i="1" s="1"/>
  <c r="DW37" i="1" s="1"/>
  <c r="DR40" i="1"/>
  <c r="DU40" i="1" s="1"/>
  <c r="DW40" i="1" s="1"/>
  <c r="DR21" i="1"/>
  <c r="DU21" i="1" s="1"/>
  <c r="DW21" i="1" s="1"/>
  <c r="DR31" i="1"/>
  <c r="DU31" i="1" s="1"/>
  <c r="DV31" i="1" s="1"/>
  <c r="DR35" i="1"/>
  <c r="DU35" i="1" s="1"/>
  <c r="DV35" i="1" s="1"/>
  <c r="DR46" i="1"/>
  <c r="DU46" i="1" s="1"/>
  <c r="DW46" i="1" s="1"/>
  <c r="DR30" i="1"/>
  <c r="DU30" i="1" s="1"/>
  <c r="DW30" i="1" s="1"/>
  <c r="DR25" i="1"/>
  <c r="DU25" i="1" s="1"/>
  <c r="DW25" i="1" s="1"/>
  <c r="DR12" i="1"/>
  <c r="DU12" i="1" s="1"/>
  <c r="DW12" i="1" s="1"/>
  <c r="DU19" i="1"/>
  <c r="DV19" i="1" s="1"/>
  <c r="DR17" i="1"/>
  <c r="DU17" i="1" s="1"/>
  <c r="DV17" i="1" s="1"/>
  <c r="DU41" i="1"/>
  <c r="DV41" i="1" s="1"/>
  <c r="DR14" i="1"/>
  <c r="DU14" i="1" s="1"/>
  <c r="DW14" i="1" s="1"/>
  <c r="DR7" i="1"/>
  <c r="DU7" i="1" s="1"/>
  <c r="DV7" i="1" s="1"/>
  <c r="DR24" i="1"/>
  <c r="DU24" i="1" s="1"/>
  <c r="DV24" i="1" s="1"/>
  <c r="DR49" i="1"/>
  <c r="DU49" i="1" s="1"/>
  <c r="DW49" i="1" s="1"/>
  <c r="DR50" i="1"/>
  <c r="DU50" i="1" s="1"/>
  <c r="DU38" i="1"/>
  <c r="DW38" i="1" s="1"/>
  <c r="DU28" i="1"/>
  <c r="DW28" i="1" s="1"/>
  <c r="DR13" i="1"/>
  <c r="DU13" i="1" s="1"/>
  <c r="DV13" i="1" s="1"/>
  <c r="DR39" i="1"/>
  <c r="DU39" i="1" s="1"/>
  <c r="DV39" i="1" s="1"/>
  <c r="DU9" i="1"/>
  <c r="DV9" i="1" s="1"/>
  <c r="DU3" i="1"/>
  <c r="DW3" i="1" s="1"/>
  <c r="DU16" i="1"/>
  <c r="DV16" i="1" s="1"/>
  <c r="DW20" i="1"/>
  <c r="DR32" i="1"/>
  <c r="DU32" i="1" s="1"/>
  <c r="DW32" i="1" s="1"/>
  <c r="DR48" i="1"/>
  <c r="DU48" i="1" s="1"/>
  <c r="DW48" i="1" s="1"/>
  <c r="DR22" i="1"/>
  <c r="DU22" i="1" s="1"/>
  <c r="DW22" i="1" s="1"/>
  <c r="DR4" i="1"/>
  <c r="DU4" i="1" s="1"/>
  <c r="DW4" i="1" s="1"/>
  <c r="DR10" i="1"/>
  <c r="DU10" i="1" s="1"/>
  <c r="DW10" i="1" s="1"/>
  <c r="DR15" i="1"/>
  <c r="DU15" i="1" s="1"/>
  <c r="DW15" i="1" s="1"/>
  <c r="DR18" i="1"/>
  <c r="DU18" i="1" s="1"/>
  <c r="DW18" i="1" s="1"/>
  <c r="DU11" i="1"/>
  <c r="DW36" i="1"/>
  <c r="DR43" i="1"/>
  <c r="DU43" i="1" s="1"/>
  <c r="DR47" i="1"/>
  <c r="DU47" i="1" s="1"/>
  <c r="DR26" i="1"/>
  <c r="DU26" i="1" s="1"/>
  <c r="DW8" i="1"/>
  <c r="DV21" i="1"/>
  <c r="DR33" i="1"/>
  <c r="DU33" i="1" s="1"/>
  <c r="DR5" i="1"/>
  <c r="DU5" i="1" s="1"/>
  <c r="DV44" i="1"/>
  <c r="DW44" i="1"/>
  <c r="DW23" i="1" l="1"/>
  <c r="DW29" i="1"/>
  <c r="DV12" i="1"/>
  <c r="DV34" i="1"/>
  <c r="DW34" i="1"/>
  <c r="DW13" i="1"/>
  <c r="DV37" i="1"/>
  <c r="DV40" i="1"/>
  <c r="DW6" i="1"/>
  <c r="DW35" i="1"/>
  <c r="DV25" i="1"/>
  <c r="DV3" i="1"/>
  <c r="DV14" i="1"/>
  <c r="DW17" i="1"/>
  <c r="DW9" i="1"/>
  <c r="DV30" i="1"/>
  <c r="DW19" i="1"/>
  <c r="DV28" i="1"/>
  <c r="DW7" i="1"/>
  <c r="DV15" i="1"/>
  <c r="DV4" i="1"/>
  <c r="DV49" i="1"/>
  <c r="DV22" i="1"/>
  <c r="DW41" i="1"/>
  <c r="DW24" i="1"/>
  <c r="DW31" i="1"/>
  <c r="DV38" i="1"/>
  <c r="DV46" i="1"/>
  <c r="DW39" i="1"/>
  <c r="DV32" i="1"/>
  <c r="DV10" i="1"/>
  <c r="DV48" i="1"/>
  <c r="DW50" i="1"/>
  <c r="DV50" i="1"/>
  <c r="DW16" i="1"/>
  <c r="DV18" i="1"/>
  <c r="DV26" i="1"/>
  <c r="DW26" i="1"/>
  <c r="DW43" i="1"/>
  <c r="DV43" i="1"/>
  <c r="DW47" i="1"/>
  <c r="DV47" i="1"/>
  <c r="DV11" i="1"/>
  <c r="DW11" i="1"/>
  <c r="DW5" i="1"/>
  <c r="DV5" i="1"/>
  <c r="DV33" i="1"/>
  <c r="DW33" i="1"/>
</calcChain>
</file>

<file path=xl/sharedStrings.xml><?xml version="1.0" encoding="utf-8"?>
<sst xmlns="http://schemas.openxmlformats.org/spreadsheetml/2006/main" count="439" uniqueCount="271">
  <si>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</si>
  <si>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</si>
  <si>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</si>
  <si>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</si>
  <si>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</si>
  <si>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</si>
  <si>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</si>
  <si>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</si>
  <si>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</si>
  <si>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</si>
  <si>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</si>
  <si>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</si>
  <si>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</si>
  <si>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</si>
  <si>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</si>
  <si>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</si>
  <si>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</si>
  <si>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</si>
  <si>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</si>
  <si>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</si>
  <si>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</si>
  <si>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</si>
  <si>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</si>
  <si>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</si>
  <si>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</si>
  <si>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</si>
  <si>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</si>
  <si>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</si>
  <si>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</si>
  <si>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</si>
  <si>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</si>
  <si>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</si>
  <si>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</si>
  <si>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</si>
  <si>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</si>
  <si>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</si>
  <si>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</si>
  <si>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</si>
  <si>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Luat Marsatti Lukas Pasaribu</t>
  </si>
  <si>
    <t>M. Sawalludinillah</t>
  </si>
  <si>
    <t>Maylani Widiastuti</t>
  </si>
  <si>
    <t>Mutia Farida</t>
  </si>
  <si>
    <t>Novi Yarni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</si>
  <si>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</si>
  <si>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</si>
  <si>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</si>
  <si>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</si>
  <si>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</si>
  <si>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</si>
  <si>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</si>
  <si>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</si>
  <si>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</si>
  <si>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</si>
  <si>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</si>
  <si>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</si>
  <si>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</si>
  <si>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</si>
  <si>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</si>
  <si>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</si>
  <si>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</si>
  <si>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</si>
  <si>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</si>
  <si>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Yenti Adriani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</si>
  <si>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</si>
  <si>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</si>
  <si>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</si>
  <si>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</si>
  <si>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</si>
  <si>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</si>
  <si>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</si>
  <si>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</si>
  <si>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</si>
  <si>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</si>
  <si>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</si>
  <si>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</si>
  <si>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</si>
  <si>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</si>
  <si>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</si>
  <si>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</si>
  <si>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</si>
  <si>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</si>
  <si>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</si>
  <si>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</si>
  <si>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</si>
  <si>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</si>
  <si>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</si>
  <si>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</si>
  <si>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</si>
  <si>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</si>
  <si>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</si>
  <si>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</si>
  <si>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</si>
  <si>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</si>
  <si>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</si>
  <si>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</si>
  <si>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</si>
  <si>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</si>
  <si>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</si>
  <si>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</si>
  <si>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</si>
  <si>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</si>
  <si>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</si>
  <si>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</si>
  <si>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</si>
  <si>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</si>
  <si>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</si>
  <si>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</si>
  <si>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</si>
  <si>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</si>
  <si>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</si>
  <si>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</si>
  <si>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</si>
  <si>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</si>
  <si>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</si>
  <si>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</si>
  <si>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</si>
  <si>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</si>
  <si>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</si>
  <si>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</si>
  <si>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</si>
  <si>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</si>
  <si>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</si>
  <si>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</si>
  <si>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</si>
  <si>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</si>
  <si>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</si>
  <si>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</si>
  <si>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</si>
  <si>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</si>
  <si>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</si>
  <si>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</si>
  <si>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</si>
  <si>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</si>
  <si>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</si>
  <si>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</si>
  <si>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</si>
  <si>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</si>
  <si>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</si>
  <si>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</si>
  <si>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</si>
  <si>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</si>
  <si>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</si>
  <si>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</si>
  <si>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</si>
  <si>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</si>
  <si>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</si>
  <si>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</si>
  <si>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</si>
  <si>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</si>
  <si>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</si>
  <si>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</si>
  <si>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</si>
  <si>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</si>
  <si>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</si>
  <si>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Dukungan Keluarga Dengan Kepatuhan Pasien Minum Obat Tuberkulosis Paru di Puskesmas Melayu Kota Piring Tanjungpinang</t>
  </si>
  <si>
    <t>Hubungan Response Time Dengan Anxiety Level Pada Pasien IGD DI RSUD Natuna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</si>
  <si>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</si>
  <si>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</si>
  <si>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</si>
  <si>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Hubungan Sosial Budaya dengan Upaya pencegahan penularan penyakit TB Paru di Puskesmas Serasan Timur Kabupaten Natuna</t>
  </si>
  <si>
    <t>Pengaruh intradialitik exercise terhadap fatigue pada pasien gagal ginjal kronik yang menjalani terapi hemodialisa di rsud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</si>
  <si>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</si>
  <si>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</si>
  <si>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</si>
  <si>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</si>
  <si>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</si>
  <si>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Dukungan Keluarga Dengan Kualitas Hidup Pasien Gagal Ginjal Kronik (Stadium V) yang Menjalani Hemodialisa di RSUD Natuna</t>
  </si>
  <si>
    <t>SMT1</t>
  </si>
  <si>
    <t>N1</t>
  </si>
  <si>
    <t>B1</t>
  </si>
  <si>
    <t>29 Oktober 1987</t>
  </si>
  <si>
    <t>27 Juni 1986</t>
  </si>
  <si>
    <t>21 September 2000</t>
  </si>
  <si>
    <t>10 Oktober 1984</t>
  </si>
  <si>
    <t>Jakarta</t>
  </si>
  <si>
    <t>11 April 1985</t>
  </si>
  <si>
    <t>Tg. Kumbik</t>
  </si>
  <si>
    <t>27 April 1991</t>
  </si>
  <si>
    <t>22 April 1994</t>
  </si>
  <si>
    <t>27 Mei 1989</t>
  </si>
  <si>
    <t>14 Januari 1991</t>
  </si>
  <si>
    <t>26 November 1986</t>
  </si>
  <si>
    <t>10 April 1991</t>
  </si>
  <si>
    <t>28 Oktober 1991</t>
  </si>
  <si>
    <t>996 / 11 / VIII / 2025</t>
  </si>
  <si>
    <t>997 / 11 / VIII / 2025</t>
  </si>
  <si>
    <t>998 / 11 / VIII / 2025</t>
  </si>
  <si>
    <t>999 / 11 / VIII / 2025</t>
  </si>
  <si>
    <t>1000 / 11 / VIII / 2025</t>
  </si>
  <si>
    <t>1001 / 11 / VIII / 2025</t>
  </si>
  <si>
    <t>1002 / 11 / VIII / 2025</t>
  </si>
  <si>
    <t>1003 / 11 / VIII / 2025</t>
  </si>
  <si>
    <t>1004 / 11 / VIII / 2025</t>
  </si>
  <si>
    <t>1005 / 11 / VIII / 2025</t>
  </si>
  <si>
    <t>1006 / 11 / VIII / 2025</t>
  </si>
  <si>
    <t>1007 / 11 / VIII / 2025</t>
  </si>
  <si>
    <t>1008 / 11 / VIII / 2025</t>
  </si>
  <si>
    <t>1009 / 11 / VIII / 2025</t>
  </si>
  <si>
    <t>1010 / 11 / VIII / 2025</t>
  </si>
  <si>
    <t>1011 / 11 / VIII / 2025</t>
  </si>
  <si>
    <t>1012 / 11 / VIII / 2025</t>
  </si>
  <si>
    <t>1013 / 11 / VIII / 2025</t>
  </si>
  <si>
    <t>1014 / 11 / VIII / 2025</t>
  </si>
  <si>
    <t>1015 / 11 / VIII / 2025</t>
  </si>
  <si>
    <t>1016 / 11 / VIII / 2025</t>
  </si>
  <si>
    <t>1017 / 11 / VIII / 2025</t>
  </si>
  <si>
    <t>1018 / 11 / VIII / 2025</t>
  </si>
  <si>
    <t>1020 / 11 / VIII / 2025</t>
  </si>
  <si>
    <t>1023 / 11 / VIII / 2025</t>
  </si>
  <si>
    <t>1024 / 11 / VIII / 2025</t>
  </si>
  <si>
    <t>1025 / 11 / VIII / 2025</t>
  </si>
  <si>
    <t>1026 / 11 / VIII / 2025</t>
  </si>
  <si>
    <t>1027 / 11 / VIII / 2025</t>
  </si>
  <si>
    <t>1028 / 11 / VIII / 2025</t>
  </si>
  <si>
    <t>1029 / 11 / VIII / 2025</t>
  </si>
  <si>
    <t>1030 / 11 / VIII / 2025</t>
  </si>
  <si>
    <t>1031 / 11 / VIII / 2025</t>
  </si>
  <si>
    <t>1032 / 11 / VIII / 2025</t>
  </si>
  <si>
    <t>1033 / 11 / VIII / 2025</t>
  </si>
  <si>
    <t>1034 / 11 / VIII / 2025</t>
  </si>
  <si>
    <t>1035 / 11 / VIII / 2025</t>
  </si>
  <si>
    <t>1036 / 11 / VIII / 2025</t>
  </si>
  <si>
    <t>1038 / 11 / VIII / 2025</t>
  </si>
  <si>
    <t>1039 / 11 / VIII / 2025</t>
  </si>
  <si>
    <t>1040 / 11 / VIII / 2025</t>
  </si>
  <si>
    <t>1041 / 11 / VIII / 2025</t>
  </si>
  <si>
    <t>1042 / 11 / VIII / 2025</t>
  </si>
  <si>
    <t>1043 / 11 / VIII / 2025</t>
  </si>
  <si>
    <t>1044 / 11 / VIII / 2025</t>
  </si>
  <si>
    <t>Abang Suhermantri</t>
  </si>
  <si>
    <t>07 November 2025</t>
  </si>
  <si>
    <t>7 November 2025</t>
  </si>
  <si>
    <t>wirdani</t>
  </si>
  <si>
    <t xml:space="preserve">Namu Sira Sira </t>
  </si>
  <si>
    <t>7 November</t>
  </si>
  <si>
    <t xml:space="preserve">Pinang Sori </t>
  </si>
  <si>
    <t>16 Oktober 1985</t>
  </si>
  <si>
    <t>Hubungan Kehadiran Orang Tua dengan Kecemasan Anak Saat Pemberian Obat Intravena Line di Ruang Rawat Inap Anak RSUD Natuna</t>
  </si>
  <si>
    <t>1021 / 11 / VIII / 2025</t>
  </si>
  <si>
    <t>1022 / 11 / VIII / 2025</t>
  </si>
  <si>
    <t>1037 / 11 / VIII / 2025</t>
  </si>
  <si>
    <t>Batam</t>
  </si>
  <si>
    <t>18 Januari 2001</t>
  </si>
  <si>
    <t>13 Januari 1992</t>
  </si>
  <si>
    <t>Senawar Jaya</t>
  </si>
  <si>
    <t>20 September 1992</t>
  </si>
  <si>
    <t>7 Desember 1984</t>
  </si>
  <si>
    <t>Hubungan Perilaku Pencegahan Dengan Kejadian Hiv/Aids Pada Wanita Pekerja Seks Komersil Di Ranai</t>
  </si>
  <si>
    <t>Hubungan Self Management Dengan Tekanan Darah Pada Pasien Hipertensi Di Wilayah Kerja Puskesmas Ranai</t>
  </si>
  <si>
    <t>Pengaruh Terapi Bekam Terhadap Kadar Kolesterol Pada Penderita Hiperkolesterolemia Di Kelurahan Bandarsyah</t>
  </si>
  <si>
    <t>Faktor-Faktor Yang Mempengaruhi Kepuasan Pasien Terhadap Kualitas Pelayanan Di Puskesmas Batubi Jaya Kabupaten Natuna</t>
  </si>
  <si>
    <t>Studi Fenomenologi :Fenomena Dan Pengalaman Keluarga Dalam Merawat Pasien Pasung Dengan Penyakit Schizofrenia Di Wilayah Masyarakat Pesisir Natuna</t>
  </si>
  <si>
    <t>Pengaruh Pendidikan Kesehatan Menggunakan Vidio Terhadap Kecemasan Ibu Pre Operasi Sectio Caesarea Di Rumah Sakit Umum Daerah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</si>
  <si>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</si>
  <si>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</si>
  <si>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Hubungan Peran Keluarga Dengan Kepatuhan Minum Obat Pada Lansia Hipertensi Di Kelurahan Ranai Kota</t>
  </si>
  <si>
    <t>Hubungan Life Style Dengan Resiko Terjadinya Hipertensi Pada Remaja Di Wiilayah Kerja Puskesmas Ranai</t>
  </si>
  <si>
    <t>Faktor-Faktor Yang Berhubungan Dengan Kunjungan Balita Ke Posyandu Di Wilayah Kerja Puskesmas Ranai</t>
  </si>
  <si>
    <t>Hubungan Pengetahuan Ibu Dengan Kepatuhan Kelengkapan Imunisasi Lanjutan Pada Balita Di Wilayah Kerja Puskesmas Ranai Kecamatan Bunguran Timur Kabupaten Natuna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</si>
  <si>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</si>
  <si>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</si>
  <si>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Motivasi Kerja Dan Dana Bok Dengan Kinerja Puskesmas Di UPTD Puskesmas Sedanau</t>
  </si>
  <si>
    <t>Hubungan Pengetahuan Dan Perilaku Hidup Sehat Dengan Kejadian Gastritis Di Rawat Jalan RSUD Natuna</t>
  </si>
  <si>
    <t xml:space="preserve">Pengaruh Edukasi Dengan Metode Demonstrasi Terhadap Tingkat Kemandirian Mobilisasi Dini Pada Pasien POST Operasi Di RSUD Natuna. </t>
  </si>
  <si>
    <t>Hubungan Lama Menderita Dengan Kualitas Hidup Pasien Diabetes Melitus Tipe Ii Di Rawat Inap RSUD Natuna</t>
  </si>
  <si>
    <t>Hubungan Konsumsi Makanan Berisiko Dengan Kejadian Tonsilitis Pada Anak Usia Sekolah Di RSUD Natuna</t>
  </si>
  <si>
    <t>Hubungan Kecemasan Dengan Kejadian Hipertensi Pada Lansia Perempuan Di Wilayah Kerja UPTD Puskesmas Sedanau</t>
  </si>
  <si>
    <t>Hubungan Kepatuhan Minum Obat Dengan Kekambuhan Pada Pasien Skizofrenia Di Wilayah Kabupaten Natuna Tahun 2025</t>
  </si>
  <si>
    <t xml:space="preserve">Faktor-Faktor Yang Mempengaruhi Self-Management Pada Pasien Stroke Di RSUD Kabupaten Bintan </t>
  </si>
  <si>
    <t>Hubungan Lama Perawatan Bayi dan Dukungan Keluarga Terhadap Tingkat Kecemasan Orang tua di Ruang NICU RSUD Natuna tahun 2025</t>
  </si>
  <si>
    <t>Kusmarsari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</si>
</sst>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2" fillId="0" borderId="1" xfId="0" applyFont="1" applyBorder="1"/>
    <xf numFmtId="0" fontId="2" fillId="5" borderId="1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8" fillId="0" borderId="1" xfId="0" applyFont="1" applyBorder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X53"/>
  <sheetViews>
    <sheetView tabSelected="1" zoomScale="130" zoomScaleNormal="130" workbookViewId="0">
      <pane xSplit="3" ySplit="2" topLeftCell="DX24" activePane="bottomRight" state="frozen"/>
      <selection pane="topRight" activeCell="D1" sqref="D1"/>
      <selection pane="bottomLeft" activeCell="A3" sqref="A3"/>
      <selection pane="bottomRight" activeCell="B1" sqref="B1:B2"/>
    </sheetView>
  </sheetViews>
  <sheetFormatPr defaultColWidth="9.140625" defaultRowHeight="15" x14ac:dyDescent="0.25"/>
  <cols>
    <col min="1" max="1" width="3.7109375" style="4" bestFit="1" customWidth="1"/>
    <col min="2" max="2" width="33.85546875" style="4" customWidth="1"/>
    <col min="3" max="3" width="20.28515625" style="41" customWidth="1"/>
    <col min="4" max="4" width="20.28515625" style="4" customWidth="1"/>
    <col min="5" max="6" width="20.28515625" style="9" customWidth="1"/>
    <col min="7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1"/>
    <col min="119" max="119" width="9.140625" style="22"/>
    <col min="120" max="125" width="9.140625" style="4"/>
    <col min="126" max="126" width="18.28515625" style="4" customWidth="1"/>
    <col min="127" max="127" width="18.140625" style="4" customWidth="1"/>
    <col min="128" max="128" width="186.85546875" style="27" bestFit="1" customWidth="1"/>
    <col min="129" max="16384" width="9.140625" style="4"/>
  </cols>
  <sheetData>
    <row r="1" spans="1:128" x14ac:dyDescent="0.25">
      <c r="A1" s="34" t="s">
        <v>0</v>
      </c>
      <c r="B1" s="34" t="s">
        <v>1</v>
      </c>
      <c r="C1" s="34" t="s">
        <v>2</v>
      </c>
      <c r="D1" s="34" t="s">
        <v>66</v>
      </c>
      <c r="E1" s="38" t="s">
        <v>67</v>
      </c>
      <c r="F1" s="38" t="s">
        <v>69</v>
      </c>
      <c r="G1" s="34" t="s">
        <v>68</v>
      </c>
      <c r="H1" s="33" t="s">
        <v>3</v>
      </c>
      <c r="I1" s="33"/>
      <c r="J1" s="33"/>
      <c r="K1" s="33"/>
      <c r="L1" s="33"/>
      <c r="M1" s="33" t="s">
        <v>4</v>
      </c>
      <c r="N1" s="33"/>
      <c r="O1" s="33"/>
      <c r="P1" s="33"/>
      <c r="Q1" s="33"/>
      <c r="R1" s="33" t="s">
        <v>5</v>
      </c>
      <c r="S1" s="33"/>
      <c r="T1" s="33"/>
      <c r="U1" s="33"/>
      <c r="V1" s="33"/>
      <c r="W1" s="33" t="s">
        <v>6</v>
      </c>
      <c r="X1" s="33"/>
      <c r="Y1" s="33"/>
      <c r="Z1" s="33"/>
      <c r="AA1" s="33"/>
      <c r="AB1" s="33" t="s">
        <v>7</v>
      </c>
      <c r="AC1" s="33"/>
      <c r="AD1" s="33"/>
      <c r="AE1" s="33"/>
      <c r="AF1" s="33"/>
      <c r="AG1" s="33" t="s">
        <v>8</v>
      </c>
      <c r="AH1" s="33"/>
      <c r="AI1" s="33"/>
      <c r="AJ1" s="33"/>
      <c r="AK1" s="33"/>
      <c r="AL1" s="33" t="s">
        <v>9</v>
      </c>
      <c r="AM1" s="33"/>
      <c r="AN1" s="33"/>
      <c r="AO1" s="33"/>
      <c r="AP1" s="33"/>
      <c r="AQ1" s="33" t="s">
        <v>10</v>
      </c>
      <c r="AR1" s="33"/>
      <c r="AS1" s="33"/>
      <c r="AT1" s="33"/>
      <c r="AU1" s="33"/>
      <c r="AV1" s="33" t="s">
        <v>11</v>
      </c>
      <c r="AW1" s="33"/>
      <c r="AX1" s="33"/>
      <c r="AY1" s="33"/>
      <c r="AZ1" s="33"/>
      <c r="BA1" s="33" t="s">
        <v>12</v>
      </c>
      <c r="BB1" s="33"/>
      <c r="BC1" s="33"/>
      <c r="BD1" s="33"/>
      <c r="BE1" s="33"/>
      <c r="BF1" s="33" t="s">
        <v>13</v>
      </c>
      <c r="BG1" s="33"/>
      <c r="BH1" s="33"/>
      <c r="BI1" s="33"/>
      <c r="BJ1" s="33"/>
      <c r="BK1" s="33" t="s">
        <v>71</v>
      </c>
      <c r="BL1" s="33"/>
      <c r="BM1" s="33"/>
      <c r="BN1" s="33"/>
      <c r="BO1" s="33"/>
      <c r="BP1" s="33" t="s">
        <v>72</v>
      </c>
      <c r="BQ1" s="33"/>
      <c r="BR1" s="33"/>
      <c r="BS1" s="33"/>
      <c r="BT1" s="33"/>
      <c r="BU1" s="33" t="s">
        <v>73</v>
      </c>
      <c r="BV1" s="33"/>
      <c r="BW1" s="33"/>
      <c r="BX1" s="33"/>
      <c r="BY1" s="33"/>
      <c r="BZ1" s="33" t="s">
        <v>74</v>
      </c>
      <c r="CA1" s="33"/>
      <c r="CB1" s="33"/>
      <c r="CC1" s="33"/>
      <c r="CD1" s="33"/>
      <c r="CE1" s="33" t="s">
        <v>75</v>
      </c>
      <c r="CF1" s="33"/>
      <c r="CG1" s="33"/>
      <c r="CH1" s="33"/>
      <c r="CI1" s="33"/>
      <c r="CJ1" s="33" t="s">
        <v>76</v>
      </c>
      <c r="CK1" s="33"/>
      <c r="CL1" s="33"/>
      <c r="CM1" s="33"/>
      <c r="CN1" s="33"/>
      <c r="CO1" s="33" t="s">
        <v>77</v>
      </c>
      <c r="CP1" s="33"/>
      <c r="CQ1" s="33"/>
      <c r="CR1" s="33"/>
      <c r="CS1" s="33"/>
      <c r="CT1" s="33" t="s">
        <v>78</v>
      </c>
      <c r="CU1" s="33"/>
      <c r="CV1" s="33"/>
      <c r="CW1" s="33"/>
      <c r="CX1" s="33"/>
      <c r="CY1" s="33" t="s">
        <v>79</v>
      </c>
      <c r="CZ1" s="33"/>
      <c r="DA1" s="33"/>
      <c r="DB1" s="33"/>
      <c r="DC1" s="33"/>
      <c r="DD1" s="33" t="s">
        <v>80</v>
      </c>
      <c r="DE1" s="33"/>
      <c r="DF1" s="33"/>
      <c r="DG1" s="33"/>
      <c r="DH1" s="33"/>
      <c r="DI1" s="33" t="s">
        <v>81</v>
      </c>
      <c r="DJ1" s="33"/>
      <c r="DK1" s="33"/>
      <c r="DL1" s="33"/>
      <c r="DM1" s="33"/>
      <c r="DN1" s="37" t="s">
        <v>167</v>
      </c>
      <c r="DO1" s="37"/>
      <c r="DP1" s="34" t="s">
        <v>82</v>
      </c>
      <c r="DQ1" s="34"/>
      <c r="DR1" s="34" t="s">
        <v>83</v>
      </c>
      <c r="DS1" s="34" t="s">
        <v>84</v>
      </c>
      <c r="DT1" s="34" t="s">
        <v>14</v>
      </c>
      <c r="DU1" s="35" t="s">
        <v>15</v>
      </c>
      <c r="DV1" s="36" t="s">
        <v>142</v>
      </c>
      <c r="DW1" s="36" t="s">
        <v>143</v>
      </c>
      <c r="DX1" s="35" t="s">
        <v>144</v>
      </c>
    </row>
    <row r="2" spans="1:128" x14ac:dyDescent="0.25">
      <c r="A2" s="34"/>
      <c r="B2" s="34"/>
      <c r="C2" s="34"/>
      <c r="D2" s="34"/>
      <c r="E2" s="38"/>
      <c r="F2" s="38"/>
      <c r="G2" s="34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168</v>
      </c>
      <c r="DO2" s="20" t="s">
        <v>169</v>
      </c>
      <c r="DP2" s="1" t="s">
        <v>85</v>
      </c>
      <c r="DQ2" s="1" t="s">
        <v>86</v>
      </c>
      <c r="DR2" s="34"/>
      <c r="DS2" s="34"/>
      <c r="DT2" s="34"/>
      <c r="DU2" s="35"/>
      <c r="DV2" s="36"/>
      <c r="DW2" s="36"/>
      <c r="DX2" s="35"/>
    </row>
    <row r="3" spans="1:128" x14ac:dyDescent="0.2">
      <c r="A3" s="29">
        <v>1</v>
      </c>
      <c r="B3" s="15" t="s">
        <v>229</v>
      </c>
      <c r="C3" s="15">
        <v>182412001</v>
      </c>
      <c r="D3" s="16" t="s">
        <v>87</v>
      </c>
      <c r="E3" s="7" t="s">
        <v>88</v>
      </c>
      <c r="F3" s="7" t="s">
        <v>141</v>
      </c>
      <c r="G3" s="28" t="s">
        <v>184</v>
      </c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3">
        <f t="shared" ref="DN3:DN23" si="0">L3+Q3+V3+AA3+AF3+AK3+AP3+AU3+AZ3+BE3+BJ3</f>
        <v>85</v>
      </c>
      <c r="DO3" s="24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25" t="s">
        <v>259</v>
      </c>
    </row>
    <row r="4" spans="1:128" x14ac:dyDescent="0.2">
      <c r="A4" s="29">
        <v>2</v>
      </c>
      <c r="B4" s="15" t="s">
        <v>21</v>
      </c>
      <c r="C4" s="15">
        <v>182412002</v>
      </c>
      <c r="D4" s="16" t="s">
        <v>89</v>
      </c>
      <c r="E4" s="7" t="s">
        <v>90</v>
      </c>
      <c r="F4" s="7" t="s">
        <v>141</v>
      </c>
      <c r="G4" s="28" t="s">
        <v>185</v>
      </c>
      <c r="H4" s="5">
        <v>77.25</v>
      </c>
      <c r="I4" s="6" t="str">
        <f t="shared" ref="I4:I50" si="1">IF(H4&gt;=80,"A",IF(H4&gt;=75,"B+",IF(H4&gt;=70,"B",IF(H4&gt;=65,"C+",IF(H4&gt;=60,"C",IF(H4&gt;=55,"D",IF(H4&lt;54,"E")))))))</f>
        <v>B+</v>
      </c>
      <c r="J4" s="1">
        <f t="shared" ref="J4:J50" si="2">IF(I4="A",4,IF(I4="B+",3.5,IF(I4="B",3,IF(I4="C+",2.5,IF(I4="C",2,IF(I4="D",1,0))))))</f>
        <v>3.5</v>
      </c>
      <c r="K4" s="5">
        <v>2</v>
      </c>
      <c r="L4" s="2">
        <f t="shared" ref="L4:L50" si="3">J4*K4</f>
        <v>7</v>
      </c>
      <c r="M4" s="5">
        <v>78</v>
      </c>
      <c r="N4" s="6" t="str">
        <f t="shared" ref="N4:N50" si="4">IF(M4&gt;=80,"A",IF(M4&gt;=75,"B+",IF(M4&gt;=70,"B",IF(M4&gt;=65,"C+",IF(M4&gt;=60,"C",IF(M4&gt;=55,"D",IF(M4&lt;54,"E")))))))</f>
        <v>B+</v>
      </c>
      <c r="O4" s="1">
        <f t="shared" ref="O4:O50" si="5">IF(N4="A",4,IF(N4="B+",3.5,IF(N4="B",3,IF(N4="C+",2.5,IF(N4="C",2,IF(N4="D",1,0))))))</f>
        <v>3.5</v>
      </c>
      <c r="P4" s="5">
        <v>2</v>
      </c>
      <c r="Q4" s="2">
        <f t="shared" ref="Q4:Q50" si="6">O4*P4</f>
        <v>7</v>
      </c>
      <c r="R4" s="5">
        <v>80</v>
      </c>
      <c r="S4" s="6" t="str">
        <f t="shared" ref="S4:S50" si="7">IF(R4&gt;=80,"A",IF(R4&gt;=75,"B+",IF(R4&gt;=70,"B",IF(R4&gt;=65,"C+",IF(R4&gt;=60,"C",IF(R4&gt;=55,"D",IF(R4&lt;54,"E")))))))</f>
        <v>A</v>
      </c>
      <c r="T4" s="1">
        <f t="shared" ref="T4:T50" si="8">IF(S4="A",4,IF(S4="B+",3.5,IF(S4="B",3,IF(S4="C+",2.5,IF(S4="C",2,IF(S4="D",1,0))))))</f>
        <v>4</v>
      </c>
      <c r="U4" s="5">
        <v>2</v>
      </c>
      <c r="V4" s="2">
        <f t="shared" ref="V4:V50" si="9">T4*U4</f>
        <v>8</v>
      </c>
      <c r="W4" s="5">
        <v>80</v>
      </c>
      <c r="X4" s="6" t="str">
        <f t="shared" ref="X4:X50" si="10">IF(W4&gt;=80,"A",IF(W4&gt;=75,"B+",IF(W4&gt;=70,"B",IF(W4&gt;=65,"C+",IF(W4&gt;=60,"C",IF(W4&gt;=55,"D",IF(W4&lt;54,"E")))))))</f>
        <v>A</v>
      </c>
      <c r="Y4" s="1">
        <f t="shared" ref="Y4:Y50" si="11">IF(X4="A",4,IF(X4="B+",3.5,IF(X4="B",3,IF(X4="C+",2.5,IF(X4="C",2,IF(X4="D",1,0))))))</f>
        <v>4</v>
      </c>
      <c r="Z4" s="5">
        <v>3</v>
      </c>
      <c r="AA4" s="2">
        <f t="shared" ref="AA4:AA50" si="12">Y4*Z4</f>
        <v>12</v>
      </c>
      <c r="AB4" s="2">
        <v>76.75</v>
      </c>
      <c r="AC4" s="6" t="str">
        <f t="shared" ref="AC4:AC50" si="13">IF(AB4&gt;=80,"A",IF(AB4&gt;=75,"B+",IF(AB4&gt;=70,"B",IF(AB4&gt;=65,"C+",IF(AB4&gt;=60,"C",IF(AB4&gt;=55,"D",IF(AB4&lt;54,"E")))))))</f>
        <v>B+</v>
      </c>
      <c r="AD4" s="1">
        <f t="shared" ref="AD4:AD50" si="14">IF(AC4="A",4,IF(AC4="B+",3.5,IF(AC4="B",3,IF(AC4="C+",2.5,IF(AC4="C",2,IF(AC4="D",1,0))))))</f>
        <v>3.5</v>
      </c>
      <c r="AE4" s="2">
        <v>2</v>
      </c>
      <c r="AF4" s="2">
        <f t="shared" ref="AF4:AF50" si="15">AD4*AE4</f>
        <v>7</v>
      </c>
      <c r="AG4" s="2">
        <v>78</v>
      </c>
      <c r="AH4" s="6" t="str">
        <f t="shared" ref="AH4:AH50" si="16">IF(AG4&gt;=80,"A",IF(AG4&gt;=75,"B+",IF(AG4&gt;=70,"B",IF(AG4&gt;=65,"C+",IF(AG4&gt;=60,"C",IF(AG4&gt;=55,"D",IF(AG4&lt;54,"E")))))))</f>
        <v>B+</v>
      </c>
      <c r="AI4" s="1">
        <f t="shared" ref="AI4:AI50" si="17">IF(AH4="A",4,IF(AH4="B+",3.5,IF(AH4="B",3,IF(AH4="C+",2.5,IF(AH4="C",2,IF(AH4="D",1,0))))))</f>
        <v>3.5</v>
      </c>
      <c r="AJ4" s="2">
        <v>2</v>
      </c>
      <c r="AK4" s="2">
        <f t="shared" ref="AK4:AK50" si="18">AI4*AJ4</f>
        <v>7</v>
      </c>
      <c r="AL4" s="2">
        <v>78</v>
      </c>
      <c r="AM4" s="6" t="str">
        <f t="shared" ref="AM4:AM50" si="19">IF(AL4&gt;=80,"A",IF(AL4&gt;=75,"B+",IF(AL4&gt;=70,"B",IF(AL4&gt;=65,"C+",IF(AL4&gt;=60,"C",IF(AL4&gt;=55,"D",IF(AL4&lt;54,"E")))))))</f>
        <v>B+</v>
      </c>
      <c r="AN4" s="1">
        <f t="shared" ref="AN4:AN50" si="20">IF(AM4="A",4,IF(AM4="B+",3.5,IF(AM4="B",3,IF(AM4="C+",2.5,IF(AM4="C",2,IF(AM4="D",1,0))))))</f>
        <v>3.5</v>
      </c>
      <c r="AO4" s="2">
        <v>2</v>
      </c>
      <c r="AP4" s="2">
        <f t="shared" ref="AP4:AP50" si="21">AN4*AO4</f>
        <v>7</v>
      </c>
      <c r="AQ4" s="2">
        <v>77</v>
      </c>
      <c r="AR4" s="6" t="str">
        <f t="shared" ref="AR4:AR50" si="22">IF(AQ4&gt;=80,"A",IF(AQ4&gt;=75,"B+",IF(AQ4&gt;=70,"B",IF(AQ4&gt;=65,"C+",IF(AQ4&gt;=60,"C",IF(AQ4&gt;=55,"D",IF(AQ4&lt;54,"E")))))))</f>
        <v>B+</v>
      </c>
      <c r="AS4" s="1">
        <f t="shared" ref="AS4:AS50" si="23">IF(AR4="A",4,IF(AR4="B+",3.5,IF(AR4="B",3,IF(AR4="C+",2.5,IF(AR4="C",2,IF(AR4="D",1,0))))))</f>
        <v>3.5</v>
      </c>
      <c r="AT4" s="2">
        <v>2</v>
      </c>
      <c r="AU4" s="2">
        <f t="shared" ref="AU4:AU50" si="24">AS4*AT4</f>
        <v>7</v>
      </c>
      <c r="AV4" s="5">
        <v>76.75</v>
      </c>
      <c r="AW4" s="6" t="str">
        <f t="shared" ref="AW4:AW50" si="25">IF(AV4&gt;=80,"A",IF(AV4&gt;=75,"B+",IF(AV4&gt;=70,"B",IF(AV4&gt;=65,"C+",IF(AV4&gt;=60,"C",IF(AV4&gt;=55,"D",IF(AV4&lt;54,"E")))))))</f>
        <v>B+</v>
      </c>
      <c r="AX4" s="1">
        <f t="shared" ref="AX4:AX50" si="26">IF(AW4="A",4,IF(AW4="B+",3.5,IF(AW4="B",3,IF(AW4="C+",2.5,IF(AW4="C",2,IF(AW4="D",1,0))))))</f>
        <v>3.5</v>
      </c>
      <c r="AY4" s="5">
        <v>3</v>
      </c>
      <c r="AZ4" s="3">
        <f t="shared" ref="AZ4:AZ50" si="27">AX4*AY4</f>
        <v>10.5</v>
      </c>
      <c r="BA4" s="5">
        <v>76.25</v>
      </c>
      <c r="BB4" s="6" t="str">
        <f t="shared" ref="BB4:BB50" si="28">IF(BA4&gt;=80,"A",IF(BA4&gt;=75,"B+",IF(BA4&gt;=70,"B",IF(BA4&gt;=65,"C+",IF(BA4&gt;=60,"C",IF(BA4&gt;=55,"D",IF(BA4&lt;54,"E")))))))</f>
        <v>B+</v>
      </c>
      <c r="BC4" s="1">
        <f t="shared" ref="BC4:BC50" si="29">IF(BB4="A",4,IF(BB4="B+",3.5,IF(BB4="B",3,IF(BB4="C+",2.5,IF(BB4="C",2,IF(BB4="D",1,0))))))</f>
        <v>3.5</v>
      </c>
      <c r="BD4" s="5">
        <v>2</v>
      </c>
      <c r="BE4" s="2">
        <f t="shared" ref="BE4:BE50" si="30">BC4*BD4</f>
        <v>7</v>
      </c>
      <c r="BF4" s="5">
        <v>80</v>
      </c>
      <c r="BG4" s="6" t="str">
        <f t="shared" ref="BG4:BG50" si="31">IF(BF4&gt;=80,"A",IF(BF4&gt;=75,"B+",IF(BF4&gt;=70,"B",IF(BF4&gt;=65,"C+",IF(BF4&gt;=60,"C",IF(BF4&gt;=55,"D",IF(BF4&lt;54,"E")))))))</f>
        <v>A</v>
      </c>
      <c r="BH4" s="1">
        <f t="shared" ref="BH4:BH50" si="32">IF(BG4="A",4,IF(BG4="B+",3.5,IF(BG4="B",3,IF(BG4="C+",2.5,IF(BG4="C",2,IF(BG4="D",1,0))))))</f>
        <v>4</v>
      </c>
      <c r="BI4" s="5">
        <v>2</v>
      </c>
      <c r="BJ4" s="2">
        <f t="shared" ref="BJ4:BJ50" si="33">BH4*BI4</f>
        <v>8</v>
      </c>
      <c r="BK4" s="5">
        <v>79.73</v>
      </c>
      <c r="BL4" s="6" t="str">
        <f t="shared" ref="BL4:BL50" si="34">IF(BK4&gt;=80,"A",IF(BK4&gt;=75,"B+",IF(BK4&gt;=70,"B",IF(BK4&gt;=65,"C+",IF(BK4&gt;=60,"C",IF(BK4&gt;=55,"D",IF(BK4&lt;54,"E")))))))</f>
        <v>B+</v>
      </c>
      <c r="BM4" s="1">
        <f t="shared" ref="BM4:BM50" si="35">IF(BL4="A",4,IF(BL4="B+",3.5,IF(BL4="B",3,IF(BL4="C+",2.5,IF(BL4="C",2,IF(BL4="D",1,0))))))</f>
        <v>3.5</v>
      </c>
      <c r="BN4" s="5">
        <v>2</v>
      </c>
      <c r="BO4" s="2">
        <f t="shared" ref="BO4:BO50" si="36">BM4*BN4</f>
        <v>7</v>
      </c>
      <c r="BP4" s="5">
        <v>81.099999999999994</v>
      </c>
      <c r="BQ4" s="6" t="str">
        <f t="shared" ref="BQ4:BQ50" si="37">IF(BP4&gt;=80,"A",IF(BP4&gt;=75,"B+",IF(BP4&gt;=70,"B",IF(BP4&gt;=65,"C+",IF(BP4&gt;=60,"C",IF(BP4&gt;=55,"D",IF(BP4&lt;54,"E")))))))</f>
        <v>A</v>
      </c>
      <c r="BR4" s="1">
        <f t="shared" ref="BR4:BR50" si="38">IF(BQ4="A",4,IF(BQ4="B+",3.5,IF(BQ4="B",3,IF(BQ4="C+",2.5,IF(BQ4="C",2,IF(BQ4="D",1,0))))))</f>
        <v>4</v>
      </c>
      <c r="BS4" s="5">
        <v>2</v>
      </c>
      <c r="BT4" s="2">
        <f t="shared" ref="BT4:BT50" si="39">BR4*BS4</f>
        <v>8</v>
      </c>
      <c r="BU4" s="5">
        <v>80</v>
      </c>
      <c r="BV4" s="6" t="str">
        <f t="shared" ref="BV4:BV50" si="40">IF(BU4&gt;=80,"A",IF(BU4&gt;=75,"B+",IF(BU4&gt;=70,"B",IF(BU4&gt;=65,"C+",IF(BU4&gt;=60,"C",IF(BU4&gt;=55,"D",IF(BU4&lt;54,"E")))))))</f>
        <v>A</v>
      </c>
      <c r="BW4" s="1">
        <f t="shared" ref="BW4:BW50" si="41">IF(BV4="A",4,IF(BV4="B+",3.5,IF(BV4="B",3,IF(BV4="C+",2.5,IF(BV4="C",2,IF(BV4="D",1,0))))))</f>
        <v>4</v>
      </c>
      <c r="BX4" s="5">
        <v>2</v>
      </c>
      <c r="BY4" s="2">
        <f t="shared" ref="BY4:BY50" si="42">BW4*BX4</f>
        <v>8</v>
      </c>
      <c r="BZ4" s="5">
        <v>78.2</v>
      </c>
      <c r="CA4" s="6" t="str">
        <f t="shared" ref="CA4:CA50" si="43">IF(BZ4&gt;=80,"A",IF(BZ4&gt;=75,"B+",IF(BZ4&gt;=70,"B",IF(BZ4&gt;=65,"C+",IF(BZ4&gt;=60,"C",IF(BZ4&gt;=55,"D",IF(BZ4&lt;54,"E")))))))</f>
        <v>B+</v>
      </c>
      <c r="CB4" s="1">
        <f t="shared" ref="CB4:CB50" si="44">IF(CA4="A",4,IF(CA4="B+",3.5,IF(CA4="B",3,IF(CA4="C+",2.5,IF(CA4="C",2,IF(CA4="D",1,0))))))</f>
        <v>3.5</v>
      </c>
      <c r="CC4" s="5">
        <v>2</v>
      </c>
      <c r="CD4" s="2">
        <f t="shared" ref="CD4:CD50" si="45">CB4*CC4</f>
        <v>7</v>
      </c>
      <c r="CE4" s="2">
        <v>86</v>
      </c>
      <c r="CF4" s="6" t="str">
        <f t="shared" ref="CF4:CF50" si="46">IF(CE4&gt;=80,"A",IF(CE4&gt;=75,"B+",IF(CE4&gt;=70,"B",IF(CE4&gt;=65,"C+",IF(CE4&gt;=60,"C",IF(CE4&gt;=55,"D",IF(CE4&lt;54,"E")))))))</f>
        <v>A</v>
      </c>
      <c r="CG4" s="1">
        <f t="shared" ref="CG4:CG50" si="47">IF(CF4="A",4,IF(CF4="B+",3.5,IF(CF4="B",3,IF(CF4="C+",2.5,IF(CF4="C",2,IF(CF4="D",1,0))))))</f>
        <v>4</v>
      </c>
      <c r="CH4" s="5">
        <v>2</v>
      </c>
      <c r="CI4" s="2">
        <f t="shared" ref="CI4:CI50" si="48">CG4*CH4</f>
        <v>8</v>
      </c>
      <c r="CJ4" s="2">
        <v>76.13</v>
      </c>
      <c r="CK4" s="6" t="str">
        <f t="shared" ref="CK4:CK50" si="49">IF(CJ4&gt;=80,"A",IF(CJ4&gt;=75,"B+",IF(CJ4&gt;=70,"B",IF(CJ4&gt;=65,"C+",IF(CJ4&gt;=60,"C",IF(CJ4&gt;=55,"D",IF(CJ4&lt;54,"E")))))))</f>
        <v>B+</v>
      </c>
      <c r="CL4" s="1">
        <f t="shared" ref="CL4:CL50" si="50">IF(CK4="A",4,IF(CK4="B+",3.5,IF(CK4="B",3,IF(CK4="C+",2.5,IF(CK4="C",2,IF(CK4="D",1,0))))))</f>
        <v>3.5</v>
      </c>
      <c r="CM4" s="2">
        <v>2</v>
      </c>
      <c r="CN4" s="2">
        <f t="shared" ref="CN4:CN50" si="51">CL4*CM4</f>
        <v>7</v>
      </c>
      <c r="CO4" s="2">
        <v>77.599999999999994</v>
      </c>
      <c r="CP4" s="6" t="str">
        <f t="shared" ref="CP4:CP50" si="52">IF(CO4&gt;=80,"A",IF(CO4&gt;=75,"B+",IF(CO4&gt;=70,"B",IF(CO4&gt;=65,"C+",IF(CO4&gt;=60,"C",IF(CO4&gt;=55,"D",IF(CO4&lt;54,"E")))))))</f>
        <v>B+</v>
      </c>
      <c r="CQ4" s="1">
        <f t="shared" ref="CQ4:CQ50" si="53">IF(CP4="A",4,IF(CP4="B+",3.5,IF(CP4="B",3,IF(CP4="C+",2.5,IF(CP4="C",2,IF(CP4="D",1,0))))))</f>
        <v>3.5</v>
      </c>
      <c r="CR4" s="2">
        <v>2</v>
      </c>
      <c r="CS4" s="2">
        <f t="shared" ref="CS4:CS50" si="54">CQ4*CR4</f>
        <v>7</v>
      </c>
      <c r="CT4" s="2">
        <v>81.3</v>
      </c>
      <c r="CU4" s="6" t="str">
        <f t="shared" ref="CU4:CU50" si="55">IF(CT4&gt;=80,"A",IF(CT4&gt;=75,"B+",IF(CT4&gt;=70,"B",IF(CT4&gt;=65,"C+",IF(CT4&gt;=60,"C",IF(CT4&gt;=55,"D",IF(CT4&lt;54,"E")))))))</f>
        <v>A</v>
      </c>
      <c r="CV4" s="1">
        <f t="shared" ref="CV4:CV50" si="56">IF(CU4="A",4,IF(CU4="B+",3.5,IF(CU4="B",3,IF(CU4="C+",2.5,IF(CU4="C",2,IF(CU4="D",1,0))))))</f>
        <v>4</v>
      </c>
      <c r="CW4" s="2">
        <v>2</v>
      </c>
      <c r="CX4" s="2">
        <f t="shared" ref="CX4:CX50" si="57">CV4*CW4</f>
        <v>8</v>
      </c>
      <c r="CY4" s="5">
        <v>79</v>
      </c>
      <c r="CZ4" s="6" t="str">
        <f t="shared" ref="CZ4:CZ50" si="58">IF(CY4&gt;=80,"A",IF(CY4&gt;=75,"B+",IF(CY4&gt;=70,"B",IF(CY4&gt;=65,"C+",IF(CY4&gt;=60,"C",IF(CY4&gt;=55,"D",IF(CY4&lt;54,"E")))))))</f>
        <v>B+</v>
      </c>
      <c r="DA4" s="1">
        <f t="shared" ref="DA4:DA50" si="59">IF(CZ4="A",4,IF(CZ4="B+",3.5,IF(CZ4="B",3,IF(CZ4="C+",2.5,IF(CZ4="C",2,IF(CZ4="D",1,0))))))</f>
        <v>3.5</v>
      </c>
      <c r="DB4" s="5">
        <v>2</v>
      </c>
      <c r="DC4" s="3">
        <f t="shared" ref="DC4:DC50" si="60">DA4*DB4</f>
        <v>7</v>
      </c>
      <c r="DD4" s="5">
        <v>75.099999999999994</v>
      </c>
      <c r="DE4" s="6" t="str">
        <f t="shared" ref="DE4:DE50" si="61">IF(DD4&gt;=80,"A",IF(DD4&gt;=75,"B+",IF(DD4&gt;=70,"B",IF(DD4&gt;=65,"C+",IF(DD4&gt;=60,"C",IF(DD4&gt;=55,"D",IF(DD4&lt;54,"E")))))))</f>
        <v>B+</v>
      </c>
      <c r="DF4" s="1">
        <f t="shared" ref="DF4:DF50" si="62">IF(DE4="A",4,IF(DE4="B+",3.5,IF(DE4="B",3,IF(DE4="C+",2.5,IF(DE4="C",2,IF(DE4="D",1,0))))))</f>
        <v>3.5</v>
      </c>
      <c r="DG4" s="5">
        <v>2</v>
      </c>
      <c r="DH4" s="2">
        <f t="shared" ref="DH4:DH50" si="63">DF4*DG4</f>
        <v>7</v>
      </c>
      <c r="DI4" s="5">
        <v>82</v>
      </c>
      <c r="DJ4" s="6" t="str">
        <f t="shared" ref="DJ4:DJ50" si="64">IF(DI4&gt;=80,"A",IF(DI4&gt;=75,"B+",IF(DI4&gt;=70,"B",IF(DI4&gt;=65,"C+",IF(DI4&gt;=60,"C",IF(DI4&gt;=55,"D",IF(DI4&lt;54,"E")))))))</f>
        <v>A</v>
      </c>
      <c r="DK4" s="1">
        <f t="shared" ref="DK4:DK50" si="65">IF(DJ4="A",4,IF(DJ4="B+",3.5,IF(DJ4="B",3,IF(DJ4="C+",2.5,IF(DJ4="C",2,IF(DJ4="D",1,0))))))</f>
        <v>4</v>
      </c>
      <c r="DL4" s="5">
        <v>4</v>
      </c>
      <c r="DM4" s="2">
        <f t="shared" ref="DM4:DM50" si="66">DK4*DL4</f>
        <v>16</v>
      </c>
      <c r="DN4" s="23">
        <f t="shared" si="0"/>
        <v>87.5</v>
      </c>
      <c r="DO4" s="24">
        <f t="shared" ref="DO4:DO50" si="67">K4+P4+U4+Z4+AE4+AJ4+AO4+AT4+AY4+BD4+BI4</f>
        <v>24</v>
      </c>
      <c r="DP4" s="5">
        <f t="shared" ref="DP4:DP50" si="68">BO4+BT4+BY4+CD4+CI4+CN4+CS4+CX4+DC4+DH4+DM4</f>
        <v>90</v>
      </c>
      <c r="DQ4" s="5">
        <f t="shared" ref="DQ4:DQ49" si="69">BN4+BS4+BX4+CC4+CH4+CM4+CR4+CW4+DB4+DG4+DL4</f>
        <v>24</v>
      </c>
      <c r="DR4" s="5">
        <f t="shared" ref="DR4:DR50" si="70">DN4+DP4</f>
        <v>177.5</v>
      </c>
      <c r="DS4" s="5">
        <f t="shared" ref="DS4:DS50" si="71">DO4+DQ4</f>
        <v>48</v>
      </c>
      <c r="DT4" s="5">
        <v>3.75</v>
      </c>
      <c r="DU4" s="5">
        <f t="shared" ref="DU4:DU50" si="72">DR4/DS4</f>
        <v>3.6979166666666665</v>
      </c>
      <c r="DV4" s="10" t="str">
        <f t="shared" ref="DV4:DV50" si="73">IF(DU4&gt;=3.51,"Cum Laude",(IF(DU4&gt;=2.75,"Sangat Memuaskan",(IF(DU4&gt;=2,"Memuaskan","GAGAL")))))</f>
        <v>Cum Laude</v>
      </c>
      <c r="DW4" s="17" t="str">
        <f t="shared" ref="DW4:DW50" si="74">IF(DU4&gt;=3.51,"Excellent",(IF(DU4&gt;=2.75,"Highly Satisfactory",(IF(DU4&gt;=2,"Satisfactory","FAILED")))))</f>
        <v>Excellent</v>
      </c>
      <c r="DX4" s="25" t="s">
        <v>260</v>
      </c>
    </row>
    <row r="5" spans="1:128" x14ac:dyDescent="0.2">
      <c r="A5" s="29">
        <v>3</v>
      </c>
      <c r="B5" s="15" t="s">
        <v>22</v>
      </c>
      <c r="C5" s="15">
        <v>182412003</v>
      </c>
      <c r="D5" s="16" t="s">
        <v>91</v>
      </c>
      <c r="E5" s="7" t="s">
        <v>92</v>
      </c>
      <c r="F5" s="7" t="s">
        <v>141</v>
      </c>
      <c r="G5" s="28" t="s">
        <v>186</v>
      </c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3">
        <f t="shared" si="0"/>
        <v>90</v>
      </c>
      <c r="DO5" s="24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25" t="s">
        <v>145</v>
      </c>
    </row>
    <row r="6" spans="1:128" x14ac:dyDescent="0.2">
      <c r="A6" s="29">
        <v>4</v>
      </c>
      <c r="B6" s="15" t="s">
        <v>23</v>
      </c>
      <c r="C6" s="15">
        <v>182412004</v>
      </c>
      <c r="D6" s="16" t="s">
        <v>93</v>
      </c>
      <c r="E6" s="7" t="s">
        <v>94</v>
      </c>
      <c r="F6" s="7" t="s">
        <v>141</v>
      </c>
      <c r="G6" s="28" t="s">
        <v>187</v>
      </c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3">
        <f t="shared" si="0"/>
        <v>82</v>
      </c>
      <c r="DO6" s="24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39" t="s">
        <v>247</v>
      </c>
    </row>
    <row r="7" spans="1:128" x14ac:dyDescent="0.2">
      <c r="A7" s="29">
        <v>5</v>
      </c>
      <c r="B7" s="15" t="s">
        <v>24</v>
      </c>
      <c r="C7" s="15">
        <v>182412005</v>
      </c>
      <c r="D7" s="16" t="s">
        <v>96</v>
      </c>
      <c r="E7" s="7" t="s">
        <v>95</v>
      </c>
      <c r="F7" s="7" t="s">
        <v>141</v>
      </c>
      <c r="G7" s="28" t="s">
        <v>188</v>
      </c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3">
        <f t="shared" si="0"/>
        <v>83</v>
      </c>
      <c r="DO7" s="24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6" t="s">
        <v>248</v>
      </c>
    </row>
    <row r="8" spans="1:128" x14ac:dyDescent="0.2">
      <c r="A8" s="29">
        <v>6</v>
      </c>
      <c r="B8" s="15" t="s">
        <v>25</v>
      </c>
      <c r="C8" s="15">
        <v>182412006</v>
      </c>
      <c r="D8" s="16" t="s">
        <v>97</v>
      </c>
      <c r="E8" s="7" t="s">
        <v>98</v>
      </c>
      <c r="F8" s="7" t="s">
        <v>141</v>
      </c>
      <c r="G8" s="28" t="s">
        <v>189</v>
      </c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3">
        <f t="shared" si="0"/>
        <v>84</v>
      </c>
      <c r="DO8" s="24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25" t="s">
        <v>147</v>
      </c>
    </row>
    <row r="9" spans="1:128" x14ac:dyDescent="0.2">
      <c r="A9" s="29">
        <v>7</v>
      </c>
      <c r="B9" s="15" t="s">
        <v>26</v>
      </c>
      <c r="C9" s="15">
        <v>182412007</v>
      </c>
      <c r="D9" s="16" t="s">
        <v>99</v>
      </c>
      <c r="E9" s="7" t="s">
        <v>183</v>
      </c>
      <c r="F9" s="7" t="s">
        <v>141</v>
      </c>
      <c r="G9" s="28" t="s">
        <v>190</v>
      </c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3">
        <f t="shared" si="0"/>
        <v>87.5</v>
      </c>
      <c r="DO9" s="24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25" t="s">
        <v>146</v>
      </c>
    </row>
    <row r="10" spans="1:128" x14ac:dyDescent="0.25">
      <c r="A10" s="29">
        <v>8</v>
      </c>
      <c r="B10" s="15" t="s">
        <v>70</v>
      </c>
      <c r="C10" s="15">
        <v>182412008</v>
      </c>
      <c r="D10" s="15" t="s">
        <v>109</v>
      </c>
      <c r="E10" s="7" t="s">
        <v>182</v>
      </c>
      <c r="F10" s="7" t="s">
        <v>230</v>
      </c>
      <c r="G10" s="28" t="s">
        <v>191</v>
      </c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>
        <v>79</v>
      </c>
      <c r="DJ10" s="6" t="str">
        <f t="shared" si="64"/>
        <v>B+</v>
      </c>
      <c r="DK10" s="1">
        <f t="shared" si="65"/>
        <v>3.5</v>
      </c>
      <c r="DL10" s="5">
        <v>4</v>
      </c>
      <c r="DM10" s="2">
        <f t="shared" si="66"/>
        <v>14</v>
      </c>
      <c r="DN10" s="23">
        <f t="shared" si="0"/>
        <v>84</v>
      </c>
      <c r="DO10" s="24">
        <f t="shared" si="67"/>
        <v>24</v>
      </c>
      <c r="DP10" s="5">
        <f t="shared" si="68"/>
        <v>87</v>
      </c>
      <c r="DQ10" s="5">
        <f t="shared" si="69"/>
        <v>24</v>
      </c>
      <c r="DR10" s="5">
        <f t="shared" si="70"/>
        <v>171</v>
      </c>
      <c r="DS10" s="5">
        <f t="shared" si="71"/>
        <v>48</v>
      </c>
      <c r="DT10" s="5">
        <v>3.0416666666666665</v>
      </c>
      <c r="DU10" s="5">
        <f t="shared" si="72"/>
        <v>3.5625</v>
      </c>
      <c r="DV10" s="10" t="str">
        <f t="shared" si="73"/>
        <v>Cum Laude</v>
      </c>
      <c r="DW10" s="17" t="str">
        <f t="shared" si="74"/>
        <v>Excellent</v>
      </c>
      <c r="DX10" s="40" t="s">
        <v>249</v>
      </c>
    </row>
    <row r="11" spans="1:128" x14ac:dyDescent="0.25">
      <c r="A11" s="29">
        <v>9</v>
      </c>
      <c r="B11" s="15" t="s">
        <v>27</v>
      </c>
      <c r="C11" s="15">
        <v>182412009</v>
      </c>
      <c r="D11" s="16" t="s">
        <v>101</v>
      </c>
      <c r="E11" s="7" t="s">
        <v>100</v>
      </c>
      <c r="F11" s="7" t="s">
        <v>141</v>
      </c>
      <c r="G11" s="28" t="s">
        <v>192</v>
      </c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3">
        <f t="shared" si="0"/>
        <v>86.5</v>
      </c>
      <c r="DO11" s="24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40" t="s">
        <v>250</v>
      </c>
    </row>
    <row r="12" spans="1:128" x14ac:dyDescent="0.2">
      <c r="A12" s="29">
        <v>10</v>
      </c>
      <c r="B12" s="15" t="s">
        <v>28</v>
      </c>
      <c r="C12" s="15">
        <v>182412010</v>
      </c>
      <c r="D12" s="16" t="s">
        <v>102</v>
      </c>
      <c r="E12" s="7" t="s">
        <v>103</v>
      </c>
      <c r="F12" s="7" t="s">
        <v>141</v>
      </c>
      <c r="G12" s="28" t="s">
        <v>193</v>
      </c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3">
        <f t="shared" si="0"/>
        <v>83.5</v>
      </c>
      <c r="DO12" s="24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25" t="s">
        <v>155</v>
      </c>
    </row>
    <row r="13" spans="1:128" x14ac:dyDescent="0.2">
      <c r="A13" s="29">
        <v>11</v>
      </c>
      <c r="B13" s="15" t="s">
        <v>29</v>
      </c>
      <c r="C13" s="15">
        <v>182412011</v>
      </c>
      <c r="D13" s="16" t="s">
        <v>89</v>
      </c>
      <c r="E13" s="7" t="s">
        <v>104</v>
      </c>
      <c r="F13" s="7" t="s">
        <v>141</v>
      </c>
      <c r="G13" s="28" t="s">
        <v>194</v>
      </c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3">
        <f t="shared" si="0"/>
        <v>86.5</v>
      </c>
      <c r="DO13" s="24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25" t="s">
        <v>261</v>
      </c>
    </row>
    <row r="14" spans="1:128" ht="28.5" x14ac:dyDescent="0.2">
      <c r="A14" s="29">
        <v>12</v>
      </c>
      <c r="B14" s="15" t="s">
        <v>30</v>
      </c>
      <c r="C14" s="15">
        <v>182412012</v>
      </c>
      <c r="D14" s="10" t="s">
        <v>106</v>
      </c>
      <c r="E14" s="7" t="s">
        <v>105</v>
      </c>
      <c r="F14" s="7" t="s">
        <v>141</v>
      </c>
      <c r="G14" s="28" t="s">
        <v>195</v>
      </c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3">
        <f t="shared" si="0"/>
        <v>92</v>
      </c>
      <c r="DO14" s="24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25" t="s">
        <v>148</v>
      </c>
    </row>
    <row r="15" spans="1:128" x14ac:dyDescent="0.2">
      <c r="A15" s="29">
        <v>13</v>
      </c>
      <c r="B15" s="15" t="s">
        <v>31</v>
      </c>
      <c r="C15" s="15">
        <v>182412013</v>
      </c>
      <c r="D15" s="15" t="s">
        <v>112</v>
      </c>
      <c r="E15" s="7" t="s">
        <v>171</v>
      </c>
      <c r="F15" s="7" t="s">
        <v>231</v>
      </c>
      <c r="G15" s="28" t="s">
        <v>196</v>
      </c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>
        <v>79</v>
      </c>
      <c r="DJ15" s="6" t="str">
        <f t="shared" si="64"/>
        <v>B+</v>
      </c>
      <c r="DK15" s="1">
        <f t="shared" si="65"/>
        <v>3.5</v>
      </c>
      <c r="DL15" s="5">
        <v>4</v>
      </c>
      <c r="DM15" s="2">
        <f t="shared" si="66"/>
        <v>14</v>
      </c>
      <c r="DN15" s="23">
        <f t="shared" si="0"/>
        <v>83</v>
      </c>
      <c r="DO15" s="24">
        <f t="shared" si="67"/>
        <v>24</v>
      </c>
      <c r="DP15" s="5">
        <f t="shared" si="68"/>
        <v>85</v>
      </c>
      <c r="DQ15" s="5">
        <f t="shared" si="69"/>
        <v>24</v>
      </c>
      <c r="DR15" s="5">
        <f t="shared" si="70"/>
        <v>168</v>
      </c>
      <c r="DS15" s="5">
        <f t="shared" si="71"/>
        <v>48</v>
      </c>
      <c r="DT15" s="5">
        <v>2.9583333333333335</v>
      </c>
      <c r="DU15" s="5">
        <f t="shared" si="72"/>
        <v>3.5</v>
      </c>
      <c r="DV15" s="10" t="str">
        <f t="shared" si="73"/>
        <v>Sangat Memuaskan</v>
      </c>
      <c r="DW15" s="17" t="str">
        <f t="shared" si="74"/>
        <v>Highly Satisfactory</v>
      </c>
      <c r="DX15" s="25" t="s">
        <v>156</v>
      </c>
    </row>
    <row r="16" spans="1:128" x14ac:dyDescent="0.2">
      <c r="A16" s="29">
        <v>14</v>
      </c>
      <c r="B16" s="15" t="s">
        <v>32</v>
      </c>
      <c r="C16" s="15">
        <v>182412014</v>
      </c>
      <c r="D16" s="15" t="s">
        <v>106</v>
      </c>
      <c r="E16" s="7" t="s">
        <v>243</v>
      </c>
      <c r="F16" s="7" t="s">
        <v>141</v>
      </c>
      <c r="G16" s="28" t="s">
        <v>197</v>
      </c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3">
        <f t="shared" si="0"/>
        <v>86.5</v>
      </c>
      <c r="DO16" s="24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25" t="s">
        <v>149</v>
      </c>
    </row>
    <row r="17" spans="1:128" x14ac:dyDescent="0.2">
      <c r="A17" s="29">
        <v>15</v>
      </c>
      <c r="B17" s="15" t="s">
        <v>33</v>
      </c>
      <c r="C17" s="15">
        <v>182412015</v>
      </c>
      <c r="D17" s="16" t="s">
        <v>108</v>
      </c>
      <c r="E17" s="7" t="s">
        <v>107</v>
      </c>
      <c r="F17" s="7" t="s">
        <v>141</v>
      </c>
      <c r="G17" s="28" t="s">
        <v>198</v>
      </c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>
        <v>75</v>
      </c>
      <c r="DJ17" s="6" t="str">
        <f t="shared" si="64"/>
        <v>B+</v>
      </c>
      <c r="DK17" s="1">
        <f t="shared" si="65"/>
        <v>3.5</v>
      </c>
      <c r="DL17" s="5">
        <v>4</v>
      </c>
      <c r="DM17" s="2">
        <f t="shared" si="66"/>
        <v>14</v>
      </c>
      <c r="DN17" s="23">
        <f t="shared" si="0"/>
        <v>83</v>
      </c>
      <c r="DO17" s="24">
        <f t="shared" si="67"/>
        <v>24</v>
      </c>
      <c r="DP17" s="5">
        <f t="shared" si="68"/>
        <v>87</v>
      </c>
      <c r="DQ17" s="5">
        <f t="shared" si="69"/>
        <v>24</v>
      </c>
      <c r="DR17" s="5">
        <f t="shared" si="70"/>
        <v>170</v>
      </c>
      <c r="DS17" s="5">
        <f t="shared" si="71"/>
        <v>48</v>
      </c>
      <c r="DT17" s="5">
        <v>3.0416666666666665</v>
      </c>
      <c r="DU17" s="5">
        <f t="shared" si="72"/>
        <v>3.5416666666666665</v>
      </c>
      <c r="DV17" s="10" t="str">
        <f t="shared" si="73"/>
        <v>Cum Laude</v>
      </c>
      <c r="DW17" s="17" t="str">
        <f t="shared" si="74"/>
        <v>Excellent</v>
      </c>
      <c r="DX17" s="25" t="s">
        <v>269</v>
      </c>
    </row>
    <row r="18" spans="1:128" x14ac:dyDescent="0.2">
      <c r="A18" s="29">
        <v>16</v>
      </c>
      <c r="B18" s="15" t="s">
        <v>34</v>
      </c>
      <c r="C18" s="15">
        <v>182412016</v>
      </c>
      <c r="D18" s="16" t="s">
        <v>109</v>
      </c>
      <c r="E18" s="7" t="s">
        <v>110</v>
      </c>
      <c r="F18" s="7" t="s">
        <v>141</v>
      </c>
      <c r="G18" s="28" t="s">
        <v>199</v>
      </c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3">
        <f t="shared" si="0"/>
        <v>87.5</v>
      </c>
      <c r="DO18" s="24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6" t="s">
        <v>157</v>
      </c>
    </row>
    <row r="19" spans="1:128" x14ac:dyDescent="0.2">
      <c r="A19" s="29">
        <v>17</v>
      </c>
      <c r="B19" s="15" t="s">
        <v>35</v>
      </c>
      <c r="C19" s="15">
        <v>182412017</v>
      </c>
      <c r="D19" s="16" t="s">
        <v>106</v>
      </c>
      <c r="E19" s="7" t="s">
        <v>111</v>
      </c>
      <c r="F19" s="7" t="s">
        <v>141</v>
      </c>
      <c r="G19" s="28" t="s">
        <v>200</v>
      </c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3">
        <f t="shared" si="0"/>
        <v>86.5</v>
      </c>
      <c r="DO19" s="24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25" t="s">
        <v>150</v>
      </c>
    </row>
    <row r="20" spans="1:128" x14ac:dyDescent="0.2">
      <c r="A20" s="29">
        <v>18</v>
      </c>
      <c r="B20" s="15" t="s">
        <v>36</v>
      </c>
      <c r="C20" s="15">
        <v>182412018</v>
      </c>
      <c r="D20" s="15" t="s">
        <v>244</v>
      </c>
      <c r="E20" s="7" t="s">
        <v>245</v>
      </c>
      <c r="F20" s="7" t="s">
        <v>141</v>
      </c>
      <c r="G20" s="28" t="s">
        <v>201</v>
      </c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3">
        <f t="shared" si="0"/>
        <v>83</v>
      </c>
      <c r="DO20" s="24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25" t="s">
        <v>151</v>
      </c>
    </row>
    <row r="21" spans="1:128" x14ac:dyDescent="0.2">
      <c r="A21" s="29">
        <v>19</v>
      </c>
      <c r="B21" s="15" t="s">
        <v>37</v>
      </c>
      <c r="C21" s="15">
        <v>182412019</v>
      </c>
      <c r="D21" s="16" t="s">
        <v>112</v>
      </c>
      <c r="E21" s="7" t="s">
        <v>113</v>
      </c>
      <c r="F21" s="7" t="s">
        <v>141</v>
      </c>
      <c r="G21" s="28" t="s">
        <v>202</v>
      </c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3">
        <f t="shared" si="0"/>
        <v>84</v>
      </c>
      <c r="DO21" s="24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25" t="s">
        <v>158</v>
      </c>
    </row>
    <row r="22" spans="1:128" x14ac:dyDescent="0.2">
      <c r="A22" s="29">
        <v>20</v>
      </c>
      <c r="B22" s="15" t="s">
        <v>270</v>
      </c>
      <c r="C22" s="15">
        <v>182412020</v>
      </c>
      <c r="D22" s="16" t="s">
        <v>114</v>
      </c>
      <c r="E22" s="7" t="s">
        <v>115</v>
      </c>
      <c r="F22" s="7" t="s">
        <v>141</v>
      </c>
      <c r="G22" s="28" t="s">
        <v>203</v>
      </c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3">
        <f t="shared" si="0"/>
        <v>86</v>
      </c>
      <c r="DO22" s="24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25" t="s">
        <v>251</v>
      </c>
    </row>
    <row r="23" spans="1:128" x14ac:dyDescent="0.2">
      <c r="A23" s="29">
        <v>21</v>
      </c>
      <c r="B23" s="15" t="s">
        <v>38</v>
      </c>
      <c r="C23" s="15">
        <v>182412021</v>
      </c>
      <c r="D23" s="15" t="s">
        <v>235</v>
      </c>
      <c r="E23" s="7" t="s">
        <v>236</v>
      </c>
      <c r="F23" s="7" t="s">
        <v>230</v>
      </c>
      <c r="G23" s="28" t="s">
        <v>204</v>
      </c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>
        <v>79</v>
      </c>
      <c r="DJ23" s="6" t="str">
        <f t="shared" si="64"/>
        <v>B+</v>
      </c>
      <c r="DK23" s="1">
        <f t="shared" si="65"/>
        <v>3.5</v>
      </c>
      <c r="DL23" s="5">
        <v>4</v>
      </c>
      <c r="DM23" s="2">
        <f t="shared" si="66"/>
        <v>14</v>
      </c>
      <c r="DN23" s="23">
        <f t="shared" si="0"/>
        <v>84</v>
      </c>
      <c r="DO23" s="24">
        <f t="shared" si="67"/>
        <v>24</v>
      </c>
      <c r="DP23" s="5">
        <f t="shared" si="68"/>
        <v>82</v>
      </c>
      <c r="DQ23" s="5">
        <f t="shared" si="69"/>
        <v>24</v>
      </c>
      <c r="DR23" s="5">
        <f t="shared" si="70"/>
        <v>166</v>
      </c>
      <c r="DS23" s="5">
        <f t="shared" si="71"/>
        <v>48</v>
      </c>
      <c r="DT23" s="5">
        <v>2.8333333333333335</v>
      </c>
      <c r="DU23" s="5">
        <f t="shared" si="72"/>
        <v>3.4583333333333335</v>
      </c>
      <c r="DV23" s="10" t="str">
        <f t="shared" si="73"/>
        <v>Sangat Memuaskan</v>
      </c>
      <c r="DW23" s="17" t="str">
        <f t="shared" si="74"/>
        <v>Highly Satisfactory</v>
      </c>
      <c r="DX23" s="25" t="s">
        <v>159</v>
      </c>
    </row>
    <row r="24" spans="1:128" x14ac:dyDescent="0.2">
      <c r="A24" s="29">
        <v>22</v>
      </c>
      <c r="B24" s="15" t="s">
        <v>39</v>
      </c>
      <c r="C24" s="15">
        <v>182412022</v>
      </c>
      <c r="D24" s="15" t="s">
        <v>130</v>
      </c>
      <c r="E24" s="7" t="s">
        <v>179</v>
      </c>
      <c r="F24" s="7" t="s">
        <v>141</v>
      </c>
      <c r="G24" s="28" t="s">
        <v>205</v>
      </c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3">
        <f>L24+Q24+V24+AA24+AF24+AK24+AP24+AU24+AZ24+BE24+BJ24</f>
        <v>83</v>
      </c>
      <c r="DO24" s="24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25" t="s">
        <v>262</v>
      </c>
    </row>
    <row r="25" spans="1:128" x14ac:dyDescent="0.2">
      <c r="A25" s="29">
        <v>23</v>
      </c>
      <c r="B25" s="15" t="s">
        <v>40</v>
      </c>
      <c r="C25" s="15">
        <v>182412023</v>
      </c>
      <c r="D25" s="16" t="s">
        <v>116</v>
      </c>
      <c r="E25" s="7" t="s">
        <v>117</v>
      </c>
      <c r="F25" s="7" t="s">
        <v>141</v>
      </c>
      <c r="G25" s="28" t="s">
        <v>206</v>
      </c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3">
        <f t="shared" ref="DN25:DN50" si="75">L25+Q25+V25+AA25+AF25+AK25+AP25+AU25+AZ25+BE25+BJ25</f>
        <v>85</v>
      </c>
      <c r="DO25" s="24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25" t="s">
        <v>152</v>
      </c>
    </row>
    <row r="26" spans="1:128" x14ac:dyDescent="0.2">
      <c r="A26" s="29">
        <v>24</v>
      </c>
      <c r="B26" s="15" t="s">
        <v>41</v>
      </c>
      <c r="C26" s="15">
        <v>182412026</v>
      </c>
      <c r="D26" s="16" t="s">
        <v>118</v>
      </c>
      <c r="E26" s="7" t="s">
        <v>119</v>
      </c>
      <c r="F26" s="7" t="s">
        <v>141</v>
      </c>
      <c r="G26" s="28" t="s">
        <v>207</v>
      </c>
      <c r="H26" s="5">
        <v>74</v>
      </c>
      <c r="I26" s="6" t="str">
        <f t="shared" si="1"/>
        <v>B</v>
      </c>
      <c r="J26" s="1">
        <f t="shared" si="2"/>
        <v>3</v>
      </c>
      <c r="K26" s="5">
        <v>2</v>
      </c>
      <c r="L26" s="2">
        <f t="shared" si="3"/>
        <v>6</v>
      </c>
      <c r="M26" s="5">
        <v>79</v>
      </c>
      <c r="N26" s="6" t="str">
        <f t="shared" si="4"/>
        <v>B+</v>
      </c>
      <c r="O26" s="1">
        <f t="shared" si="5"/>
        <v>3.5</v>
      </c>
      <c r="P26" s="5">
        <v>2</v>
      </c>
      <c r="Q26" s="2">
        <f t="shared" si="6"/>
        <v>7</v>
      </c>
      <c r="R26" s="5">
        <v>72.2</v>
      </c>
      <c r="S26" s="6" t="str">
        <f t="shared" si="7"/>
        <v>B</v>
      </c>
      <c r="T26" s="1">
        <f t="shared" si="8"/>
        <v>3</v>
      </c>
      <c r="U26" s="5">
        <v>2</v>
      </c>
      <c r="V26" s="2">
        <f t="shared" si="9"/>
        <v>6</v>
      </c>
      <c r="W26" s="5">
        <v>76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70.8</v>
      </c>
      <c r="AC26" s="6" t="str">
        <f t="shared" si="13"/>
        <v>B</v>
      </c>
      <c r="AD26" s="1">
        <f t="shared" si="14"/>
        <v>3</v>
      </c>
      <c r="AE26" s="2">
        <v>2</v>
      </c>
      <c r="AF26" s="2">
        <f t="shared" si="15"/>
        <v>6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80</v>
      </c>
      <c r="AM26" s="6" t="str">
        <f t="shared" si="19"/>
        <v>A</v>
      </c>
      <c r="AN26" s="1">
        <f t="shared" si="20"/>
        <v>4</v>
      </c>
      <c r="AO26" s="2">
        <v>2</v>
      </c>
      <c r="AP26" s="2">
        <f t="shared" si="21"/>
        <v>8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76.25</v>
      </c>
      <c r="BB26" s="6" t="str">
        <f t="shared" si="28"/>
        <v>B+</v>
      </c>
      <c r="BC26" s="1">
        <f t="shared" si="29"/>
        <v>3.5</v>
      </c>
      <c r="BD26" s="5">
        <v>2</v>
      </c>
      <c r="BE26" s="2">
        <f t="shared" si="30"/>
        <v>7</v>
      </c>
      <c r="BF26" s="5">
        <v>80</v>
      </c>
      <c r="BG26" s="6" t="str">
        <f t="shared" si="31"/>
        <v>A</v>
      </c>
      <c r="BH26" s="1">
        <f t="shared" si="32"/>
        <v>4</v>
      </c>
      <c r="BI26" s="5">
        <v>2</v>
      </c>
      <c r="BJ26" s="2">
        <f t="shared" si="33"/>
        <v>8</v>
      </c>
      <c r="BK26" s="5">
        <v>72.400000000000006</v>
      </c>
      <c r="BL26" s="6" t="str">
        <f t="shared" si="34"/>
        <v>B</v>
      </c>
      <c r="BM26" s="1">
        <f t="shared" si="35"/>
        <v>3</v>
      </c>
      <c r="BN26" s="5">
        <v>2</v>
      </c>
      <c r="BO26" s="2">
        <f t="shared" si="36"/>
        <v>6</v>
      </c>
      <c r="BP26" s="5">
        <v>80</v>
      </c>
      <c r="BQ26" s="6" t="str">
        <f t="shared" si="37"/>
        <v>A</v>
      </c>
      <c r="BR26" s="1">
        <f t="shared" si="38"/>
        <v>4</v>
      </c>
      <c r="BS26" s="5">
        <v>2</v>
      </c>
      <c r="BT26" s="2">
        <f t="shared" si="39"/>
        <v>8</v>
      </c>
      <c r="BU26" s="5">
        <v>80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80.5</v>
      </c>
      <c r="CA26" s="6" t="str">
        <f t="shared" si="43"/>
        <v>A</v>
      </c>
      <c r="CB26" s="1">
        <f t="shared" si="44"/>
        <v>4</v>
      </c>
      <c r="CC26" s="5">
        <v>2</v>
      </c>
      <c r="CD26" s="2">
        <f t="shared" si="45"/>
        <v>8</v>
      </c>
      <c r="CE26" s="2">
        <v>85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71.95</v>
      </c>
      <c r="CK26" s="6" t="str">
        <f t="shared" si="49"/>
        <v>B</v>
      </c>
      <c r="CL26" s="1">
        <f t="shared" si="50"/>
        <v>3</v>
      </c>
      <c r="CM26" s="2">
        <v>2</v>
      </c>
      <c r="CN26" s="2">
        <f t="shared" si="51"/>
        <v>6</v>
      </c>
      <c r="CO26" s="2">
        <v>75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80</v>
      </c>
      <c r="CU26" s="6" t="str">
        <f t="shared" si="55"/>
        <v>A</v>
      </c>
      <c r="CV26" s="1">
        <f t="shared" si="56"/>
        <v>4</v>
      </c>
      <c r="CW26" s="2">
        <v>2</v>
      </c>
      <c r="CX26" s="2">
        <f t="shared" si="57"/>
        <v>8</v>
      </c>
      <c r="CY26" s="5">
        <v>81</v>
      </c>
      <c r="CZ26" s="6" t="str">
        <f t="shared" si="58"/>
        <v>A</v>
      </c>
      <c r="DA26" s="1">
        <f t="shared" si="59"/>
        <v>4</v>
      </c>
      <c r="DB26" s="5">
        <v>2</v>
      </c>
      <c r="DC26" s="3">
        <f t="shared" si="60"/>
        <v>8</v>
      </c>
      <c r="DD26" s="5">
        <v>75.3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>
        <v>79.8</v>
      </c>
      <c r="DJ26" s="6" t="str">
        <f t="shared" si="64"/>
        <v>B+</v>
      </c>
      <c r="DK26" s="1">
        <f t="shared" si="65"/>
        <v>3.5</v>
      </c>
      <c r="DL26" s="5">
        <v>4</v>
      </c>
      <c r="DM26" s="2">
        <f t="shared" si="66"/>
        <v>14</v>
      </c>
      <c r="DN26" s="23">
        <f t="shared" si="75"/>
        <v>82</v>
      </c>
      <c r="DO26" s="24">
        <f>K26+P26+U26+Z26+AE26+AJ26+AO26+AT26+AY26+BD26+BI26</f>
        <v>24</v>
      </c>
      <c r="DP26" s="5">
        <f t="shared" si="68"/>
        <v>88</v>
      </c>
      <c r="DQ26" s="5">
        <f t="shared" si="69"/>
        <v>24</v>
      </c>
      <c r="DR26" s="5">
        <f t="shared" si="70"/>
        <v>170</v>
      </c>
      <c r="DS26" s="5">
        <f>DO26+DQ26</f>
        <v>48</v>
      </c>
      <c r="DT26" s="5">
        <v>3.6666666666666665</v>
      </c>
      <c r="DU26" s="5">
        <f t="shared" si="72"/>
        <v>3.5416666666666665</v>
      </c>
      <c r="DV26" s="10" t="str">
        <f t="shared" si="73"/>
        <v>Cum Laude</v>
      </c>
      <c r="DW26" s="17" t="str">
        <f t="shared" si="74"/>
        <v>Excellent</v>
      </c>
      <c r="DX26" s="25" t="s">
        <v>160</v>
      </c>
    </row>
    <row r="27" spans="1:128" x14ac:dyDescent="0.2">
      <c r="A27" s="29">
        <v>25</v>
      </c>
      <c r="B27" s="18" t="s">
        <v>42</v>
      </c>
      <c r="C27" s="10">
        <v>182412027</v>
      </c>
      <c r="D27" s="15" t="s">
        <v>106</v>
      </c>
      <c r="E27" s="7" t="s">
        <v>246</v>
      </c>
      <c r="F27" s="7" t="s">
        <v>230</v>
      </c>
      <c r="G27" s="28" t="s">
        <v>238</v>
      </c>
      <c r="H27" s="5">
        <v>75.75</v>
      </c>
      <c r="I27" s="6" t="str">
        <f t="shared" si="1"/>
        <v>B+</v>
      </c>
      <c r="J27" s="1">
        <f t="shared" si="2"/>
        <v>3.5</v>
      </c>
      <c r="K27" s="5">
        <v>2</v>
      </c>
      <c r="L27" s="2">
        <f t="shared" si="3"/>
        <v>7</v>
      </c>
      <c r="M27" s="5">
        <v>77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79</v>
      </c>
      <c r="S27" s="6" t="str">
        <f t="shared" si="7"/>
        <v>B+</v>
      </c>
      <c r="T27" s="1">
        <f t="shared" si="8"/>
        <v>3.5</v>
      </c>
      <c r="U27" s="5">
        <v>2</v>
      </c>
      <c r="V27" s="2">
        <f t="shared" si="9"/>
        <v>7</v>
      </c>
      <c r="W27" s="5">
        <v>78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87.75</v>
      </c>
      <c r="AC27" s="6" t="str">
        <f t="shared" si="13"/>
        <v>A</v>
      </c>
      <c r="AD27" s="1">
        <f t="shared" si="14"/>
        <v>4</v>
      </c>
      <c r="AE27" s="2">
        <v>2</v>
      </c>
      <c r="AF27" s="2">
        <f t="shared" si="15"/>
        <v>8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78</v>
      </c>
      <c r="AM27" s="6" t="str">
        <f t="shared" si="19"/>
        <v>B+</v>
      </c>
      <c r="AN27" s="1">
        <f t="shared" si="20"/>
        <v>3.5</v>
      </c>
      <c r="AO27" s="2">
        <v>2</v>
      </c>
      <c r="AP27" s="2">
        <f t="shared" si="21"/>
        <v>7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80.75</v>
      </c>
      <c r="AW27" s="6" t="str">
        <f t="shared" si="25"/>
        <v>A</v>
      </c>
      <c r="AX27" s="1">
        <f t="shared" si="26"/>
        <v>4</v>
      </c>
      <c r="AY27" s="5">
        <v>3</v>
      </c>
      <c r="AZ27" s="3">
        <f t="shared" si="27"/>
        <v>12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78</v>
      </c>
      <c r="BG27" s="6" t="str">
        <f t="shared" si="31"/>
        <v>B+</v>
      </c>
      <c r="BH27" s="1">
        <f t="shared" si="32"/>
        <v>3.5</v>
      </c>
      <c r="BI27" s="5">
        <v>2</v>
      </c>
      <c r="BJ27" s="2">
        <f t="shared" si="33"/>
        <v>7</v>
      </c>
      <c r="BK27" s="5">
        <v>77.08</v>
      </c>
      <c r="BL27" s="6" t="str">
        <f t="shared" si="34"/>
        <v>B+</v>
      </c>
      <c r="BM27" s="1">
        <f t="shared" si="35"/>
        <v>3.5</v>
      </c>
      <c r="BN27" s="5">
        <v>2</v>
      </c>
      <c r="BO27" s="2">
        <f t="shared" si="36"/>
        <v>7</v>
      </c>
      <c r="BP27" s="5">
        <v>80.3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81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79.400000000000006</v>
      </c>
      <c r="CA27" s="6" t="str">
        <f t="shared" si="43"/>
        <v>B+</v>
      </c>
      <c r="CB27" s="1">
        <f t="shared" si="44"/>
        <v>3.5</v>
      </c>
      <c r="CC27" s="5">
        <v>2</v>
      </c>
      <c r="CD27" s="2">
        <f t="shared" si="45"/>
        <v>7</v>
      </c>
      <c r="CE27" s="2">
        <v>87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74.150000000000006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77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80.2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77</v>
      </c>
      <c r="CZ27" s="6" t="str">
        <f t="shared" si="58"/>
        <v>B+</v>
      </c>
      <c r="DA27" s="1">
        <f t="shared" si="59"/>
        <v>3.5</v>
      </c>
      <c r="DB27" s="5">
        <v>2</v>
      </c>
      <c r="DC27" s="3">
        <f t="shared" si="60"/>
        <v>7</v>
      </c>
      <c r="DD27" s="5">
        <v>75.099999999999994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3">
        <f t="shared" si="75"/>
        <v>85.5</v>
      </c>
      <c r="DO27" s="24">
        <f>K27+P27+U27+Z27+AE27+AJ27+AO27+AT27+AY27+BD27+BI27</f>
        <v>24</v>
      </c>
      <c r="DP27" s="5">
        <f t="shared" si="68"/>
        <v>87</v>
      </c>
      <c r="DQ27" s="5">
        <f t="shared" si="69"/>
        <v>24</v>
      </c>
      <c r="DR27" s="5">
        <f t="shared" si="70"/>
        <v>172.5</v>
      </c>
      <c r="DS27" s="5">
        <f>DO27+DQ27</f>
        <v>48</v>
      </c>
      <c r="DT27" s="5">
        <v>3.6666666666666665</v>
      </c>
      <c r="DU27" s="5">
        <f t="shared" si="72"/>
        <v>3.59375</v>
      </c>
      <c r="DV27" s="10" t="str">
        <f t="shared" si="73"/>
        <v>Cum Laude</v>
      </c>
      <c r="DW27" s="17" t="str">
        <f t="shared" si="74"/>
        <v>Excellent</v>
      </c>
      <c r="DX27" s="25"/>
    </row>
    <row r="28" spans="1:128" x14ac:dyDescent="0.2">
      <c r="A28" s="29">
        <v>26</v>
      </c>
      <c r="B28" s="18" t="s">
        <v>43</v>
      </c>
      <c r="C28" s="15">
        <v>182412029</v>
      </c>
      <c r="D28" s="16" t="s">
        <v>89</v>
      </c>
      <c r="E28" s="7" t="s">
        <v>120</v>
      </c>
      <c r="F28" s="7" t="s">
        <v>141</v>
      </c>
      <c r="G28" s="28" t="s">
        <v>239</v>
      </c>
      <c r="H28" s="5">
        <v>75.75</v>
      </c>
      <c r="I28" s="11" t="str">
        <f t="shared" si="1"/>
        <v>B+</v>
      </c>
      <c r="J28" s="12">
        <f t="shared" si="2"/>
        <v>3.5</v>
      </c>
      <c r="K28" s="5">
        <v>2</v>
      </c>
      <c r="L28" s="13">
        <f t="shared" si="3"/>
        <v>7</v>
      </c>
      <c r="M28" s="5">
        <v>75</v>
      </c>
      <c r="N28" s="11" t="str">
        <f t="shared" si="4"/>
        <v>B+</v>
      </c>
      <c r="O28" s="12">
        <f t="shared" si="5"/>
        <v>3.5</v>
      </c>
      <c r="P28" s="5">
        <v>2</v>
      </c>
      <c r="Q28" s="13">
        <f t="shared" si="6"/>
        <v>7</v>
      </c>
      <c r="R28" s="5">
        <v>72</v>
      </c>
      <c r="S28" s="11" t="str">
        <f t="shared" si="7"/>
        <v>B</v>
      </c>
      <c r="T28" s="12">
        <f t="shared" si="8"/>
        <v>3</v>
      </c>
      <c r="U28" s="5">
        <v>2</v>
      </c>
      <c r="V28" s="13">
        <f t="shared" si="9"/>
        <v>6</v>
      </c>
      <c r="W28" s="5">
        <v>78</v>
      </c>
      <c r="X28" s="11" t="str">
        <f t="shared" si="10"/>
        <v>B+</v>
      </c>
      <c r="Y28" s="12">
        <f t="shared" si="11"/>
        <v>3.5</v>
      </c>
      <c r="Z28" s="5">
        <v>3</v>
      </c>
      <c r="AA28" s="13">
        <f t="shared" si="12"/>
        <v>10.5</v>
      </c>
      <c r="AB28" s="13">
        <v>79.3</v>
      </c>
      <c r="AC28" s="11" t="str">
        <f t="shared" si="13"/>
        <v>B+</v>
      </c>
      <c r="AD28" s="12">
        <f t="shared" si="14"/>
        <v>3.5</v>
      </c>
      <c r="AE28" s="13">
        <v>2</v>
      </c>
      <c r="AF28" s="13">
        <f t="shared" si="15"/>
        <v>7</v>
      </c>
      <c r="AG28" s="13">
        <v>78</v>
      </c>
      <c r="AH28" s="11" t="str">
        <f t="shared" si="16"/>
        <v>B+</v>
      </c>
      <c r="AI28" s="12">
        <f t="shared" si="17"/>
        <v>3.5</v>
      </c>
      <c r="AJ28" s="13">
        <v>2</v>
      </c>
      <c r="AK28" s="13">
        <f t="shared" si="18"/>
        <v>7</v>
      </c>
      <c r="AL28" s="13">
        <v>79</v>
      </c>
      <c r="AM28" s="11" t="str">
        <f t="shared" si="19"/>
        <v>B+</v>
      </c>
      <c r="AN28" s="12">
        <f t="shared" si="20"/>
        <v>3.5</v>
      </c>
      <c r="AO28" s="13">
        <v>2</v>
      </c>
      <c r="AP28" s="13">
        <f t="shared" si="21"/>
        <v>7</v>
      </c>
      <c r="AQ28" s="13">
        <v>74</v>
      </c>
      <c r="AR28" s="11" t="str">
        <f t="shared" si="22"/>
        <v>B</v>
      </c>
      <c r="AS28" s="12">
        <f t="shared" si="23"/>
        <v>3</v>
      </c>
      <c r="AT28" s="13">
        <v>2</v>
      </c>
      <c r="AU28" s="13">
        <f t="shared" si="24"/>
        <v>6</v>
      </c>
      <c r="AV28" s="5">
        <v>78</v>
      </c>
      <c r="AW28" s="11" t="str">
        <f t="shared" si="25"/>
        <v>B+</v>
      </c>
      <c r="AX28" s="12">
        <f t="shared" si="26"/>
        <v>3.5</v>
      </c>
      <c r="AY28" s="5">
        <v>3</v>
      </c>
      <c r="AZ28" s="14">
        <f t="shared" si="27"/>
        <v>10.5</v>
      </c>
      <c r="BA28" s="5">
        <v>76.25</v>
      </c>
      <c r="BB28" s="11" t="str">
        <f t="shared" si="28"/>
        <v>B+</v>
      </c>
      <c r="BC28" s="12">
        <f t="shared" si="29"/>
        <v>3.5</v>
      </c>
      <c r="BD28" s="5">
        <v>2</v>
      </c>
      <c r="BE28" s="13">
        <f t="shared" si="30"/>
        <v>7</v>
      </c>
      <c r="BF28" s="5">
        <v>82</v>
      </c>
      <c r="BG28" s="11" t="str">
        <f t="shared" si="31"/>
        <v>A</v>
      </c>
      <c r="BH28" s="12">
        <f t="shared" si="32"/>
        <v>4</v>
      </c>
      <c r="BI28" s="5">
        <v>2</v>
      </c>
      <c r="BJ28" s="13">
        <f t="shared" si="33"/>
        <v>8</v>
      </c>
      <c r="BK28" s="5">
        <v>79.069999999999993</v>
      </c>
      <c r="BL28" s="11" t="str">
        <f t="shared" si="34"/>
        <v>B+</v>
      </c>
      <c r="BM28" s="12">
        <f t="shared" si="35"/>
        <v>3.5</v>
      </c>
      <c r="BN28" s="5">
        <v>2</v>
      </c>
      <c r="BO28" s="13">
        <f t="shared" si="36"/>
        <v>7</v>
      </c>
      <c r="BP28" s="5">
        <v>79</v>
      </c>
      <c r="BQ28" s="11" t="str">
        <f t="shared" si="37"/>
        <v>B+</v>
      </c>
      <c r="BR28" s="12">
        <f t="shared" si="38"/>
        <v>3.5</v>
      </c>
      <c r="BS28" s="5">
        <v>2</v>
      </c>
      <c r="BT28" s="13">
        <f t="shared" si="39"/>
        <v>7</v>
      </c>
      <c r="BU28" s="5">
        <v>82</v>
      </c>
      <c r="BV28" s="11" t="str">
        <f t="shared" si="40"/>
        <v>A</v>
      </c>
      <c r="BW28" s="12">
        <f t="shared" si="41"/>
        <v>4</v>
      </c>
      <c r="BX28" s="5">
        <v>2</v>
      </c>
      <c r="BY28" s="13">
        <f t="shared" si="42"/>
        <v>8</v>
      </c>
      <c r="BZ28" s="5">
        <v>77</v>
      </c>
      <c r="CA28" s="11" t="str">
        <f t="shared" si="43"/>
        <v>B+</v>
      </c>
      <c r="CB28" s="12">
        <f t="shared" si="44"/>
        <v>3.5</v>
      </c>
      <c r="CC28" s="5">
        <v>2</v>
      </c>
      <c r="CD28" s="13">
        <f t="shared" si="45"/>
        <v>7</v>
      </c>
      <c r="CE28" s="13">
        <v>85</v>
      </c>
      <c r="CF28" s="11" t="str">
        <f t="shared" si="46"/>
        <v>A</v>
      </c>
      <c r="CG28" s="12">
        <f t="shared" si="47"/>
        <v>4</v>
      </c>
      <c r="CH28" s="5">
        <v>2</v>
      </c>
      <c r="CI28" s="13">
        <f t="shared" si="48"/>
        <v>8</v>
      </c>
      <c r="CJ28" s="13">
        <v>77.53</v>
      </c>
      <c r="CK28" s="11" t="str">
        <f t="shared" si="49"/>
        <v>B+</v>
      </c>
      <c r="CL28" s="12">
        <f t="shared" si="50"/>
        <v>3.5</v>
      </c>
      <c r="CM28" s="13">
        <v>2</v>
      </c>
      <c r="CN28" s="13">
        <f t="shared" si="51"/>
        <v>7</v>
      </c>
      <c r="CO28" s="13">
        <v>77.599999999999994</v>
      </c>
      <c r="CP28" s="11" t="str">
        <f t="shared" si="52"/>
        <v>B+</v>
      </c>
      <c r="CQ28" s="12">
        <f t="shared" si="53"/>
        <v>3.5</v>
      </c>
      <c r="CR28" s="13">
        <v>2</v>
      </c>
      <c r="CS28" s="13">
        <f t="shared" si="54"/>
        <v>7</v>
      </c>
      <c r="CT28" s="13">
        <v>70</v>
      </c>
      <c r="CU28" s="11" t="str">
        <f t="shared" si="55"/>
        <v>B</v>
      </c>
      <c r="CV28" s="12">
        <f t="shared" si="56"/>
        <v>3</v>
      </c>
      <c r="CW28" s="13">
        <v>2</v>
      </c>
      <c r="CX28" s="13">
        <f t="shared" si="57"/>
        <v>6</v>
      </c>
      <c r="CY28" s="5">
        <v>79</v>
      </c>
      <c r="CZ28" s="11" t="str">
        <f t="shared" si="58"/>
        <v>B+</v>
      </c>
      <c r="DA28" s="12">
        <f t="shared" si="59"/>
        <v>3.5</v>
      </c>
      <c r="DB28" s="5">
        <v>2</v>
      </c>
      <c r="DC28" s="14">
        <f t="shared" si="60"/>
        <v>7</v>
      </c>
      <c r="DD28" s="5">
        <v>75.099999999999994</v>
      </c>
      <c r="DE28" s="11" t="str">
        <f t="shared" si="61"/>
        <v>B+</v>
      </c>
      <c r="DF28" s="12">
        <f t="shared" si="62"/>
        <v>3.5</v>
      </c>
      <c r="DG28" s="5">
        <v>2</v>
      </c>
      <c r="DH28" s="13">
        <f t="shared" si="63"/>
        <v>7</v>
      </c>
      <c r="DI28" s="5">
        <v>78.5</v>
      </c>
      <c r="DJ28" s="11" t="str">
        <f t="shared" si="64"/>
        <v>B+</v>
      </c>
      <c r="DK28" s="12">
        <f t="shared" si="65"/>
        <v>3.5</v>
      </c>
      <c r="DL28" s="5">
        <v>4</v>
      </c>
      <c r="DM28" s="13">
        <f t="shared" si="66"/>
        <v>14</v>
      </c>
      <c r="DN28" s="23">
        <f t="shared" si="75"/>
        <v>83</v>
      </c>
      <c r="DO28" s="24">
        <f t="shared" si="67"/>
        <v>24</v>
      </c>
      <c r="DP28" s="5">
        <f t="shared" si="68"/>
        <v>85</v>
      </c>
      <c r="DQ28" s="5">
        <f t="shared" si="69"/>
        <v>24</v>
      </c>
      <c r="DR28" s="5">
        <f t="shared" si="70"/>
        <v>168</v>
      </c>
      <c r="DS28" s="5">
        <f t="shared" si="71"/>
        <v>48</v>
      </c>
      <c r="DT28" s="5">
        <v>3.5416666666666665</v>
      </c>
      <c r="DU28" s="5">
        <f t="shared" si="72"/>
        <v>3.5</v>
      </c>
      <c r="DV28" s="10" t="str">
        <f t="shared" si="73"/>
        <v>Sangat Memuaskan</v>
      </c>
      <c r="DW28" s="17" t="str">
        <f t="shared" si="74"/>
        <v>Highly Satisfactory</v>
      </c>
      <c r="DX28" s="25" t="s">
        <v>263</v>
      </c>
    </row>
    <row r="29" spans="1:128" x14ac:dyDescent="0.2">
      <c r="A29" s="29">
        <v>27</v>
      </c>
      <c r="B29" s="15" t="s">
        <v>44</v>
      </c>
      <c r="C29" s="15">
        <v>182412030</v>
      </c>
      <c r="D29" s="15" t="s">
        <v>241</v>
      </c>
      <c r="E29" s="7" t="s">
        <v>242</v>
      </c>
      <c r="F29" s="7" t="s">
        <v>141</v>
      </c>
      <c r="G29" s="28" t="s">
        <v>208</v>
      </c>
      <c r="H29" s="5">
        <v>78.75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80</v>
      </c>
      <c r="N29" s="6" t="str">
        <f t="shared" si="4"/>
        <v>A</v>
      </c>
      <c r="O29" s="1">
        <f t="shared" si="5"/>
        <v>4</v>
      </c>
      <c r="P29" s="5">
        <v>2</v>
      </c>
      <c r="Q29" s="2">
        <f t="shared" si="6"/>
        <v>8</v>
      </c>
      <c r="R29" s="5">
        <v>74.2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80</v>
      </c>
      <c r="X29" s="6" t="str">
        <f t="shared" si="10"/>
        <v>A</v>
      </c>
      <c r="Y29" s="1">
        <f t="shared" si="11"/>
        <v>4</v>
      </c>
      <c r="Z29" s="5">
        <v>3</v>
      </c>
      <c r="AA29" s="2">
        <f t="shared" si="12"/>
        <v>12</v>
      </c>
      <c r="AB29" s="2">
        <v>78.7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80</v>
      </c>
      <c r="AM29" s="6" t="str">
        <f t="shared" si="19"/>
        <v>A</v>
      </c>
      <c r="AN29" s="1">
        <f t="shared" si="20"/>
        <v>4</v>
      </c>
      <c r="AO29" s="2">
        <v>2</v>
      </c>
      <c r="AP29" s="2">
        <f t="shared" si="21"/>
        <v>8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80.75</v>
      </c>
      <c r="AW29" s="6" t="str">
        <f t="shared" si="25"/>
        <v>A</v>
      </c>
      <c r="AX29" s="1">
        <f t="shared" si="26"/>
        <v>4</v>
      </c>
      <c r="AY29" s="5">
        <v>3</v>
      </c>
      <c r="AZ29" s="3">
        <f t="shared" si="27"/>
        <v>12</v>
      </c>
      <c r="BA29" s="5">
        <v>80</v>
      </c>
      <c r="BB29" s="6" t="str">
        <f t="shared" si="28"/>
        <v>A</v>
      </c>
      <c r="BC29" s="1">
        <f t="shared" si="29"/>
        <v>4</v>
      </c>
      <c r="BD29" s="5">
        <v>2</v>
      </c>
      <c r="BE29" s="2">
        <f t="shared" si="30"/>
        <v>8</v>
      </c>
      <c r="BF29" s="5">
        <v>77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78.67</v>
      </c>
      <c r="BL29" s="6" t="str">
        <f t="shared" si="34"/>
        <v>B+</v>
      </c>
      <c r="BM29" s="1">
        <f t="shared" si="35"/>
        <v>3.5</v>
      </c>
      <c r="BN29" s="5">
        <v>2</v>
      </c>
      <c r="BO29" s="2">
        <f t="shared" si="36"/>
        <v>7</v>
      </c>
      <c r="BP29" s="5">
        <v>79.3</v>
      </c>
      <c r="BQ29" s="6" t="str">
        <f t="shared" si="37"/>
        <v>B+</v>
      </c>
      <c r="BR29" s="1">
        <f t="shared" si="38"/>
        <v>3.5</v>
      </c>
      <c r="BS29" s="5">
        <v>2</v>
      </c>
      <c r="BT29" s="2">
        <f t="shared" si="39"/>
        <v>7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80.7</v>
      </c>
      <c r="CA29" s="6" t="str">
        <f t="shared" si="43"/>
        <v>A</v>
      </c>
      <c r="CB29" s="1">
        <f t="shared" si="44"/>
        <v>4</v>
      </c>
      <c r="CC29" s="5">
        <v>2</v>
      </c>
      <c r="CD29" s="2">
        <f t="shared" si="45"/>
        <v>8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74.13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74.400000000000006</v>
      </c>
      <c r="CP29" s="6" t="str">
        <f t="shared" si="52"/>
        <v>B</v>
      </c>
      <c r="CQ29" s="1">
        <f t="shared" si="53"/>
        <v>3</v>
      </c>
      <c r="CR29" s="2">
        <v>2</v>
      </c>
      <c r="CS29" s="2">
        <f t="shared" si="54"/>
        <v>6</v>
      </c>
      <c r="CT29" s="2">
        <v>82.8</v>
      </c>
      <c r="CU29" s="6" t="str">
        <f t="shared" si="55"/>
        <v>A</v>
      </c>
      <c r="CV29" s="1">
        <f t="shared" si="56"/>
        <v>4</v>
      </c>
      <c r="CW29" s="2">
        <v>2</v>
      </c>
      <c r="CX29" s="2">
        <f t="shared" si="57"/>
        <v>8</v>
      </c>
      <c r="CY29" s="5">
        <v>80</v>
      </c>
      <c r="CZ29" s="6" t="str">
        <f t="shared" si="58"/>
        <v>A</v>
      </c>
      <c r="DA29" s="1">
        <f t="shared" si="59"/>
        <v>4</v>
      </c>
      <c r="DB29" s="5">
        <v>2</v>
      </c>
      <c r="DC29" s="3">
        <f t="shared" si="60"/>
        <v>8</v>
      </c>
      <c r="DD29" s="5">
        <v>72.5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>
        <v>80.3</v>
      </c>
      <c r="DJ29" s="6" t="str">
        <f t="shared" si="64"/>
        <v>A</v>
      </c>
      <c r="DK29" s="1">
        <f t="shared" si="65"/>
        <v>4</v>
      </c>
      <c r="DL29" s="5">
        <v>4</v>
      </c>
      <c r="DM29" s="2">
        <f t="shared" si="66"/>
        <v>16</v>
      </c>
      <c r="DN29" s="23">
        <f t="shared" si="75"/>
        <v>88</v>
      </c>
      <c r="DO29" s="24">
        <f t="shared" si="67"/>
        <v>24</v>
      </c>
      <c r="DP29" s="5">
        <f t="shared" si="68"/>
        <v>88</v>
      </c>
      <c r="DQ29" s="5">
        <f t="shared" si="69"/>
        <v>24</v>
      </c>
      <c r="DR29" s="5">
        <f t="shared" si="70"/>
        <v>176</v>
      </c>
      <c r="DS29" s="5">
        <f t="shared" si="71"/>
        <v>48</v>
      </c>
      <c r="DT29" s="5">
        <v>3.6666666666666665</v>
      </c>
      <c r="DU29" s="5">
        <f t="shared" si="72"/>
        <v>3.6666666666666665</v>
      </c>
      <c r="DV29" s="10" t="str">
        <f t="shared" si="73"/>
        <v>Cum Laude</v>
      </c>
      <c r="DW29" s="17" t="str">
        <f t="shared" si="74"/>
        <v>Excellent</v>
      </c>
      <c r="DX29" s="25" t="s">
        <v>153</v>
      </c>
    </row>
    <row r="30" spans="1:128" x14ac:dyDescent="0.2">
      <c r="A30" s="29">
        <v>28</v>
      </c>
      <c r="B30" s="15" t="s">
        <v>45</v>
      </c>
      <c r="C30" s="15">
        <v>182412031</v>
      </c>
      <c r="D30" s="15" t="s">
        <v>121</v>
      </c>
      <c r="E30" s="7" t="s">
        <v>173</v>
      </c>
      <c r="F30" s="7" t="s">
        <v>141</v>
      </c>
      <c r="G30" s="28" t="s">
        <v>209</v>
      </c>
      <c r="H30" s="5">
        <v>74</v>
      </c>
      <c r="I30" s="6" t="str">
        <f t="shared" si="1"/>
        <v>B</v>
      </c>
      <c r="J30" s="1">
        <f t="shared" si="2"/>
        <v>3</v>
      </c>
      <c r="K30" s="5">
        <v>2</v>
      </c>
      <c r="L30" s="2">
        <f t="shared" si="3"/>
        <v>6</v>
      </c>
      <c r="M30" s="5">
        <v>76</v>
      </c>
      <c r="N30" s="6" t="str">
        <f t="shared" si="4"/>
        <v>B+</v>
      </c>
      <c r="O30" s="1">
        <f t="shared" si="5"/>
        <v>3.5</v>
      </c>
      <c r="P30" s="5">
        <v>2</v>
      </c>
      <c r="Q30" s="2">
        <f t="shared" si="6"/>
        <v>7</v>
      </c>
      <c r="R30" s="5">
        <v>77</v>
      </c>
      <c r="S30" s="6" t="str">
        <f t="shared" si="7"/>
        <v>B+</v>
      </c>
      <c r="T30" s="1">
        <f t="shared" si="8"/>
        <v>3.5</v>
      </c>
      <c r="U30" s="5">
        <v>2</v>
      </c>
      <c r="V30" s="2">
        <f t="shared" si="9"/>
        <v>7</v>
      </c>
      <c r="W30" s="5">
        <v>80</v>
      </c>
      <c r="X30" s="6" t="str">
        <f t="shared" si="10"/>
        <v>A</v>
      </c>
      <c r="Y30" s="1">
        <f t="shared" si="11"/>
        <v>4</v>
      </c>
      <c r="Z30" s="5">
        <v>3</v>
      </c>
      <c r="AA30" s="2">
        <f t="shared" si="12"/>
        <v>12</v>
      </c>
      <c r="AB30" s="2">
        <v>77.3</v>
      </c>
      <c r="AC30" s="6" t="str">
        <f t="shared" si="13"/>
        <v>B+</v>
      </c>
      <c r="AD30" s="1">
        <f t="shared" si="14"/>
        <v>3.5</v>
      </c>
      <c r="AE30" s="2">
        <v>2</v>
      </c>
      <c r="AF30" s="2">
        <f t="shared" si="15"/>
        <v>7</v>
      </c>
      <c r="AG30" s="2">
        <v>78</v>
      </c>
      <c r="AH30" s="6" t="str">
        <f t="shared" si="16"/>
        <v>B+</v>
      </c>
      <c r="AI30" s="1">
        <f t="shared" si="17"/>
        <v>3.5</v>
      </c>
      <c r="AJ30" s="2">
        <v>2</v>
      </c>
      <c r="AK30" s="2">
        <f t="shared" si="18"/>
        <v>7</v>
      </c>
      <c r="AL30" s="2">
        <v>81</v>
      </c>
      <c r="AM30" s="6" t="str">
        <f t="shared" si="19"/>
        <v>A</v>
      </c>
      <c r="AN30" s="1">
        <f t="shared" si="20"/>
        <v>4</v>
      </c>
      <c r="AO30" s="2">
        <v>2</v>
      </c>
      <c r="AP30" s="2">
        <f t="shared" si="21"/>
        <v>8</v>
      </c>
      <c r="AQ30" s="2">
        <v>75</v>
      </c>
      <c r="AR30" s="6" t="str">
        <f t="shared" si="22"/>
        <v>B+</v>
      </c>
      <c r="AS30" s="1">
        <f t="shared" si="23"/>
        <v>3.5</v>
      </c>
      <c r="AT30" s="2">
        <v>2</v>
      </c>
      <c r="AU30" s="2">
        <f t="shared" si="24"/>
        <v>7</v>
      </c>
      <c r="AV30" s="5">
        <v>80.75</v>
      </c>
      <c r="AW30" s="6" t="str">
        <f t="shared" si="25"/>
        <v>A</v>
      </c>
      <c r="AX30" s="1">
        <f t="shared" si="26"/>
        <v>4</v>
      </c>
      <c r="AY30" s="5">
        <v>3</v>
      </c>
      <c r="AZ30" s="3">
        <f t="shared" si="27"/>
        <v>12</v>
      </c>
      <c r="BA30" s="5">
        <v>76.25</v>
      </c>
      <c r="BB30" s="6" t="str">
        <f t="shared" si="28"/>
        <v>B+</v>
      </c>
      <c r="BC30" s="1">
        <f t="shared" si="29"/>
        <v>3.5</v>
      </c>
      <c r="BD30" s="5">
        <v>2</v>
      </c>
      <c r="BE30" s="2">
        <f t="shared" si="30"/>
        <v>7</v>
      </c>
      <c r="BF30" s="5">
        <v>80</v>
      </c>
      <c r="BG30" s="6" t="str">
        <f t="shared" si="31"/>
        <v>A</v>
      </c>
      <c r="BH30" s="1">
        <f t="shared" si="32"/>
        <v>4</v>
      </c>
      <c r="BI30" s="5">
        <v>2</v>
      </c>
      <c r="BJ30" s="2">
        <f t="shared" si="33"/>
        <v>8</v>
      </c>
      <c r="BK30" s="5">
        <v>79.069999999999993</v>
      </c>
      <c r="BL30" s="6" t="str">
        <f t="shared" si="34"/>
        <v>B+</v>
      </c>
      <c r="BM30" s="1">
        <f t="shared" si="35"/>
        <v>3.5</v>
      </c>
      <c r="BN30" s="5">
        <v>2</v>
      </c>
      <c r="BO30" s="2">
        <f t="shared" si="36"/>
        <v>7</v>
      </c>
      <c r="BP30" s="5">
        <v>79.3</v>
      </c>
      <c r="BQ30" s="6" t="str">
        <f t="shared" si="37"/>
        <v>B+</v>
      </c>
      <c r="BR30" s="1">
        <f t="shared" si="38"/>
        <v>3.5</v>
      </c>
      <c r="BS30" s="5">
        <v>2</v>
      </c>
      <c r="BT30" s="2">
        <f t="shared" si="39"/>
        <v>7</v>
      </c>
      <c r="BU30" s="5">
        <v>83</v>
      </c>
      <c r="BV30" s="6" t="str">
        <f t="shared" si="40"/>
        <v>A</v>
      </c>
      <c r="BW30" s="1">
        <f t="shared" si="41"/>
        <v>4</v>
      </c>
      <c r="BX30" s="5">
        <v>2</v>
      </c>
      <c r="BY30" s="2">
        <f t="shared" si="42"/>
        <v>8</v>
      </c>
      <c r="BZ30" s="5">
        <v>81.599999999999994</v>
      </c>
      <c r="CA30" s="6" t="str">
        <f t="shared" si="43"/>
        <v>A</v>
      </c>
      <c r="CB30" s="1">
        <f t="shared" si="44"/>
        <v>4</v>
      </c>
      <c r="CC30" s="5">
        <v>2</v>
      </c>
      <c r="CD30" s="2">
        <f t="shared" si="45"/>
        <v>8</v>
      </c>
      <c r="CE30" s="2">
        <v>85</v>
      </c>
      <c r="CF30" s="6" t="str">
        <f t="shared" si="46"/>
        <v>A</v>
      </c>
      <c r="CG30" s="1">
        <f t="shared" si="47"/>
        <v>4</v>
      </c>
      <c r="CH30" s="5">
        <v>2</v>
      </c>
      <c r="CI30" s="2">
        <f t="shared" si="48"/>
        <v>8</v>
      </c>
      <c r="CJ30" s="2">
        <v>71.349999999999994</v>
      </c>
      <c r="CK30" s="6" t="str">
        <f t="shared" si="49"/>
        <v>B</v>
      </c>
      <c r="CL30" s="1">
        <f t="shared" si="50"/>
        <v>3</v>
      </c>
      <c r="CM30" s="2">
        <v>2</v>
      </c>
      <c r="CN30" s="2">
        <f t="shared" si="51"/>
        <v>6</v>
      </c>
      <c r="CO30" s="2">
        <v>75.5</v>
      </c>
      <c r="CP30" s="6" t="str">
        <f t="shared" si="52"/>
        <v>B+</v>
      </c>
      <c r="CQ30" s="1">
        <f t="shared" si="53"/>
        <v>3.5</v>
      </c>
      <c r="CR30" s="2">
        <v>2</v>
      </c>
      <c r="CS30" s="2">
        <f t="shared" si="54"/>
        <v>7</v>
      </c>
      <c r="CT30" s="2">
        <v>83.1</v>
      </c>
      <c r="CU30" s="6" t="str">
        <f t="shared" si="55"/>
        <v>A</v>
      </c>
      <c r="CV30" s="1">
        <f t="shared" si="56"/>
        <v>4</v>
      </c>
      <c r="CW30" s="2">
        <v>2</v>
      </c>
      <c r="CX30" s="2">
        <f t="shared" si="57"/>
        <v>8</v>
      </c>
      <c r="CY30" s="5">
        <v>78</v>
      </c>
      <c r="CZ30" s="6" t="str">
        <f t="shared" si="58"/>
        <v>B+</v>
      </c>
      <c r="DA30" s="1">
        <f t="shared" si="59"/>
        <v>3.5</v>
      </c>
      <c r="DB30" s="5">
        <v>2</v>
      </c>
      <c r="DC30" s="3">
        <f t="shared" si="60"/>
        <v>7</v>
      </c>
      <c r="DD30" s="5">
        <v>73.5</v>
      </c>
      <c r="DE30" s="6" t="str">
        <f t="shared" si="61"/>
        <v>B</v>
      </c>
      <c r="DF30" s="1">
        <f t="shared" si="62"/>
        <v>3</v>
      </c>
      <c r="DG30" s="5">
        <v>2</v>
      </c>
      <c r="DH30" s="2">
        <f t="shared" si="63"/>
        <v>6</v>
      </c>
      <c r="DI30" s="5">
        <v>80.3</v>
      </c>
      <c r="DJ30" s="6" t="str">
        <f t="shared" si="64"/>
        <v>A</v>
      </c>
      <c r="DK30" s="1">
        <f t="shared" si="65"/>
        <v>4</v>
      </c>
      <c r="DL30" s="5">
        <v>4</v>
      </c>
      <c r="DM30" s="2">
        <f t="shared" si="66"/>
        <v>16</v>
      </c>
      <c r="DN30" s="23">
        <f t="shared" si="75"/>
        <v>88</v>
      </c>
      <c r="DO30" s="24">
        <f t="shared" si="67"/>
        <v>24</v>
      </c>
      <c r="DP30" s="5">
        <f t="shared" si="68"/>
        <v>88</v>
      </c>
      <c r="DQ30" s="5">
        <f t="shared" si="69"/>
        <v>24</v>
      </c>
      <c r="DR30" s="5">
        <f t="shared" si="70"/>
        <v>176</v>
      </c>
      <c r="DS30" s="5">
        <f t="shared" si="71"/>
        <v>48</v>
      </c>
      <c r="DT30" s="5">
        <v>3.6666666666666665</v>
      </c>
      <c r="DU30" s="5">
        <f t="shared" si="72"/>
        <v>3.6666666666666665</v>
      </c>
      <c r="DV30" s="10" t="str">
        <f t="shared" si="73"/>
        <v>Cum Laude</v>
      </c>
      <c r="DW30" s="17" t="str">
        <f t="shared" si="74"/>
        <v>Excellent</v>
      </c>
      <c r="DX30" s="25" t="s">
        <v>252</v>
      </c>
    </row>
    <row r="31" spans="1:128" x14ac:dyDescent="0.25">
      <c r="A31" s="29">
        <v>29</v>
      </c>
      <c r="B31" s="10" t="s">
        <v>46</v>
      </c>
      <c r="C31" s="10">
        <v>182412032</v>
      </c>
      <c r="D31" s="16" t="s">
        <v>106</v>
      </c>
      <c r="E31" s="8" t="s">
        <v>170</v>
      </c>
      <c r="F31" s="7" t="s">
        <v>141</v>
      </c>
      <c r="G31" s="28" t="s">
        <v>210</v>
      </c>
      <c r="H31" s="5">
        <v>74</v>
      </c>
      <c r="I31" s="6" t="str">
        <f t="shared" si="1"/>
        <v>B</v>
      </c>
      <c r="J31" s="1">
        <f t="shared" si="2"/>
        <v>3</v>
      </c>
      <c r="K31" s="5">
        <v>2</v>
      </c>
      <c r="L31" s="2">
        <f t="shared" si="3"/>
        <v>6</v>
      </c>
      <c r="M31" s="5">
        <v>77</v>
      </c>
      <c r="N31" s="6" t="str">
        <f t="shared" si="4"/>
        <v>B+</v>
      </c>
      <c r="O31" s="1">
        <f t="shared" si="5"/>
        <v>3.5</v>
      </c>
      <c r="P31" s="5">
        <v>2</v>
      </c>
      <c r="Q31" s="2">
        <f t="shared" si="6"/>
        <v>7</v>
      </c>
      <c r="R31" s="5">
        <v>84.6</v>
      </c>
      <c r="S31" s="6" t="str">
        <f t="shared" si="7"/>
        <v>A</v>
      </c>
      <c r="T31" s="1">
        <f t="shared" si="8"/>
        <v>4</v>
      </c>
      <c r="U31" s="5">
        <v>2</v>
      </c>
      <c r="V31" s="2">
        <f t="shared" si="9"/>
        <v>8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84.05</v>
      </c>
      <c r="AC31" s="6" t="str">
        <f t="shared" si="13"/>
        <v>A</v>
      </c>
      <c r="AD31" s="1">
        <f t="shared" si="14"/>
        <v>4</v>
      </c>
      <c r="AE31" s="2">
        <v>2</v>
      </c>
      <c r="AF31" s="2">
        <f t="shared" si="15"/>
        <v>8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79</v>
      </c>
      <c r="AM31" s="6" t="str">
        <f t="shared" si="19"/>
        <v>B+</v>
      </c>
      <c r="AN31" s="1">
        <f t="shared" si="20"/>
        <v>3.5</v>
      </c>
      <c r="AO31" s="2">
        <v>2</v>
      </c>
      <c r="AP31" s="2">
        <f t="shared" si="21"/>
        <v>7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78</v>
      </c>
      <c r="AW31" s="6" t="str">
        <f t="shared" si="25"/>
        <v>B+</v>
      </c>
      <c r="AX31" s="1">
        <f t="shared" si="26"/>
        <v>3.5</v>
      </c>
      <c r="AY31" s="5">
        <v>3</v>
      </c>
      <c r="AZ31" s="3">
        <f t="shared" si="27"/>
        <v>10.5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81</v>
      </c>
      <c r="BG31" s="6" t="str">
        <f t="shared" si="31"/>
        <v>A</v>
      </c>
      <c r="BH31" s="1">
        <f t="shared" si="32"/>
        <v>4</v>
      </c>
      <c r="BI31" s="5">
        <v>2</v>
      </c>
      <c r="BJ31" s="2">
        <f t="shared" si="33"/>
        <v>8</v>
      </c>
      <c r="BK31" s="5">
        <v>75.2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85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80.3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87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72.150000000000006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77</v>
      </c>
      <c r="CP31" s="6" t="str">
        <f t="shared" si="52"/>
        <v>B+</v>
      </c>
      <c r="CQ31" s="1">
        <f t="shared" si="53"/>
        <v>3.5</v>
      </c>
      <c r="CR31" s="2">
        <v>2</v>
      </c>
      <c r="CS31" s="2">
        <f t="shared" si="54"/>
        <v>7</v>
      </c>
      <c r="CT31" s="2">
        <v>83.3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70</v>
      </c>
      <c r="CZ31" s="6" t="str">
        <f t="shared" si="58"/>
        <v>B</v>
      </c>
      <c r="DA31" s="1">
        <f t="shared" si="59"/>
        <v>3</v>
      </c>
      <c r="DB31" s="5">
        <v>2</v>
      </c>
      <c r="DC31" s="3">
        <f t="shared" si="60"/>
        <v>6</v>
      </c>
      <c r="DD31" s="5">
        <v>73.5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3">
        <f t="shared" si="75"/>
        <v>87.5</v>
      </c>
      <c r="DO31" s="24">
        <f t="shared" si="67"/>
        <v>24</v>
      </c>
      <c r="DP31" s="5">
        <f t="shared" si="68"/>
        <v>87</v>
      </c>
      <c r="DQ31" s="5">
        <f t="shared" si="69"/>
        <v>24</v>
      </c>
      <c r="DR31" s="5">
        <f t="shared" si="70"/>
        <v>174.5</v>
      </c>
      <c r="DS31" s="5">
        <f t="shared" si="71"/>
        <v>48</v>
      </c>
      <c r="DT31" s="5">
        <v>3.625</v>
      </c>
      <c r="DU31" s="5">
        <f t="shared" si="72"/>
        <v>3.6354166666666665</v>
      </c>
      <c r="DV31" s="10" t="str">
        <f t="shared" si="73"/>
        <v>Cum Laude</v>
      </c>
      <c r="DW31" s="17" t="str">
        <f t="shared" si="74"/>
        <v>Excellent</v>
      </c>
      <c r="DX31" s="40" t="s">
        <v>264</v>
      </c>
    </row>
    <row r="32" spans="1:128" x14ac:dyDescent="0.2">
      <c r="A32" s="29">
        <v>30</v>
      </c>
      <c r="B32" s="10" t="s">
        <v>47</v>
      </c>
      <c r="C32" s="10">
        <v>182412034</v>
      </c>
      <c r="D32" s="16" t="s">
        <v>122</v>
      </c>
      <c r="E32" s="8" t="s">
        <v>123</v>
      </c>
      <c r="F32" s="7" t="s">
        <v>141</v>
      </c>
      <c r="G32" s="28" t="s">
        <v>211</v>
      </c>
      <c r="H32" s="5">
        <v>78.75</v>
      </c>
      <c r="I32" s="6" t="str">
        <f t="shared" si="1"/>
        <v>B+</v>
      </c>
      <c r="J32" s="1">
        <f t="shared" si="2"/>
        <v>3.5</v>
      </c>
      <c r="K32" s="5">
        <v>2</v>
      </c>
      <c r="L32" s="2">
        <f t="shared" si="3"/>
        <v>7</v>
      </c>
      <c r="M32" s="5">
        <v>78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79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76</v>
      </c>
      <c r="X32" s="6" t="str">
        <f t="shared" si="10"/>
        <v>B+</v>
      </c>
      <c r="Y32" s="1">
        <f t="shared" si="11"/>
        <v>3.5</v>
      </c>
      <c r="Z32" s="5">
        <v>3</v>
      </c>
      <c r="AA32" s="2">
        <f t="shared" si="12"/>
        <v>10.5</v>
      </c>
      <c r="AB32" s="5">
        <v>83.75</v>
      </c>
      <c r="AC32" s="6" t="str">
        <f t="shared" si="13"/>
        <v>A</v>
      </c>
      <c r="AD32" s="1">
        <f t="shared" si="14"/>
        <v>4</v>
      </c>
      <c r="AE32" s="2">
        <v>2</v>
      </c>
      <c r="AF32" s="2">
        <f t="shared" si="15"/>
        <v>8</v>
      </c>
      <c r="AG32" s="5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5">
        <v>79</v>
      </c>
      <c r="AM32" s="6" t="str">
        <f t="shared" si="19"/>
        <v>B+</v>
      </c>
      <c r="AN32" s="1">
        <f t="shared" si="20"/>
        <v>3.5</v>
      </c>
      <c r="AO32" s="2">
        <v>2</v>
      </c>
      <c r="AP32" s="2">
        <f t="shared" si="21"/>
        <v>7</v>
      </c>
      <c r="AQ32" s="5">
        <v>74</v>
      </c>
      <c r="AR32" s="6" t="str">
        <f t="shared" si="22"/>
        <v>B</v>
      </c>
      <c r="AS32" s="1">
        <f t="shared" si="23"/>
        <v>3</v>
      </c>
      <c r="AT32" s="2">
        <v>2</v>
      </c>
      <c r="AU32" s="2">
        <f t="shared" si="24"/>
        <v>6</v>
      </c>
      <c r="AV32" s="5">
        <v>78</v>
      </c>
      <c r="AW32" s="6" t="str">
        <f t="shared" si="25"/>
        <v>B+</v>
      </c>
      <c r="AX32" s="1">
        <f t="shared" si="26"/>
        <v>3.5</v>
      </c>
      <c r="AY32" s="5">
        <v>3</v>
      </c>
      <c r="AZ32" s="3">
        <f t="shared" si="27"/>
        <v>10.5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79</v>
      </c>
      <c r="BG32" s="6" t="str">
        <f t="shared" si="31"/>
        <v>B+</v>
      </c>
      <c r="BH32" s="1">
        <f t="shared" si="32"/>
        <v>3.5</v>
      </c>
      <c r="BI32" s="5">
        <v>2</v>
      </c>
      <c r="BJ32" s="2">
        <f t="shared" si="33"/>
        <v>7</v>
      </c>
      <c r="BK32" s="5">
        <v>79.150000000000006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79.5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86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77.099999999999994</v>
      </c>
      <c r="CA32" s="6" t="str">
        <f t="shared" si="43"/>
        <v>B+</v>
      </c>
      <c r="CB32" s="1">
        <f t="shared" si="44"/>
        <v>3.5</v>
      </c>
      <c r="CC32" s="5">
        <v>2</v>
      </c>
      <c r="CD32" s="2">
        <f t="shared" si="45"/>
        <v>7</v>
      </c>
      <c r="CE32" s="5">
        <v>86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5">
        <v>78.13</v>
      </c>
      <c r="CK32" s="6" t="str">
        <f t="shared" si="49"/>
        <v>B+</v>
      </c>
      <c r="CL32" s="1">
        <f t="shared" si="50"/>
        <v>3.5</v>
      </c>
      <c r="CM32" s="2">
        <v>2</v>
      </c>
      <c r="CN32" s="2">
        <f t="shared" si="51"/>
        <v>7</v>
      </c>
      <c r="CO32" s="5">
        <v>77.599999999999994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5">
        <v>82.6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80</v>
      </c>
      <c r="CZ32" s="6" t="str">
        <f t="shared" si="58"/>
        <v>A</v>
      </c>
      <c r="DA32" s="1">
        <f t="shared" si="59"/>
        <v>4</v>
      </c>
      <c r="DB32" s="5">
        <v>2</v>
      </c>
      <c r="DC32" s="3">
        <f t="shared" si="60"/>
        <v>8</v>
      </c>
      <c r="DD32" s="5">
        <v>75</v>
      </c>
      <c r="DE32" s="6" t="str">
        <f t="shared" si="61"/>
        <v>B+</v>
      </c>
      <c r="DF32" s="1">
        <f t="shared" si="62"/>
        <v>3.5</v>
      </c>
      <c r="DG32" s="5">
        <v>2</v>
      </c>
      <c r="DH32" s="2">
        <f t="shared" si="63"/>
        <v>7</v>
      </c>
      <c r="DI32" s="5">
        <v>80</v>
      </c>
      <c r="DJ32" s="6" t="str">
        <f>IF(DI32&gt;=80,"A",IF(DI32&gt;=75,"B+",IF(DI32&gt;=70,"B",IF(DI32&gt;=65,"C+",IF(DI32&gt;=60,"C",IF(DI32&gt;=55,"D",IF(DI32&lt;54,"E")))))))</f>
        <v>A</v>
      </c>
      <c r="DK32" s="1">
        <f t="shared" si="65"/>
        <v>4</v>
      </c>
      <c r="DL32" s="5">
        <v>4</v>
      </c>
      <c r="DM32" s="2">
        <f t="shared" si="66"/>
        <v>16</v>
      </c>
      <c r="DN32" s="23">
        <f t="shared" si="75"/>
        <v>84</v>
      </c>
      <c r="DO32" s="24">
        <f t="shared" si="67"/>
        <v>24</v>
      </c>
      <c r="DP32" s="5">
        <f t="shared" si="68"/>
        <v>90</v>
      </c>
      <c r="DQ32" s="5">
        <f t="shared" si="69"/>
        <v>24</v>
      </c>
      <c r="DR32" s="5">
        <f t="shared" si="70"/>
        <v>174</v>
      </c>
      <c r="DS32" s="5">
        <f t="shared" si="71"/>
        <v>48</v>
      </c>
      <c r="DT32" s="5">
        <v>3.75</v>
      </c>
      <c r="DU32" s="5">
        <f t="shared" si="72"/>
        <v>3.625</v>
      </c>
      <c r="DV32" s="10" t="str">
        <f t="shared" si="73"/>
        <v>Cum Laude</v>
      </c>
      <c r="DW32" s="17" t="str">
        <f t="shared" si="74"/>
        <v>Excellent</v>
      </c>
      <c r="DX32" s="25" t="s">
        <v>253</v>
      </c>
    </row>
    <row r="33" spans="1:128" x14ac:dyDescent="0.2">
      <c r="A33" s="29">
        <v>31</v>
      </c>
      <c r="B33" s="10" t="s">
        <v>48</v>
      </c>
      <c r="C33" s="10">
        <v>182412035</v>
      </c>
      <c r="D33" s="16" t="s">
        <v>124</v>
      </c>
      <c r="E33" s="8" t="s">
        <v>125</v>
      </c>
      <c r="F33" s="7" t="s">
        <v>141</v>
      </c>
      <c r="G33" s="28" t="s">
        <v>212</v>
      </c>
      <c r="H33" s="5">
        <v>72.5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74</v>
      </c>
      <c r="S33" s="6" t="str">
        <f t="shared" si="7"/>
        <v>B</v>
      </c>
      <c r="T33" s="1">
        <f t="shared" si="8"/>
        <v>3</v>
      </c>
      <c r="U33" s="5">
        <v>2</v>
      </c>
      <c r="V33" s="2">
        <f t="shared" si="9"/>
        <v>6</v>
      </c>
      <c r="W33" s="5">
        <v>78</v>
      </c>
      <c r="X33" s="6" t="str">
        <f t="shared" si="10"/>
        <v>B+</v>
      </c>
      <c r="Y33" s="1">
        <f t="shared" si="11"/>
        <v>3.5</v>
      </c>
      <c r="Z33" s="5">
        <v>3</v>
      </c>
      <c r="AA33" s="2">
        <f t="shared" si="12"/>
        <v>10.5</v>
      </c>
      <c r="AB33" s="5">
        <v>76.75</v>
      </c>
      <c r="AC33" s="6" t="str">
        <f t="shared" si="13"/>
        <v>B+</v>
      </c>
      <c r="AD33" s="1">
        <f t="shared" si="14"/>
        <v>3.5</v>
      </c>
      <c r="AE33" s="2">
        <v>2</v>
      </c>
      <c r="AF33" s="2">
        <f t="shared" si="15"/>
        <v>7</v>
      </c>
      <c r="AG33" s="5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5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5">
        <v>75</v>
      </c>
      <c r="AR33" s="6" t="str">
        <f t="shared" si="22"/>
        <v>B+</v>
      </c>
      <c r="AS33" s="1">
        <f t="shared" si="23"/>
        <v>3.5</v>
      </c>
      <c r="AT33" s="2">
        <v>2</v>
      </c>
      <c r="AU33" s="2">
        <f t="shared" si="24"/>
        <v>7</v>
      </c>
      <c r="AV33" s="5">
        <v>76.75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76.25</v>
      </c>
      <c r="BB33" s="6" t="str">
        <f t="shared" si="28"/>
        <v>B+</v>
      </c>
      <c r="BC33" s="1">
        <f t="shared" si="29"/>
        <v>3.5</v>
      </c>
      <c r="BD33" s="5">
        <v>2</v>
      </c>
      <c r="BE33" s="2">
        <f t="shared" si="30"/>
        <v>7</v>
      </c>
      <c r="BF33" s="5">
        <v>79</v>
      </c>
      <c r="BG33" s="6" t="str">
        <f t="shared" si="31"/>
        <v>B+</v>
      </c>
      <c r="BH33" s="1">
        <f t="shared" si="32"/>
        <v>3.5</v>
      </c>
      <c r="BI33" s="5">
        <v>2</v>
      </c>
      <c r="BJ33" s="2">
        <f t="shared" si="33"/>
        <v>7</v>
      </c>
      <c r="BK33" s="5">
        <v>77.47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84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77.3</v>
      </c>
      <c r="CA33" s="6" t="str">
        <f t="shared" si="43"/>
        <v>B+</v>
      </c>
      <c r="CB33" s="1">
        <f t="shared" si="44"/>
        <v>3.5</v>
      </c>
      <c r="CC33" s="5">
        <v>2</v>
      </c>
      <c r="CD33" s="2">
        <f t="shared" si="45"/>
        <v>7</v>
      </c>
      <c r="CE33" s="5">
        <v>85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5">
        <v>73.75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5">
        <v>76.099999999999994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5">
        <v>80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80</v>
      </c>
      <c r="CZ33" s="6" t="str">
        <f t="shared" si="58"/>
        <v>A</v>
      </c>
      <c r="DA33" s="1">
        <f t="shared" si="59"/>
        <v>4</v>
      </c>
      <c r="DB33" s="5">
        <v>2</v>
      </c>
      <c r="DC33" s="3">
        <f t="shared" si="60"/>
        <v>8</v>
      </c>
      <c r="DD33" s="5">
        <v>75</v>
      </c>
      <c r="DE33" s="6" t="str">
        <f t="shared" si="61"/>
        <v>B+</v>
      </c>
      <c r="DF33" s="1">
        <f t="shared" si="62"/>
        <v>3.5</v>
      </c>
      <c r="DG33" s="5">
        <v>2</v>
      </c>
      <c r="DH33" s="2">
        <f t="shared" si="63"/>
        <v>7</v>
      </c>
      <c r="DI33" s="5">
        <v>80</v>
      </c>
      <c r="DJ33" s="6" t="str">
        <f>IF(DI33&gt;=80,"A",IF(DI33&gt;=75,"B+",IF(DI33&gt;=70,"B",IF(DI33&gt;=65,"C+",IF(DI33&gt;=60,"C",IF(DI33&gt;=55,"D",IF(DI33&lt;54,"E")))))))</f>
        <v>A</v>
      </c>
      <c r="DK33" s="1">
        <f t="shared" si="65"/>
        <v>4</v>
      </c>
      <c r="DL33" s="5">
        <v>4</v>
      </c>
      <c r="DM33" s="2">
        <f t="shared" si="66"/>
        <v>16</v>
      </c>
      <c r="DN33" s="23">
        <f t="shared" si="75"/>
        <v>82</v>
      </c>
      <c r="DO33" s="24">
        <f t="shared" si="67"/>
        <v>24</v>
      </c>
      <c r="DP33" s="5">
        <f t="shared" si="68"/>
        <v>89</v>
      </c>
      <c r="DQ33" s="5">
        <f t="shared" si="69"/>
        <v>24</v>
      </c>
      <c r="DR33" s="5">
        <f t="shared" si="70"/>
        <v>171</v>
      </c>
      <c r="DS33" s="5">
        <f t="shared" si="71"/>
        <v>48</v>
      </c>
      <c r="DT33" s="5">
        <v>3.7083333333333335</v>
      </c>
      <c r="DU33" s="5">
        <f t="shared" si="72"/>
        <v>3.5625</v>
      </c>
      <c r="DV33" s="10" t="str">
        <f t="shared" si="73"/>
        <v>Cum Laude</v>
      </c>
      <c r="DW33" s="17" t="str">
        <f t="shared" si="74"/>
        <v>Excellent</v>
      </c>
      <c r="DX33" s="25" t="s">
        <v>265</v>
      </c>
    </row>
    <row r="34" spans="1:128" x14ac:dyDescent="0.2">
      <c r="A34" s="29">
        <v>32</v>
      </c>
      <c r="B34" s="10" t="s">
        <v>49</v>
      </c>
      <c r="C34" s="10">
        <v>182412036</v>
      </c>
      <c r="D34" s="16" t="s">
        <v>126</v>
      </c>
      <c r="E34" s="8" t="s">
        <v>127</v>
      </c>
      <c r="F34" s="7" t="s">
        <v>141</v>
      </c>
      <c r="G34" s="28" t="s">
        <v>213</v>
      </c>
      <c r="H34" s="5">
        <v>77.25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83</v>
      </c>
      <c r="N34" s="6" t="str">
        <f t="shared" si="4"/>
        <v>A</v>
      </c>
      <c r="O34" s="1">
        <f t="shared" si="5"/>
        <v>4</v>
      </c>
      <c r="P34" s="5">
        <v>2</v>
      </c>
      <c r="Q34" s="2">
        <f t="shared" si="6"/>
        <v>8</v>
      </c>
      <c r="R34" s="5">
        <v>74.2</v>
      </c>
      <c r="S34" s="6" t="str">
        <f t="shared" si="7"/>
        <v>B</v>
      </c>
      <c r="T34" s="1">
        <f t="shared" si="8"/>
        <v>3</v>
      </c>
      <c r="U34" s="5">
        <v>2</v>
      </c>
      <c r="V34" s="2">
        <f t="shared" si="9"/>
        <v>6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84.3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76</v>
      </c>
      <c r="AR34" s="6" t="str">
        <f t="shared" si="22"/>
        <v>B+</v>
      </c>
      <c r="AS34" s="1">
        <f t="shared" si="23"/>
        <v>3.5</v>
      </c>
      <c r="AT34" s="2">
        <v>2</v>
      </c>
      <c r="AU34" s="2">
        <f t="shared" si="24"/>
        <v>7</v>
      </c>
      <c r="AV34" s="5">
        <v>79.5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80</v>
      </c>
      <c r="BB34" s="6" t="str">
        <f t="shared" si="28"/>
        <v>A</v>
      </c>
      <c r="BC34" s="1">
        <f t="shared" si="29"/>
        <v>4</v>
      </c>
      <c r="BD34" s="5">
        <v>2</v>
      </c>
      <c r="BE34" s="2">
        <f t="shared" si="30"/>
        <v>8</v>
      </c>
      <c r="BF34" s="5">
        <v>81</v>
      </c>
      <c r="BG34" s="6" t="str">
        <f t="shared" si="31"/>
        <v>A</v>
      </c>
      <c r="BH34" s="1">
        <f t="shared" si="32"/>
        <v>4</v>
      </c>
      <c r="BI34" s="5">
        <v>2</v>
      </c>
      <c r="BJ34" s="2">
        <f t="shared" si="33"/>
        <v>8</v>
      </c>
      <c r="BK34" s="5">
        <v>75.2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81.8</v>
      </c>
      <c r="BQ34" s="6" t="str">
        <f t="shared" si="37"/>
        <v>A</v>
      </c>
      <c r="BR34" s="1">
        <f t="shared" si="38"/>
        <v>4</v>
      </c>
      <c r="BS34" s="5">
        <v>2</v>
      </c>
      <c r="BT34" s="2">
        <f t="shared" si="39"/>
        <v>8</v>
      </c>
      <c r="BU34" s="5">
        <v>80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81.599999999999994</v>
      </c>
      <c r="CA34" s="6" t="str">
        <f t="shared" si="43"/>
        <v>A</v>
      </c>
      <c r="CB34" s="1">
        <f t="shared" si="44"/>
        <v>4</v>
      </c>
      <c r="CC34" s="5">
        <v>2</v>
      </c>
      <c r="CD34" s="2">
        <f t="shared" si="45"/>
        <v>8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74.55</v>
      </c>
      <c r="CK34" s="6" t="str">
        <f t="shared" si="49"/>
        <v>B</v>
      </c>
      <c r="CL34" s="1">
        <f t="shared" si="50"/>
        <v>3</v>
      </c>
      <c r="CM34" s="2">
        <v>2</v>
      </c>
      <c r="CN34" s="2">
        <f t="shared" si="51"/>
        <v>6</v>
      </c>
      <c r="CO34" s="5">
        <v>78.2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83.3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77</v>
      </c>
      <c r="CZ34" s="6" t="str">
        <f t="shared" si="58"/>
        <v>B+</v>
      </c>
      <c r="DA34" s="1">
        <f t="shared" si="59"/>
        <v>3.5</v>
      </c>
      <c r="DB34" s="5">
        <v>2</v>
      </c>
      <c r="DC34" s="3">
        <f t="shared" si="60"/>
        <v>7</v>
      </c>
      <c r="DD34" s="5">
        <v>75.099999999999994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81.7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3">
        <f t="shared" si="75"/>
        <v>87</v>
      </c>
      <c r="DO34" s="24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177</v>
      </c>
      <c r="DS34" s="5">
        <f t="shared" si="71"/>
        <v>48</v>
      </c>
      <c r="DT34" s="5">
        <v>3.75</v>
      </c>
      <c r="DU34" s="5">
        <f t="shared" si="72"/>
        <v>3.6875</v>
      </c>
      <c r="DV34" s="10" t="str">
        <f t="shared" si="73"/>
        <v>Cum Laude</v>
      </c>
      <c r="DW34" s="17" t="str">
        <f t="shared" si="74"/>
        <v>Excellent</v>
      </c>
      <c r="DX34" s="25" t="s">
        <v>254</v>
      </c>
    </row>
    <row r="35" spans="1:128" x14ac:dyDescent="0.2">
      <c r="A35" s="29">
        <v>33</v>
      </c>
      <c r="B35" s="10" t="s">
        <v>50</v>
      </c>
      <c r="C35" s="10">
        <v>182412037</v>
      </c>
      <c r="D35" s="16" t="s">
        <v>128</v>
      </c>
      <c r="E35" s="8" t="s">
        <v>129</v>
      </c>
      <c r="F35" s="7" t="s">
        <v>141</v>
      </c>
      <c r="G35" s="28" t="s">
        <v>214</v>
      </c>
      <c r="H35" s="5">
        <v>75.75</v>
      </c>
      <c r="I35" s="6" t="str">
        <f t="shared" si="1"/>
        <v>B+</v>
      </c>
      <c r="J35" s="1">
        <f t="shared" si="2"/>
        <v>3.5</v>
      </c>
      <c r="K35" s="5">
        <v>2</v>
      </c>
      <c r="L35" s="2">
        <f t="shared" si="3"/>
        <v>7</v>
      </c>
      <c r="M35" s="5">
        <v>75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78.400000000000006</v>
      </c>
      <c r="S35" s="6" t="str">
        <f t="shared" si="7"/>
        <v>B+</v>
      </c>
      <c r="T35" s="1">
        <f t="shared" si="8"/>
        <v>3.5</v>
      </c>
      <c r="U35" s="5">
        <v>2</v>
      </c>
      <c r="V35" s="2">
        <f t="shared" si="9"/>
        <v>7</v>
      </c>
      <c r="W35" s="5">
        <v>80</v>
      </c>
      <c r="X35" s="6" t="str">
        <f t="shared" si="10"/>
        <v>A</v>
      </c>
      <c r="Y35" s="1">
        <f t="shared" si="11"/>
        <v>4</v>
      </c>
      <c r="Z35" s="5">
        <v>3</v>
      </c>
      <c r="AA35" s="2">
        <f t="shared" si="12"/>
        <v>12</v>
      </c>
      <c r="AB35" s="5">
        <v>88.6</v>
      </c>
      <c r="AC35" s="6" t="str">
        <f t="shared" si="13"/>
        <v>A</v>
      </c>
      <c r="AD35" s="1">
        <f t="shared" si="14"/>
        <v>4</v>
      </c>
      <c r="AE35" s="2">
        <v>2</v>
      </c>
      <c r="AF35" s="2">
        <f t="shared" si="15"/>
        <v>8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77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74</v>
      </c>
      <c r="AR35" s="6" t="str">
        <f t="shared" si="22"/>
        <v>B</v>
      </c>
      <c r="AS35" s="1">
        <f t="shared" si="23"/>
        <v>3</v>
      </c>
      <c r="AT35" s="2">
        <v>2</v>
      </c>
      <c r="AU35" s="2">
        <f t="shared" si="24"/>
        <v>6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77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79.069999999999993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78.3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81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78.5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71.78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81</v>
      </c>
      <c r="CP35" s="6" t="str">
        <f t="shared" si="52"/>
        <v>A</v>
      </c>
      <c r="CQ35" s="1">
        <f t="shared" si="53"/>
        <v>4</v>
      </c>
      <c r="CR35" s="2">
        <v>2</v>
      </c>
      <c r="CS35" s="2">
        <f t="shared" si="54"/>
        <v>8</v>
      </c>
      <c r="CT35" s="5">
        <v>82.8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78</v>
      </c>
      <c r="CZ35" s="6" t="str">
        <f t="shared" si="58"/>
        <v>B+</v>
      </c>
      <c r="DA35" s="1">
        <f t="shared" si="59"/>
        <v>3.5</v>
      </c>
      <c r="DB35" s="5">
        <v>2</v>
      </c>
      <c r="DC35" s="3">
        <f t="shared" si="60"/>
        <v>7</v>
      </c>
      <c r="DD35" s="5">
        <v>74.099999999999994</v>
      </c>
      <c r="DE35" s="6" t="str">
        <f t="shared" si="61"/>
        <v>B</v>
      </c>
      <c r="DF35" s="1">
        <f t="shared" si="62"/>
        <v>3</v>
      </c>
      <c r="DG35" s="5">
        <v>2</v>
      </c>
      <c r="DH35" s="2">
        <f t="shared" si="63"/>
        <v>6</v>
      </c>
      <c r="DI35" s="5">
        <v>80.5</v>
      </c>
      <c r="DJ35" s="6" t="str">
        <f t="shared" si="64"/>
        <v>A</v>
      </c>
      <c r="DK35" s="1">
        <f t="shared" si="65"/>
        <v>4</v>
      </c>
      <c r="DL35" s="5">
        <v>4</v>
      </c>
      <c r="DM35" s="2">
        <f t="shared" si="66"/>
        <v>16</v>
      </c>
      <c r="DN35" s="23">
        <f t="shared" si="75"/>
        <v>85.5</v>
      </c>
      <c r="DO35" s="24">
        <f t="shared" si="67"/>
        <v>24</v>
      </c>
      <c r="DP35" s="5">
        <f t="shared" si="68"/>
        <v>88</v>
      </c>
      <c r="DQ35" s="5">
        <f t="shared" si="69"/>
        <v>24</v>
      </c>
      <c r="DR35" s="5">
        <f t="shared" si="70"/>
        <v>173.5</v>
      </c>
      <c r="DS35" s="5">
        <f t="shared" si="71"/>
        <v>48</v>
      </c>
      <c r="DT35" s="5">
        <v>3.6666666666666665</v>
      </c>
      <c r="DU35" s="5">
        <f t="shared" si="72"/>
        <v>3.6145833333333335</v>
      </c>
      <c r="DV35" s="10" t="str">
        <f t="shared" si="73"/>
        <v>Cum Laude</v>
      </c>
      <c r="DW35" s="17" t="str">
        <f t="shared" si="74"/>
        <v>Excellent</v>
      </c>
      <c r="DX35" s="25" t="s">
        <v>161</v>
      </c>
    </row>
    <row r="36" spans="1:128" x14ac:dyDescent="0.2">
      <c r="A36" s="29">
        <v>34</v>
      </c>
      <c r="B36" s="10" t="s">
        <v>51</v>
      </c>
      <c r="C36" s="10">
        <v>182412038</v>
      </c>
      <c r="D36" s="16" t="s">
        <v>130</v>
      </c>
      <c r="E36" s="8" t="s">
        <v>131</v>
      </c>
      <c r="F36" s="7" t="s">
        <v>141</v>
      </c>
      <c r="G36" s="28" t="s">
        <v>215</v>
      </c>
      <c r="H36" s="5">
        <v>78.75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80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77</v>
      </c>
      <c r="S36" s="6" t="str">
        <f t="shared" si="7"/>
        <v>B+</v>
      </c>
      <c r="T36" s="1">
        <f t="shared" si="8"/>
        <v>3.5</v>
      </c>
      <c r="U36" s="5">
        <v>2</v>
      </c>
      <c r="V36" s="2">
        <f t="shared" si="9"/>
        <v>7</v>
      </c>
      <c r="W36" s="5">
        <v>86</v>
      </c>
      <c r="X36" s="6" t="str">
        <f t="shared" si="10"/>
        <v>A</v>
      </c>
      <c r="Y36" s="1">
        <f t="shared" si="11"/>
        <v>4</v>
      </c>
      <c r="Z36" s="5">
        <v>3</v>
      </c>
      <c r="AA36" s="2">
        <f t="shared" si="12"/>
        <v>12</v>
      </c>
      <c r="AB36" s="5">
        <v>78</v>
      </c>
      <c r="AC36" s="6" t="str">
        <f t="shared" si="13"/>
        <v>B+</v>
      </c>
      <c r="AD36" s="1">
        <f t="shared" si="14"/>
        <v>3.5</v>
      </c>
      <c r="AE36" s="2">
        <v>2</v>
      </c>
      <c r="AF36" s="2">
        <f t="shared" si="15"/>
        <v>7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81</v>
      </c>
      <c r="AM36" s="6" t="str">
        <f t="shared" si="19"/>
        <v>A</v>
      </c>
      <c r="AN36" s="1">
        <f t="shared" si="20"/>
        <v>4</v>
      </c>
      <c r="AO36" s="2">
        <v>2</v>
      </c>
      <c r="AP36" s="2">
        <f t="shared" si="21"/>
        <v>8</v>
      </c>
      <c r="AQ36" s="5">
        <v>78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81.55</v>
      </c>
      <c r="AW36" s="6" t="str">
        <f t="shared" si="25"/>
        <v>A</v>
      </c>
      <c r="AX36" s="1">
        <f t="shared" si="26"/>
        <v>4</v>
      </c>
      <c r="AY36" s="5">
        <v>3</v>
      </c>
      <c r="AZ36" s="3">
        <f t="shared" si="27"/>
        <v>12</v>
      </c>
      <c r="BA36" s="5">
        <v>82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83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78.349999999999994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80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82.2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87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77.599999999999994</v>
      </c>
      <c r="CK36" s="6" t="str">
        <f t="shared" si="49"/>
        <v>B+</v>
      </c>
      <c r="CL36" s="1">
        <f t="shared" si="50"/>
        <v>3.5</v>
      </c>
      <c r="CM36" s="2">
        <v>2</v>
      </c>
      <c r="CN36" s="2">
        <f t="shared" si="51"/>
        <v>7</v>
      </c>
      <c r="CO36" s="5">
        <v>81.3</v>
      </c>
      <c r="CP36" s="6" t="str">
        <f t="shared" si="52"/>
        <v>A</v>
      </c>
      <c r="CQ36" s="1">
        <f t="shared" si="53"/>
        <v>4</v>
      </c>
      <c r="CR36" s="2">
        <v>2</v>
      </c>
      <c r="CS36" s="2">
        <f t="shared" si="54"/>
        <v>8</v>
      </c>
      <c r="CT36" s="5">
        <v>80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80</v>
      </c>
      <c r="CZ36" s="6" t="str">
        <f t="shared" si="58"/>
        <v>A</v>
      </c>
      <c r="DA36" s="1">
        <f t="shared" si="59"/>
        <v>4</v>
      </c>
      <c r="DB36" s="5">
        <v>2</v>
      </c>
      <c r="DC36" s="3">
        <f t="shared" si="60"/>
        <v>8</v>
      </c>
      <c r="DD36" s="5">
        <v>76.3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80.8</v>
      </c>
      <c r="DJ36" s="6" t="str">
        <f t="shared" si="64"/>
        <v>A</v>
      </c>
      <c r="DK36" s="1">
        <f t="shared" si="65"/>
        <v>4</v>
      </c>
      <c r="DL36" s="5">
        <v>4</v>
      </c>
      <c r="DM36" s="2">
        <f t="shared" si="66"/>
        <v>16</v>
      </c>
      <c r="DN36" s="23">
        <f t="shared" si="75"/>
        <v>91</v>
      </c>
      <c r="DO36" s="24">
        <f t="shared" si="67"/>
        <v>24</v>
      </c>
      <c r="DP36" s="5">
        <f t="shared" si="68"/>
        <v>93</v>
      </c>
      <c r="DQ36" s="5">
        <f t="shared" si="69"/>
        <v>24</v>
      </c>
      <c r="DR36" s="5">
        <f t="shared" si="70"/>
        <v>184</v>
      </c>
      <c r="DS36" s="5">
        <f t="shared" si="71"/>
        <v>48</v>
      </c>
      <c r="DT36" s="5">
        <v>3.875</v>
      </c>
      <c r="DU36" s="5">
        <f t="shared" si="72"/>
        <v>3.8333333333333335</v>
      </c>
      <c r="DV36" s="10" t="str">
        <f t="shared" si="73"/>
        <v>Cum Laude</v>
      </c>
      <c r="DW36" s="17" t="str">
        <f t="shared" si="74"/>
        <v>Excellent</v>
      </c>
      <c r="DX36" s="25" t="s">
        <v>162</v>
      </c>
    </row>
    <row r="37" spans="1:128" x14ac:dyDescent="0.2">
      <c r="A37" s="29">
        <v>35</v>
      </c>
      <c r="B37" s="10" t="s">
        <v>52</v>
      </c>
      <c r="C37" s="10">
        <v>182412039</v>
      </c>
      <c r="D37" s="10" t="s">
        <v>118</v>
      </c>
      <c r="E37" s="8" t="s">
        <v>177</v>
      </c>
      <c r="F37" s="7" t="s">
        <v>141</v>
      </c>
      <c r="G37" s="28" t="s">
        <v>216</v>
      </c>
      <c r="H37" s="5">
        <v>77.25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79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81</v>
      </c>
      <c r="S37" s="6" t="str">
        <f t="shared" si="7"/>
        <v>A</v>
      </c>
      <c r="T37" s="1">
        <f t="shared" si="8"/>
        <v>4</v>
      </c>
      <c r="U37" s="5">
        <v>2</v>
      </c>
      <c r="V37" s="2">
        <f t="shared" si="9"/>
        <v>8</v>
      </c>
      <c r="W37" s="5">
        <v>78</v>
      </c>
      <c r="X37" s="6" t="str">
        <f t="shared" si="10"/>
        <v>B+</v>
      </c>
      <c r="Y37" s="1">
        <f t="shared" si="11"/>
        <v>3.5</v>
      </c>
      <c r="Z37" s="5">
        <v>3</v>
      </c>
      <c r="AA37" s="2">
        <f t="shared" si="12"/>
        <v>10.5</v>
      </c>
      <c r="AB37" s="5">
        <v>86.3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76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75</v>
      </c>
      <c r="AR37" s="6" t="str">
        <f t="shared" si="22"/>
        <v>B+</v>
      </c>
      <c r="AS37" s="1">
        <f t="shared" si="23"/>
        <v>3.5</v>
      </c>
      <c r="AT37" s="2">
        <v>2</v>
      </c>
      <c r="AU37" s="2">
        <f t="shared" si="24"/>
        <v>7</v>
      </c>
      <c r="AV37" s="5">
        <v>80.75</v>
      </c>
      <c r="AW37" s="6" t="str">
        <f t="shared" si="25"/>
        <v>A</v>
      </c>
      <c r="AX37" s="1">
        <f t="shared" si="26"/>
        <v>4</v>
      </c>
      <c r="AY37" s="5">
        <v>3</v>
      </c>
      <c r="AZ37" s="3">
        <f t="shared" si="27"/>
        <v>12</v>
      </c>
      <c r="BA37" s="5">
        <v>80</v>
      </c>
      <c r="BB37" s="6" t="str">
        <f t="shared" si="28"/>
        <v>A</v>
      </c>
      <c r="BC37" s="1">
        <f t="shared" si="29"/>
        <v>4</v>
      </c>
      <c r="BD37" s="5">
        <v>2</v>
      </c>
      <c r="BE37" s="2">
        <f t="shared" si="30"/>
        <v>8</v>
      </c>
      <c r="BF37" s="5">
        <v>80</v>
      </c>
      <c r="BG37" s="6" t="str">
        <f t="shared" si="31"/>
        <v>A</v>
      </c>
      <c r="BH37" s="1">
        <f t="shared" si="32"/>
        <v>4</v>
      </c>
      <c r="BI37" s="5">
        <v>2</v>
      </c>
      <c r="BJ37" s="2">
        <f t="shared" si="33"/>
        <v>8</v>
      </c>
      <c r="BK37" s="5">
        <v>78.819999999999993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81.3</v>
      </c>
      <c r="BQ37" s="6" t="str">
        <f t="shared" si="37"/>
        <v>A</v>
      </c>
      <c r="BR37" s="1">
        <f t="shared" si="38"/>
        <v>4</v>
      </c>
      <c r="BS37" s="5">
        <v>2</v>
      </c>
      <c r="BT37" s="2">
        <f t="shared" si="39"/>
        <v>8</v>
      </c>
      <c r="BU37" s="5">
        <v>82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79.3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86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72.930000000000007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76</v>
      </c>
      <c r="CP37" s="6" t="str">
        <f t="shared" si="52"/>
        <v>B+</v>
      </c>
      <c r="CQ37" s="1">
        <f t="shared" si="53"/>
        <v>3.5</v>
      </c>
      <c r="CR37" s="2">
        <v>2</v>
      </c>
      <c r="CS37" s="2">
        <f t="shared" si="54"/>
        <v>7</v>
      </c>
      <c r="CT37" s="5">
        <v>81.8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77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76.099999999999994</v>
      </c>
      <c r="DE37" s="6" t="str">
        <f t="shared" si="61"/>
        <v>B+</v>
      </c>
      <c r="DF37" s="1">
        <f t="shared" si="62"/>
        <v>3.5</v>
      </c>
      <c r="DG37" s="5">
        <v>2</v>
      </c>
      <c r="DH37" s="2">
        <f t="shared" si="63"/>
        <v>7</v>
      </c>
      <c r="DI37" s="5">
        <v>79.5</v>
      </c>
      <c r="DJ37" s="6" t="str">
        <f t="shared" si="64"/>
        <v>B+</v>
      </c>
      <c r="DK37" s="1">
        <f t="shared" si="65"/>
        <v>3.5</v>
      </c>
      <c r="DL37" s="5">
        <v>4</v>
      </c>
      <c r="DM37" s="2">
        <f t="shared" si="66"/>
        <v>14</v>
      </c>
      <c r="DN37" s="23">
        <f t="shared" si="75"/>
        <v>89.5</v>
      </c>
      <c r="DO37" s="24">
        <f t="shared" si="67"/>
        <v>24</v>
      </c>
      <c r="DP37" s="5">
        <f t="shared" si="68"/>
        <v>87</v>
      </c>
      <c r="DQ37" s="5">
        <f t="shared" si="69"/>
        <v>24</v>
      </c>
      <c r="DR37" s="5">
        <f t="shared" si="70"/>
        <v>176.5</v>
      </c>
      <c r="DS37" s="5">
        <f t="shared" si="71"/>
        <v>48</v>
      </c>
      <c r="DT37" s="5">
        <v>3.625</v>
      </c>
      <c r="DU37" s="5">
        <f t="shared" si="72"/>
        <v>3.6770833333333335</v>
      </c>
      <c r="DV37" s="10" t="str">
        <f t="shared" si="73"/>
        <v>Cum Laude</v>
      </c>
      <c r="DW37" s="17" t="str">
        <f t="shared" si="74"/>
        <v>Excellent</v>
      </c>
      <c r="DX37" s="25" t="s">
        <v>163</v>
      </c>
    </row>
    <row r="38" spans="1:128" x14ac:dyDescent="0.2">
      <c r="A38" s="29">
        <v>36</v>
      </c>
      <c r="B38" s="10" t="s">
        <v>53</v>
      </c>
      <c r="C38" s="10">
        <v>182412040</v>
      </c>
      <c r="D38" s="10" t="s">
        <v>174</v>
      </c>
      <c r="E38" s="8" t="s">
        <v>175</v>
      </c>
      <c r="F38" s="7" t="s">
        <v>141</v>
      </c>
      <c r="G38" s="28" t="s">
        <v>217</v>
      </c>
      <c r="H38" s="5">
        <v>80.25</v>
      </c>
      <c r="I38" s="6" t="str">
        <f t="shared" si="1"/>
        <v>A</v>
      </c>
      <c r="J38" s="1">
        <f t="shared" si="2"/>
        <v>4</v>
      </c>
      <c r="K38" s="5">
        <v>2</v>
      </c>
      <c r="L38" s="2">
        <f t="shared" si="3"/>
        <v>8</v>
      </c>
      <c r="M38" s="5">
        <v>77</v>
      </c>
      <c r="N38" s="6" t="str">
        <f t="shared" si="4"/>
        <v>B+</v>
      </c>
      <c r="O38" s="1">
        <f t="shared" si="5"/>
        <v>3.5</v>
      </c>
      <c r="P38" s="5">
        <v>2</v>
      </c>
      <c r="Q38" s="2">
        <f t="shared" si="6"/>
        <v>7</v>
      </c>
      <c r="R38" s="5">
        <v>78.400000000000006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80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75.95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79</v>
      </c>
      <c r="AM38" s="6" t="str">
        <f t="shared" si="19"/>
        <v>B+</v>
      </c>
      <c r="AN38" s="1">
        <f t="shared" si="20"/>
        <v>3.5</v>
      </c>
      <c r="AO38" s="2">
        <v>2</v>
      </c>
      <c r="AP38" s="2">
        <f t="shared" si="21"/>
        <v>7</v>
      </c>
      <c r="AQ38" s="5">
        <v>74</v>
      </c>
      <c r="AR38" s="6" t="str">
        <f t="shared" si="22"/>
        <v>B</v>
      </c>
      <c r="AS38" s="1">
        <f t="shared" si="23"/>
        <v>3</v>
      </c>
      <c r="AT38" s="2">
        <v>2</v>
      </c>
      <c r="AU38" s="2">
        <f t="shared" si="24"/>
        <v>6</v>
      </c>
      <c r="AV38" s="5">
        <v>79.5</v>
      </c>
      <c r="AW38" s="6" t="str">
        <f t="shared" si="25"/>
        <v>B+</v>
      </c>
      <c r="AX38" s="1">
        <f t="shared" si="26"/>
        <v>3.5</v>
      </c>
      <c r="AY38" s="5">
        <v>3</v>
      </c>
      <c r="AZ38" s="3">
        <f t="shared" si="27"/>
        <v>10.5</v>
      </c>
      <c r="BA38" s="5">
        <v>76.25</v>
      </c>
      <c r="BB38" s="6" t="str">
        <f t="shared" si="28"/>
        <v>B+</v>
      </c>
      <c r="BC38" s="1">
        <f t="shared" si="29"/>
        <v>3.5</v>
      </c>
      <c r="BD38" s="5">
        <v>2</v>
      </c>
      <c r="BE38" s="2">
        <f t="shared" si="30"/>
        <v>7</v>
      </c>
      <c r="BF38" s="5">
        <v>81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79.98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79</v>
      </c>
      <c r="BQ38" s="6" t="str">
        <f t="shared" si="37"/>
        <v>B+</v>
      </c>
      <c r="BR38" s="1">
        <f t="shared" si="38"/>
        <v>3.5</v>
      </c>
      <c r="BS38" s="5">
        <v>2</v>
      </c>
      <c r="BT38" s="2">
        <f t="shared" si="39"/>
        <v>7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79.599999999999994</v>
      </c>
      <c r="CA38" s="6" t="str">
        <f t="shared" si="43"/>
        <v>B+</v>
      </c>
      <c r="CB38" s="1">
        <f t="shared" si="44"/>
        <v>3.5</v>
      </c>
      <c r="CC38" s="5">
        <v>2</v>
      </c>
      <c r="CD38" s="2">
        <f t="shared" si="45"/>
        <v>7</v>
      </c>
      <c r="CE38" s="5">
        <v>85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78.33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75.599999999999994</v>
      </c>
      <c r="CP38" s="6" t="str">
        <f t="shared" si="52"/>
        <v>B+</v>
      </c>
      <c r="CQ38" s="1">
        <f t="shared" si="53"/>
        <v>3.5</v>
      </c>
      <c r="CR38" s="2">
        <v>2</v>
      </c>
      <c r="CS38" s="2">
        <f t="shared" si="54"/>
        <v>7</v>
      </c>
      <c r="CT38" s="5">
        <v>83.3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82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75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3">
        <f t="shared" si="75"/>
        <v>86.5</v>
      </c>
      <c r="DO38" s="24">
        <f t="shared" si="67"/>
        <v>24</v>
      </c>
      <c r="DP38" s="5">
        <f t="shared" si="68"/>
        <v>90</v>
      </c>
      <c r="DQ38" s="5">
        <f t="shared" si="69"/>
        <v>24</v>
      </c>
      <c r="DR38" s="5">
        <f t="shared" si="70"/>
        <v>176.5</v>
      </c>
      <c r="DS38" s="5">
        <f t="shared" si="71"/>
        <v>48</v>
      </c>
      <c r="DT38" s="5">
        <v>3.75</v>
      </c>
      <c r="DU38" s="5">
        <f t="shared" si="72"/>
        <v>3.6770833333333335</v>
      </c>
      <c r="DV38" s="10" t="str">
        <f t="shared" si="73"/>
        <v>Cum Laude</v>
      </c>
      <c r="DW38" s="17" t="str">
        <f t="shared" si="74"/>
        <v>Excellent</v>
      </c>
      <c r="DX38" s="25" t="s">
        <v>154</v>
      </c>
    </row>
    <row r="39" spans="1:128" x14ac:dyDescent="0.2">
      <c r="A39" s="29">
        <v>37</v>
      </c>
      <c r="B39" s="10" t="s">
        <v>54</v>
      </c>
      <c r="C39" s="10">
        <v>182412041</v>
      </c>
      <c r="D39" s="16" t="s">
        <v>89</v>
      </c>
      <c r="E39" s="8" t="s">
        <v>132</v>
      </c>
      <c r="F39" s="7" t="s">
        <v>141</v>
      </c>
      <c r="G39" s="28" t="s">
        <v>218</v>
      </c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76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73.2</v>
      </c>
      <c r="S39" s="6" t="str">
        <f t="shared" si="7"/>
        <v>B</v>
      </c>
      <c r="T39" s="1">
        <f t="shared" si="8"/>
        <v>3</v>
      </c>
      <c r="U39" s="5">
        <v>2</v>
      </c>
      <c r="V39" s="2">
        <f t="shared" si="9"/>
        <v>6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82.65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77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74</v>
      </c>
      <c r="AR39" s="6" t="str">
        <f t="shared" si="22"/>
        <v>B</v>
      </c>
      <c r="AS39" s="1">
        <f t="shared" si="23"/>
        <v>3</v>
      </c>
      <c r="AT39" s="2">
        <v>2</v>
      </c>
      <c r="AU39" s="2">
        <f t="shared" si="24"/>
        <v>6</v>
      </c>
      <c r="AV39" s="5">
        <v>76.75</v>
      </c>
      <c r="AW39" s="6" t="str">
        <f t="shared" si="25"/>
        <v>B+</v>
      </c>
      <c r="AX39" s="1">
        <f t="shared" si="26"/>
        <v>3.5</v>
      </c>
      <c r="AY39" s="5">
        <v>3</v>
      </c>
      <c r="AZ39" s="3">
        <f t="shared" si="27"/>
        <v>10.5</v>
      </c>
      <c r="BA39" s="5">
        <v>76.25</v>
      </c>
      <c r="BB39" s="6" t="str">
        <f t="shared" si="28"/>
        <v>B+</v>
      </c>
      <c r="BC39" s="1">
        <f t="shared" si="29"/>
        <v>3.5</v>
      </c>
      <c r="BD39" s="5">
        <v>2</v>
      </c>
      <c r="BE39" s="2">
        <f t="shared" si="30"/>
        <v>7</v>
      </c>
      <c r="BF39" s="5">
        <v>77</v>
      </c>
      <c r="BG39" s="6" t="str">
        <f t="shared" si="31"/>
        <v>B+</v>
      </c>
      <c r="BH39" s="1">
        <f t="shared" si="32"/>
        <v>3.5</v>
      </c>
      <c r="BI39" s="5">
        <v>2</v>
      </c>
      <c r="BJ39" s="2">
        <f t="shared" si="33"/>
        <v>7</v>
      </c>
      <c r="BK39" s="5">
        <v>79.22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78.3</v>
      </c>
      <c r="BQ39" s="6" t="str">
        <f t="shared" si="37"/>
        <v>B+</v>
      </c>
      <c r="BR39" s="1">
        <f t="shared" si="38"/>
        <v>3.5</v>
      </c>
      <c r="BS39" s="5">
        <v>2</v>
      </c>
      <c r="BT39" s="2">
        <f t="shared" si="39"/>
        <v>7</v>
      </c>
      <c r="BU39" s="5">
        <v>83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77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75.55</v>
      </c>
      <c r="CK39" s="6" t="str">
        <f t="shared" si="49"/>
        <v>B+</v>
      </c>
      <c r="CL39" s="1">
        <f t="shared" si="50"/>
        <v>3.5</v>
      </c>
      <c r="CM39" s="2">
        <v>2</v>
      </c>
      <c r="CN39" s="2">
        <f t="shared" si="51"/>
        <v>7</v>
      </c>
      <c r="CO39" s="5">
        <v>77.7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83.3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74</v>
      </c>
      <c r="DE39" s="6" t="str">
        <f t="shared" si="61"/>
        <v>B</v>
      </c>
      <c r="DF39" s="1">
        <f t="shared" si="62"/>
        <v>3</v>
      </c>
      <c r="DG39" s="5">
        <v>2</v>
      </c>
      <c r="DH39" s="2">
        <f t="shared" si="63"/>
        <v>6</v>
      </c>
      <c r="DI39" s="5">
        <v>81.7</v>
      </c>
      <c r="DJ39" s="6" t="str">
        <f t="shared" si="64"/>
        <v>A</v>
      </c>
      <c r="DK39" s="1">
        <f t="shared" si="65"/>
        <v>4</v>
      </c>
      <c r="DL39" s="5">
        <v>4</v>
      </c>
      <c r="DM39" s="2">
        <f t="shared" si="66"/>
        <v>16</v>
      </c>
      <c r="DN39" s="23">
        <f t="shared" si="75"/>
        <v>83</v>
      </c>
      <c r="DO39" s="24">
        <f t="shared" si="67"/>
        <v>24</v>
      </c>
      <c r="DP39" s="5">
        <f t="shared" si="68"/>
        <v>88</v>
      </c>
      <c r="DQ39" s="5">
        <f t="shared" si="69"/>
        <v>24</v>
      </c>
      <c r="DR39" s="5">
        <f t="shared" si="70"/>
        <v>171</v>
      </c>
      <c r="DS39" s="5">
        <f t="shared" si="71"/>
        <v>48</v>
      </c>
      <c r="DT39" s="5">
        <v>3.6666666666666665</v>
      </c>
      <c r="DU39" s="5">
        <f t="shared" si="72"/>
        <v>3.5625</v>
      </c>
      <c r="DV39" s="10" t="str">
        <f t="shared" si="73"/>
        <v>Cum Laude</v>
      </c>
      <c r="DW39" s="17" t="str">
        <f t="shared" si="74"/>
        <v>Excellent</v>
      </c>
      <c r="DX39" s="25" t="s">
        <v>164</v>
      </c>
    </row>
    <row r="40" spans="1:128" x14ac:dyDescent="0.2">
      <c r="A40" s="29">
        <v>38</v>
      </c>
      <c r="B40" s="10" t="s">
        <v>55</v>
      </c>
      <c r="C40" s="10">
        <v>182412042</v>
      </c>
      <c r="D40" s="16" t="s">
        <v>89</v>
      </c>
      <c r="E40" s="8" t="s">
        <v>133</v>
      </c>
      <c r="F40" s="7" t="s">
        <v>141</v>
      </c>
      <c r="G40" s="28" t="s">
        <v>219</v>
      </c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75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74.400000000000006</v>
      </c>
      <c r="S40" s="6" t="str">
        <f t="shared" si="7"/>
        <v>B</v>
      </c>
      <c r="T40" s="1">
        <f t="shared" si="8"/>
        <v>3</v>
      </c>
      <c r="U40" s="5">
        <v>2</v>
      </c>
      <c r="V40" s="2">
        <f t="shared" si="9"/>
        <v>6</v>
      </c>
      <c r="W40" s="5">
        <v>76</v>
      </c>
      <c r="X40" s="6" t="str">
        <f t="shared" si="10"/>
        <v>B+</v>
      </c>
      <c r="Y40" s="1">
        <f t="shared" si="11"/>
        <v>3.5</v>
      </c>
      <c r="Z40" s="5">
        <v>3</v>
      </c>
      <c r="AA40" s="2">
        <f t="shared" si="12"/>
        <v>10.5</v>
      </c>
      <c r="AB40" s="5">
        <v>75.45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81</v>
      </c>
      <c r="AM40" s="6" t="str">
        <f t="shared" si="19"/>
        <v>A</v>
      </c>
      <c r="AN40" s="1">
        <f t="shared" si="20"/>
        <v>4</v>
      </c>
      <c r="AO40" s="2">
        <v>2</v>
      </c>
      <c r="AP40" s="2">
        <f t="shared" si="21"/>
        <v>8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78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77.2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80</v>
      </c>
      <c r="BQ40" s="6" t="str">
        <f t="shared" si="37"/>
        <v>A</v>
      </c>
      <c r="BR40" s="1">
        <f t="shared" si="38"/>
        <v>4</v>
      </c>
      <c r="BS40" s="5">
        <v>2</v>
      </c>
      <c r="BT40" s="2">
        <f t="shared" si="39"/>
        <v>8</v>
      </c>
      <c r="BU40" s="5">
        <v>85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71.75</v>
      </c>
      <c r="CK40" s="6" t="str">
        <f t="shared" si="49"/>
        <v>B</v>
      </c>
      <c r="CL40" s="1">
        <f t="shared" si="50"/>
        <v>3</v>
      </c>
      <c r="CM40" s="2">
        <v>2</v>
      </c>
      <c r="CN40" s="2">
        <f t="shared" si="51"/>
        <v>6</v>
      </c>
      <c r="CO40" s="5">
        <v>78.3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82.6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75.5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80.7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3">
        <f t="shared" si="75"/>
        <v>85</v>
      </c>
      <c r="DO40" s="24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175</v>
      </c>
      <c r="DS40" s="5">
        <f t="shared" si="71"/>
        <v>48</v>
      </c>
      <c r="DT40" s="5">
        <v>3.75</v>
      </c>
      <c r="DU40" s="5">
        <f t="shared" si="72"/>
        <v>3.6458333333333335</v>
      </c>
      <c r="DV40" s="10" t="str">
        <f t="shared" si="73"/>
        <v>Cum Laude</v>
      </c>
      <c r="DW40" s="17" t="str">
        <f t="shared" si="74"/>
        <v>Excellent</v>
      </c>
      <c r="DX40" s="25" t="s">
        <v>165</v>
      </c>
    </row>
    <row r="41" spans="1:128" x14ac:dyDescent="0.2">
      <c r="A41" s="29">
        <v>39</v>
      </c>
      <c r="B41" s="10" t="s">
        <v>56</v>
      </c>
      <c r="C41" s="10">
        <v>182412043</v>
      </c>
      <c r="D41" s="16" t="s">
        <v>89</v>
      </c>
      <c r="E41" s="8" t="s">
        <v>134</v>
      </c>
      <c r="F41" s="7" t="s">
        <v>141</v>
      </c>
      <c r="G41" s="28" t="s">
        <v>220</v>
      </c>
      <c r="H41" s="5">
        <v>80.25</v>
      </c>
      <c r="I41" s="6" t="str">
        <f t="shared" si="1"/>
        <v>A</v>
      </c>
      <c r="J41" s="1">
        <f t="shared" si="2"/>
        <v>4</v>
      </c>
      <c r="K41" s="5">
        <v>2</v>
      </c>
      <c r="L41" s="2">
        <f t="shared" si="3"/>
        <v>8</v>
      </c>
      <c r="M41" s="5">
        <v>78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81.599999999999994</v>
      </c>
      <c r="S41" s="6" t="str">
        <f t="shared" si="7"/>
        <v>A</v>
      </c>
      <c r="T41" s="1">
        <f t="shared" si="8"/>
        <v>4</v>
      </c>
      <c r="U41" s="5">
        <v>2</v>
      </c>
      <c r="V41" s="2">
        <f t="shared" si="9"/>
        <v>8</v>
      </c>
      <c r="W41" s="5">
        <v>80</v>
      </c>
      <c r="X41" s="6" t="str">
        <f t="shared" si="10"/>
        <v>A</v>
      </c>
      <c r="Y41" s="1">
        <f t="shared" si="11"/>
        <v>4</v>
      </c>
      <c r="Z41" s="5">
        <v>3</v>
      </c>
      <c r="AA41" s="2">
        <f t="shared" si="12"/>
        <v>12</v>
      </c>
      <c r="AB41" s="5">
        <v>84.8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78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79.5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80</v>
      </c>
      <c r="BB41" s="6" t="str">
        <f t="shared" si="28"/>
        <v>A</v>
      </c>
      <c r="BC41" s="1">
        <f t="shared" si="29"/>
        <v>4</v>
      </c>
      <c r="BD41" s="5">
        <v>2</v>
      </c>
      <c r="BE41" s="2">
        <f t="shared" si="30"/>
        <v>8</v>
      </c>
      <c r="BF41" s="5">
        <v>78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78.53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82.1</v>
      </c>
      <c r="BQ41" s="6" t="str">
        <f t="shared" si="37"/>
        <v>A</v>
      </c>
      <c r="BR41" s="1">
        <f t="shared" si="38"/>
        <v>4</v>
      </c>
      <c r="BS41" s="5">
        <v>2</v>
      </c>
      <c r="BT41" s="2">
        <f t="shared" si="39"/>
        <v>8</v>
      </c>
      <c r="BU41" s="5">
        <v>86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80.7</v>
      </c>
      <c r="CA41" s="6" t="str">
        <f t="shared" si="43"/>
        <v>A</v>
      </c>
      <c r="CB41" s="1">
        <f t="shared" si="44"/>
        <v>4</v>
      </c>
      <c r="CC41" s="5">
        <v>2</v>
      </c>
      <c r="CD41" s="2">
        <f t="shared" si="45"/>
        <v>8</v>
      </c>
      <c r="CE41" s="5">
        <v>87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73.930000000000007</v>
      </c>
      <c r="CK41" s="6" t="str">
        <f t="shared" si="49"/>
        <v>B</v>
      </c>
      <c r="CL41" s="1">
        <f t="shared" si="50"/>
        <v>3</v>
      </c>
      <c r="CM41" s="2">
        <v>2</v>
      </c>
      <c r="CN41" s="2">
        <f t="shared" si="51"/>
        <v>6</v>
      </c>
      <c r="CO41" s="5">
        <v>77.8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80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82</v>
      </c>
      <c r="CZ41" s="6" t="str">
        <f t="shared" si="58"/>
        <v>A</v>
      </c>
      <c r="DA41" s="1">
        <f t="shared" si="59"/>
        <v>4</v>
      </c>
      <c r="DB41" s="5">
        <v>2</v>
      </c>
      <c r="DC41" s="3">
        <f t="shared" si="60"/>
        <v>8</v>
      </c>
      <c r="DD41" s="5">
        <v>73.5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80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3">
        <f t="shared" si="75"/>
        <v>88.5</v>
      </c>
      <c r="DO41" s="24">
        <f t="shared" si="67"/>
        <v>24</v>
      </c>
      <c r="DP41" s="5">
        <f t="shared" si="68"/>
        <v>90</v>
      </c>
      <c r="DQ41" s="5">
        <f t="shared" si="69"/>
        <v>24</v>
      </c>
      <c r="DR41" s="5">
        <f t="shared" si="70"/>
        <v>178.5</v>
      </c>
      <c r="DS41" s="5">
        <f t="shared" si="71"/>
        <v>48</v>
      </c>
      <c r="DT41" s="5">
        <v>3.75</v>
      </c>
      <c r="DU41" s="5">
        <f t="shared" si="72"/>
        <v>3.71875</v>
      </c>
      <c r="DV41" s="10" t="str">
        <f t="shared" si="73"/>
        <v>Cum Laude</v>
      </c>
      <c r="DW41" s="17" t="str">
        <f t="shared" si="74"/>
        <v>Excellent</v>
      </c>
      <c r="DX41" s="25" t="s">
        <v>255</v>
      </c>
    </row>
    <row r="42" spans="1:128" x14ac:dyDescent="0.2">
      <c r="A42" s="29">
        <v>40</v>
      </c>
      <c r="B42" s="10" t="s">
        <v>57</v>
      </c>
      <c r="C42" s="10">
        <v>182412044</v>
      </c>
      <c r="D42" s="16" t="s">
        <v>89</v>
      </c>
      <c r="E42" s="8" t="s">
        <v>181</v>
      </c>
      <c r="F42" s="7" t="s">
        <v>234</v>
      </c>
      <c r="G42" s="28" t="s">
        <v>221</v>
      </c>
      <c r="H42" s="5">
        <v>71</v>
      </c>
      <c r="I42" s="6" t="str">
        <f t="shared" si="1"/>
        <v>B</v>
      </c>
      <c r="J42" s="1">
        <f t="shared" si="2"/>
        <v>3</v>
      </c>
      <c r="K42" s="5">
        <v>2</v>
      </c>
      <c r="L42" s="2">
        <f t="shared" si="3"/>
        <v>6</v>
      </c>
      <c r="M42" s="5">
        <v>76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76.45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77</v>
      </c>
      <c r="AM42" s="6" t="str">
        <f t="shared" si="19"/>
        <v>B+</v>
      </c>
      <c r="AN42" s="1">
        <f t="shared" si="20"/>
        <v>3.5</v>
      </c>
      <c r="AO42" s="2">
        <v>2</v>
      </c>
      <c r="AP42" s="2">
        <f t="shared" si="21"/>
        <v>7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77</v>
      </c>
      <c r="BG42" s="6" t="str">
        <f t="shared" si="31"/>
        <v>B+</v>
      </c>
      <c r="BH42" s="1">
        <f t="shared" si="32"/>
        <v>3.5</v>
      </c>
      <c r="BI42" s="5">
        <v>2</v>
      </c>
      <c r="BJ42" s="2">
        <f t="shared" si="33"/>
        <v>7</v>
      </c>
      <c r="BK42" s="5">
        <v>74.400000000000006</v>
      </c>
      <c r="BL42" s="6" t="str">
        <f t="shared" si="34"/>
        <v>B</v>
      </c>
      <c r="BM42" s="1">
        <f t="shared" si="35"/>
        <v>3</v>
      </c>
      <c r="BN42" s="5">
        <v>2</v>
      </c>
      <c r="BO42" s="2">
        <f t="shared" si="36"/>
        <v>6</v>
      </c>
      <c r="BP42" s="5">
        <v>78.8</v>
      </c>
      <c r="BQ42" s="6" t="str">
        <f t="shared" si="37"/>
        <v>B+</v>
      </c>
      <c r="BR42" s="1">
        <f t="shared" si="38"/>
        <v>3.5</v>
      </c>
      <c r="BS42" s="5">
        <v>2</v>
      </c>
      <c r="BT42" s="2">
        <f t="shared" si="39"/>
        <v>7</v>
      </c>
      <c r="BU42" s="5">
        <v>84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76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86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72.930000000000007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75.400000000000006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83.3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76</v>
      </c>
      <c r="CZ42" s="6" t="str">
        <f t="shared" si="58"/>
        <v>B+</v>
      </c>
      <c r="DA42" s="1">
        <f t="shared" si="59"/>
        <v>3.5</v>
      </c>
      <c r="DB42" s="5">
        <v>2</v>
      </c>
      <c r="DC42" s="3">
        <f t="shared" si="60"/>
        <v>7</v>
      </c>
      <c r="DD42" s="5">
        <v>75.099999999999994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78</v>
      </c>
      <c r="DJ42" s="6" t="str">
        <f t="shared" si="64"/>
        <v>B+</v>
      </c>
      <c r="DK42" s="1">
        <f t="shared" si="65"/>
        <v>3.5</v>
      </c>
      <c r="DL42" s="5">
        <v>4</v>
      </c>
      <c r="DM42" s="2">
        <f t="shared" si="66"/>
        <v>14</v>
      </c>
      <c r="DN42" s="23">
        <f t="shared" si="75"/>
        <v>81</v>
      </c>
      <c r="DO42" s="24">
        <f t="shared" si="67"/>
        <v>24</v>
      </c>
      <c r="DP42" s="5">
        <f t="shared" si="68"/>
        <v>85</v>
      </c>
      <c r="DQ42" s="5">
        <f t="shared" si="69"/>
        <v>24</v>
      </c>
      <c r="DR42" s="5">
        <f t="shared" si="70"/>
        <v>166</v>
      </c>
      <c r="DS42" s="5">
        <f t="shared" si="71"/>
        <v>48</v>
      </c>
      <c r="DT42" s="5">
        <f>DP42/DQ42</f>
        <v>3.5416666666666665</v>
      </c>
      <c r="DU42" s="5">
        <f t="shared" si="72"/>
        <v>3.4583333333333335</v>
      </c>
      <c r="DV42" s="10" t="str">
        <f t="shared" si="73"/>
        <v>Sangat Memuaskan</v>
      </c>
      <c r="DW42" s="17" t="str">
        <f t="shared" si="74"/>
        <v>Highly Satisfactory</v>
      </c>
      <c r="DX42" s="25" t="s">
        <v>256</v>
      </c>
    </row>
    <row r="43" spans="1:128" x14ac:dyDescent="0.2">
      <c r="A43" s="29">
        <v>41</v>
      </c>
      <c r="B43" s="10" t="s">
        <v>58</v>
      </c>
      <c r="C43" s="10">
        <v>182412045</v>
      </c>
      <c r="D43" s="16" t="s">
        <v>89</v>
      </c>
      <c r="E43" s="8" t="s">
        <v>135</v>
      </c>
      <c r="F43" s="7" t="s">
        <v>141</v>
      </c>
      <c r="G43" s="28" t="s">
        <v>240</v>
      </c>
      <c r="H43" s="5">
        <v>78.75</v>
      </c>
      <c r="I43" s="6" t="str">
        <f t="shared" si="1"/>
        <v>B+</v>
      </c>
      <c r="J43" s="1">
        <f t="shared" si="2"/>
        <v>3.5</v>
      </c>
      <c r="K43" s="5">
        <v>2</v>
      </c>
      <c r="L43" s="2">
        <f t="shared" si="3"/>
        <v>7</v>
      </c>
      <c r="M43" s="5">
        <v>79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83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82.55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76.25</v>
      </c>
      <c r="BB43" s="6" t="str">
        <f t="shared" si="28"/>
        <v>B+</v>
      </c>
      <c r="BC43" s="1">
        <f t="shared" si="29"/>
        <v>3.5</v>
      </c>
      <c r="BD43" s="5">
        <v>2</v>
      </c>
      <c r="BE43" s="2">
        <f t="shared" si="30"/>
        <v>7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79.069999999999993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80.8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80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78.900000000000006</v>
      </c>
      <c r="CA43" s="6" t="str">
        <f t="shared" si="43"/>
        <v>B+</v>
      </c>
      <c r="CB43" s="1">
        <f t="shared" si="44"/>
        <v>3.5</v>
      </c>
      <c r="CC43" s="5">
        <v>2</v>
      </c>
      <c r="CD43" s="2">
        <f t="shared" si="45"/>
        <v>7</v>
      </c>
      <c r="CE43" s="5">
        <v>85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74.53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74.2</v>
      </c>
      <c r="CP43" s="6" t="str">
        <f t="shared" si="52"/>
        <v>B</v>
      </c>
      <c r="CQ43" s="1">
        <f t="shared" si="53"/>
        <v>3</v>
      </c>
      <c r="CR43" s="2">
        <v>2</v>
      </c>
      <c r="CS43" s="2">
        <f t="shared" si="54"/>
        <v>6</v>
      </c>
      <c r="CT43" s="5">
        <v>82.8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80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75.099999999999994</v>
      </c>
      <c r="DE43" s="6" t="str">
        <f t="shared" si="61"/>
        <v>B+</v>
      </c>
      <c r="DF43" s="1">
        <f t="shared" si="62"/>
        <v>3.5</v>
      </c>
      <c r="DG43" s="5">
        <v>2</v>
      </c>
      <c r="DH43" s="2">
        <f t="shared" si="63"/>
        <v>7</v>
      </c>
      <c r="DI43" s="5">
        <v>79</v>
      </c>
      <c r="DJ43" s="6" t="str">
        <f t="shared" si="64"/>
        <v>B+</v>
      </c>
      <c r="DK43" s="1">
        <f t="shared" si="65"/>
        <v>3.5</v>
      </c>
      <c r="DL43" s="5">
        <v>4</v>
      </c>
      <c r="DM43" s="2">
        <f t="shared" si="66"/>
        <v>14</v>
      </c>
      <c r="DN43" s="23">
        <f t="shared" si="75"/>
        <v>86.5</v>
      </c>
      <c r="DO43" s="24">
        <f t="shared" si="67"/>
        <v>24</v>
      </c>
      <c r="DP43" s="5">
        <f t="shared" si="68"/>
        <v>87</v>
      </c>
      <c r="DQ43" s="5">
        <f t="shared" si="69"/>
        <v>24</v>
      </c>
      <c r="DR43" s="5">
        <f t="shared" si="70"/>
        <v>173.5</v>
      </c>
      <c r="DS43" s="5">
        <f t="shared" si="71"/>
        <v>48</v>
      </c>
      <c r="DT43" s="5">
        <v>3.625</v>
      </c>
      <c r="DU43" s="5">
        <f t="shared" si="72"/>
        <v>3.6145833333333335</v>
      </c>
      <c r="DV43" s="10" t="str">
        <f t="shared" si="73"/>
        <v>Cum Laude</v>
      </c>
      <c r="DW43" s="17" t="str">
        <f t="shared" si="74"/>
        <v>Excellent</v>
      </c>
      <c r="DX43" s="25" t="s">
        <v>257</v>
      </c>
    </row>
    <row r="44" spans="1:128" x14ac:dyDescent="0.2">
      <c r="A44" s="29">
        <v>42</v>
      </c>
      <c r="B44" s="19" t="s">
        <v>59</v>
      </c>
      <c r="C44" s="10">
        <v>182412047</v>
      </c>
      <c r="D44" s="10" t="s">
        <v>106</v>
      </c>
      <c r="E44" s="8" t="s">
        <v>172</v>
      </c>
      <c r="F44" s="7" t="s">
        <v>230</v>
      </c>
      <c r="G44" s="28" t="s">
        <v>222</v>
      </c>
      <c r="H44" s="5">
        <v>78.75</v>
      </c>
      <c r="I44" s="6" t="str">
        <f t="shared" si="1"/>
        <v>B+</v>
      </c>
      <c r="J44" s="1">
        <f t="shared" si="2"/>
        <v>3.5</v>
      </c>
      <c r="K44" s="5">
        <v>2</v>
      </c>
      <c r="L44" s="2">
        <f t="shared" si="3"/>
        <v>7</v>
      </c>
      <c r="M44" s="5">
        <v>77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73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80</v>
      </c>
      <c r="X44" s="6" t="str">
        <f t="shared" si="10"/>
        <v>A</v>
      </c>
      <c r="Y44" s="1">
        <f t="shared" si="11"/>
        <v>4</v>
      </c>
      <c r="Z44" s="5">
        <v>3</v>
      </c>
      <c r="AA44" s="2">
        <f t="shared" si="12"/>
        <v>12</v>
      </c>
      <c r="AB44" s="5">
        <v>81.05</v>
      </c>
      <c r="AC44" s="6" t="str">
        <f t="shared" si="13"/>
        <v>A</v>
      </c>
      <c r="AD44" s="1">
        <f t="shared" si="14"/>
        <v>4</v>
      </c>
      <c r="AE44" s="2">
        <v>2</v>
      </c>
      <c r="AF44" s="2">
        <f t="shared" si="15"/>
        <v>8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76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80.75</v>
      </c>
      <c r="AW44" s="6" t="str">
        <f t="shared" si="25"/>
        <v>A</v>
      </c>
      <c r="AX44" s="1">
        <f t="shared" si="26"/>
        <v>4</v>
      </c>
      <c r="AY44" s="5">
        <v>3</v>
      </c>
      <c r="AZ44" s="3">
        <f t="shared" si="27"/>
        <v>12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76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79.47</v>
      </c>
      <c r="BL44" s="6" t="str">
        <f t="shared" si="34"/>
        <v>B+</v>
      </c>
      <c r="BM44" s="1">
        <f t="shared" si="35"/>
        <v>3.5</v>
      </c>
      <c r="BN44" s="5">
        <v>2</v>
      </c>
      <c r="BO44" s="2">
        <f t="shared" si="36"/>
        <v>7</v>
      </c>
      <c r="BP44" s="5">
        <v>82.8</v>
      </c>
      <c r="BQ44" s="6" t="str">
        <f t="shared" si="37"/>
        <v>A</v>
      </c>
      <c r="BR44" s="1">
        <f t="shared" si="38"/>
        <v>4</v>
      </c>
      <c r="BS44" s="5">
        <v>2</v>
      </c>
      <c r="BT44" s="2">
        <f t="shared" si="39"/>
        <v>8</v>
      </c>
      <c r="BU44" s="5">
        <v>81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78.400000000000006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71.13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80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80</v>
      </c>
      <c r="CZ44" s="6" t="str">
        <f t="shared" si="58"/>
        <v>A</v>
      </c>
      <c r="DA44" s="1">
        <f t="shared" si="59"/>
        <v>4</v>
      </c>
      <c r="DB44" s="5">
        <v>2</v>
      </c>
      <c r="DC44" s="3">
        <f t="shared" si="60"/>
        <v>8</v>
      </c>
      <c r="DD44" s="5">
        <v>72.5</v>
      </c>
      <c r="DE44" s="6" t="str">
        <f t="shared" si="61"/>
        <v>B</v>
      </c>
      <c r="DF44" s="1">
        <f t="shared" si="62"/>
        <v>3</v>
      </c>
      <c r="DG44" s="5">
        <v>2</v>
      </c>
      <c r="DH44" s="2">
        <f t="shared" si="63"/>
        <v>6</v>
      </c>
      <c r="DI44" s="5">
        <v>79</v>
      </c>
      <c r="DJ44" s="6" t="str">
        <f t="shared" si="64"/>
        <v>B+</v>
      </c>
      <c r="DK44" s="1">
        <f t="shared" si="65"/>
        <v>3.5</v>
      </c>
      <c r="DL44" s="5">
        <v>4</v>
      </c>
      <c r="DM44" s="2">
        <f t="shared" si="66"/>
        <v>14</v>
      </c>
      <c r="DN44" s="23">
        <f t="shared" si="75"/>
        <v>86</v>
      </c>
      <c r="DO44" s="24">
        <f t="shared" si="67"/>
        <v>24</v>
      </c>
      <c r="DP44" s="5">
        <f t="shared" si="68"/>
        <v>87</v>
      </c>
      <c r="DQ44" s="5">
        <f t="shared" si="69"/>
        <v>24</v>
      </c>
      <c r="DR44" s="5">
        <f t="shared" si="70"/>
        <v>173</v>
      </c>
      <c r="DS44" s="5">
        <f t="shared" si="71"/>
        <v>48</v>
      </c>
      <c r="DT44" s="5">
        <v>3.0416666666666701</v>
      </c>
      <c r="DU44" s="5">
        <f t="shared" si="72"/>
        <v>3.6041666666666665</v>
      </c>
      <c r="DV44" s="10" t="str">
        <f t="shared" si="73"/>
        <v>Cum Laude</v>
      </c>
      <c r="DW44" s="17" t="str">
        <f>IF(DU44&gt;=3.51,"Excellent",(IF(DU44&gt;=2.75,"Highly Satisfactory",(IF(DU44&gt;=2,"Satisfactory","FAILED")))))</f>
        <v>Excellent</v>
      </c>
      <c r="DX44" s="25" t="s">
        <v>268</v>
      </c>
    </row>
    <row r="45" spans="1:128" x14ac:dyDescent="0.2">
      <c r="A45" s="29">
        <v>43</v>
      </c>
      <c r="B45" s="10" t="s">
        <v>60</v>
      </c>
      <c r="C45" s="10">
        <v>182412048</v>
      </c>
      <c r="D45" s="10" t="s">
        <v>233</v>
      </c>
      <c r="E45" s="8" t="s">
        <v>180</v>
      </c>
      <c r="F45" s="7" t="s">
        <v>141</v>
      </c>
      <c r="G45" s="28" t="s">
        <v>223</v>
      </c>
      <c r="H45" s="5">
        <v>75.75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76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74</v>
      </c>
      <c r="S45" s="6" t="str">
        <f t="shared" si="7"/>
        <v>B</v>
      </c>
      <c r="T45" s="1">
        <f t="shared" si="8"/>
        <v>3</v>
      </c>
      <c r="U45" s="5">
        <v>2</v>
      </c>
      <c r="V45" s="2">
        <f t="shared" si="9"/>
        <v>6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89.05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79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76</v>
      </c>
      <c r="AR45" s="6" t="str">
        <f t="shared" si="22"/>
        <v>B+</v>
      </c>
      <c r="AS45" s="1">
        <f t="shared" si="23"/>
        <v>3.5</v>
      </c>
      <c r="AT45" s="2">
        <v>2</v>
      </c>
      <c r="AU45" s="2">
        <f t="shared" si="24"/>
        <v>7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79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30">
        <v>78.13</v>
      </c>
      <c r="BL45" s="31" t="str">
        <f t="shared" si="34"/>
        <v>B+</v>
      </c>
      <c r="BM45" s="1">
        <f t="shared" si="35"/>
        <v>3.5</v>
      </c>
      <c r="BN45" s="30">
        <v>2</v>
      </c>
      <c r="BO45" s="2">
        <f t="shared" si="36"/>
        <v>7</v>
      </c>
      <c r="BP45" s="30">
        <v>79.3</v>
      </c>
      <c r="BQ45" s="31" t="str">
        <f t="shared" si="37"/>
        <v>B+</v>
      </c>
      <c r="BR45" s="1">
        <f t="shared" si="38"/>
        <v>3.5</v>
      </c>
      <c r="BS45" s="30">
        <v>2</v>
      </c>
      <c r="BT45" s="2">
        <f t="shared" si="39"/>
        <v>7</v>
      </c>
      <c r="BU45" s="30">
        <v>80</v>
      </c>
      <c r="BV45" s="31" t="str">
        <f t="shared" si="40"/>
        <v>A</v>
      </c>
      <c r="BW45" s="1">
        <f t="shared" si="41"/>
        <v>4</v>
      </c>
      <c r="BX45" s="30">
        <v>2</v>
      </c>
      <c r="BY45" s="2">
        <f t="shared" si="42"/>
        <v>8</v>
      </c>
      <c r="BZ45" s="30">
        <v>77.7</v>
      </c>
      <c r="CA45" s="31" t="str">
        <f t="shared" si="43"/>
        <v>B+</v>
      </c>
      <c r="CB45" s="1">
        <f t="shared" si="44"/>
        <v>3.5</v>
      </c>
      <c r="CC45" s="30">
        <v>2</v>
      </c>
      <c r="CD45" s="2">
        <f t="shared" si="45"/>
        <v>7</v>
      </c>
      <c r="CE45" s="30">
        <v>85</v>
      </c>
      <c r="CF45" s="31" t="str">
        <f t="shared" si="46"/>
        <v>A</v>
      </c>
      <c r="CG45" s="1">
        <f t="shared" si="47"/>
        <v>4</v>
      </c>
      <c r="CH45" s="30">
        <v>2</v>
      </c>
      <c r="CI45" s="2">
        <f t="shared" si="48"/>
        <v>8</v>
      </c>
      <c r="CJ45" s="30">
        <v>71.33</v>
      </c>
      <c r="CK45" s="31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30">
        <v>76.599999999999994</v>
      </c>
      <c r="CP45" s="31" t="str">
        <f t="shared" si="52"/>
        <v>B+</v>
      </c>
      <c r="CQ45" s="1">
        <f t="shared" si="53"/>
        <v>3.5</v>
      </c>
      <c r="CR45" s="2">
        <v>2</v>
      </c>
      <c r="CS45" s="2">
        <f t="shared" si="54"/>
        <v>7</v>
      </c>
      <c r="CT45" s="30">
        <v>81.8</v>
      </c>
      <c r="CU45" s="31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30">
        <v>77</v>
      </c>
      <c r="CZ45" s="31" t="str">
        <f t="shared" si="58"/>
        <v>B+</v>
      </c>
      <c r="DA45" s="1">
        <f t="shared" si="59"/>
        <v>3.5</v>
      </c>
      <c r="DB45" s="30">
        <v>2</v>
      </c>
      <c r="DC45" s="3">
        <f t="shared" si="60"/>
        <v>7</v>
      </c>
      <c r="DD45" s="30">
        <v>74.5</v>
      </c>
      <c r="DE45" s="31" t="str">
        <f t="shared" si="61"/>
        <v>B</v>
      </c>
      <c r="DF45" s="1">
        <f t="shared" si="62"/>
        <v>3</v>
      </c>
      <c r="DG45" s="30">
        <v>2</v>
      </c>
      <c r="DH45" s="2">
        <f t="shared" si="63"/>
        <v>6</v>
      </c>
      <c r="DI45" s="30">
        <v>78</v>
      </c>
      <c r="DJ45" s="31" t="str">
        <f t="shared" si="64"/>
        <v>B+</v>
      </c>
      <c r="DK45" s="1">
        <f t="shared" si="65"/>
        <v>3.5</v>
      </c>
      <c r="DL45" s="30">
        <v>4</v>
      </c>
      <c r="DM45" s="2">
        <f t="shared" si="66"/>
        <v>14</v>
      </c>
      <c r="DN45" s="23">
        <f t="shared" si="75"/>
        <v>85.5</v>
      </c>
      <c r="DO45" s="24">
        <f t="shared" si="67"/>
        <v>24</v>
      </c>
      <c r="DP45" s="5">
        <f t="shared" si="68"/>
        <v>85</v>
      </c>
      <c r="DQ45" s="5">
        <f t="shared" si="69"/>
        <v>24</v>
      </c>
      <c r="DR45" s="5">
        <f t="shared" si="70"/>
        <v>170.5</v>
      </c>
      <c r="DS45" s="5">
        <f t="shared" si="71"/>
        <v>48</v>
      </c>
      <c r="DT45" s="5">
        <f>DP45/DQ45</f>
        <v>3.5416666666666665</v>
      </c>
      <c r="DU45" s="5">
        <f t="shared" si="72"/>
        <v>3.5520833333333335</v>
      </c>
      <c r="DV45" s="10" t="str">
        <f>IF(DU45&gt;=3.51,"Cum Laude",(IF(DU45&gt;=2.75,"Sangat Memuaskan",(IF(DU45&gt;=2,"Memuaskan","GAGAL")))))</f>
        <v>Cum Laude</v>
      </c>
      <c r="DW45" s="32" t="str">
        <f t="shared" si="74"/>
        <v>Excellent</v>
      </c>
      <c r="DX45" s="25" t="s">
        <v>237</v>
      </c>
    </row>
    <row r="46" spans="1:128" x14ac:dyDescent="0.2">
      <c r="A46" s="29">
        <v>44</v>
      </c>
      <c r="B46" s="10" t="s">
        <v>61</v>
      </c>
      <c r="C46" s="10">
        <v>182412049</v>
      </c>
      <c r="D46" s="16" t="s">
        <v>136</v>
      </c>
      <c r="E46" s="8" t="s">
        <v>137</v>
      </c>
      <c r="F46" s="7" t="s">
        <v>141</v>
      </c>
      <c r="G46" s="28" t="s">
        <v>224</v>
      </c>
      <c r="H46" s="5">
        <v>83.5</v>
      </c>
      <c r="I46" s="6" t="str">
        <f t="shared" si="1"/>
        <v>A</v>
      </c>
      <c r="J46" s="1">
        <f t="shared" si="2"/>
        <v>4</v>
      </c>
      <c r="K46" s="5">
        <v>2</v>
      </c>
      <c r="L46" s="2">
        <f t="shared" si="3"/>
        <v>8</v>
      </c>
      <c r="M46" s="5">
        <v>75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84.6</v>
      </c>
      <c r="S46" s="6" t="str">
        <f t="shared" si="7"/>
        <v>A</v>
      </c>
      <c r="T46" s="1">
        <f t="shared" si="8"/>
        <v>4</v>
      </c>
      <c r="U46" s="5">
        <v>2</v>
      </c>
      <c r="V46" s="2">
        <f t="shared" si="9"/>
        <v>8</v>
      </c>
      <c r="W46" s="5">
        <v>78</v>
      </c>
      <c r="X46" s="6" t="str">
        <f t="shared" si="10"/>
        <v>B+</v>
      </c>
      <c r="Y46" s="1">
        <f t="shared" si="11"/>
        <v>3.5</v>
      </c>
      <c r="Z46" s="5">
        <v>3</v>
      </c>
      <c r="AA46" s="2">
        <f t="shared" si="12"/>
        <v>10.5</v>
      </c>
      <c r="AB46" s="5">
        <v>80.25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77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75</v>
      </c>
      <c r="AR46" s="6" t="str">
        <f t="shared" si="22"/>
        <v>B+</v>
      </c>
      <c r="AS46" s="1">
        <f t="shared" si="23"/>
        <v>3.5</v>
      </c>
      <c r="AT46" s="2">
        <v>2</v>
      </c>
      <c r="AU46" s="2">
        <f t="shared" si="24"/>
        <v>7</v>
      </c>
      <c r="AV46" s="5">
        <v>79.5</v>
      </c>
      <c r="AW46" s="6" t="str">
        <f t="shared" si="25"/>
        <v>B+</v>
      </c>
      <c r="AX46" s="1">
        <f t="shared" si="26"/>
        <v>3.5</v>
      </c>
      <c r="AY46" s="5">
        <v>3</v>
      </c>
      <c r="AZ46" s="3">
        <f t="shared" si="27"/>
        <v>10.5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80</v>
      </c>
      <c r="BG46" s="6" t="str">
        <f t="shared" si="31"/>
        <v>A</v>
      </c>
      <c r="BH46" s="1">
        <f t="shared" si="32"/>
        <v>4</v>
      </c>
      <c r="BI46" s="5">
        <v>2</v>
      </c>
      <c r="BJ46" s="2">
        <f t="shared" si="33"/>
        <v>8</v>
      </c>
      <c r="BK46" s="5">
        <v>78.650000000000006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82.1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82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81.3</v>
      </c>
      <c r="CA46" s="6" t="str">
        <f t="shared" si="43"/>
        <v>A</v>
      </c>
      <c r="CB46" s="1">
        <f t="shared" si="44"/>
        <v>4</v>
      </c>
      <c r="CC46" s="5">
        <v>2</v>
      </c>
      <c r="CD46" s="2">
        <f t="shared" si="45"/>
        <v>8</v>
      </c>
      <c r="CE46" s="5">
        <v>87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74.2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81.7</v>
      </c>
      <c r="CP46" s="6" t="str">
        <f t="shared" si="52"/>
        <v>A</v>
      </c>
      <c r="CQ46" s="1">
        <f t="shared" si="53"/>
        <v>4</v>
      </c>
      <c r="CR46" s="2">
        <v>2</v>
      </c>
      <c r="CS46" s="2">
        <f t="shared" si="54"/>
        <v>8</v>
      </c>
      <c r="CT46" s="5">
        <v>83.3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87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74.5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>
        <v>80</v>
      </c>
      <c r="DJ46" s="6" t="str">
        <f t="shared" si="64"/>
        <v>A</v>
      </c>
      <c r="DK46" s="1">
        <f t="shared" si="65"/>
        <v>4</v>
      </c>
      <c r="DL46" s="5">
        <v>4</v>
      </c>
      <c r="DM46" s="2">
        <f t="shared" si="66"/>
        <v>16</v>
      </c>
      <c r="DN46" s="23">
        <f t="shared" si="75"/>
        <v>88</v>
      </c>
      <c r="DO46" s="24">
        <f t="shared" si="67"/>
        <v>24</v>
      </c>
      <c r="DP46" s="5">
        <f t="shared" si="68"/>
        <v>91</v>
      </c>
      <c r="DQ46" s="5">
        <f t="shared" si="69"/>
        <v>24</v>
      </c>
      <c r="DR46" s="5">
        <f t="shared" si="70"/>
        <v>179</v>
      </c>
      <c r="DS46" s="5">
        <f t="shared" si="71"/>
        <v>48</v>
      </c>
      <c r="DT46" s="5">
        <v>3.7916666666666665</v>
      </c>
      <c r="DU46" s="5">
        <f t="shared" si="72"/>
        <v>3.7291666666666665</v>
      </c>
      <c r="DV46" s="10" t="str">
        <f t="shared" si="73"/>
        <v>Cum Laude</v>
      </c>
      <c r="DW46" s="17" t="str">
        <f t="shared" si="74"/>
        <v>Excellent</v>
      </c>
      <c r="DX46" s="25" t="s">
        <v>267</v>
      </c>
    </row>
    <row r="47" spans="1:128" x14ac:dyDescent="0.2">
      <c r="A47" s="29">
        <v>45</v>
      </c>
      <c r="B47" s="10" t="s">
        <v>62</v>
      </c>
      <c r="C47" s="10">
        <v>182412051</v>
      </c>
      <c r="D47" s="16" t="s">
        <v>99</v>
      </c>
      <c r="E47" s="8" t="s">
        <v>138</v>
      </c>
      <c r="F47" s="7" t="s">
        <v>141</v>
      </c>
      <c r="G47" s="28" t="s">
        <v>225</v>
      </c>
      <c r="H47" s="5">
        <v>80.25</v>
      </c>
      <c r="I47" s="6" t="str">
        <f t="shared" si="1"/>
        <v>A</v>
      </c>
      <c r="J47" s="1">
        <f t="shared" si="2"/>
        <v>4</v>
      </c>
      <c r="K47" s="5">
        <v>2</v>
      </c>
      <c r="L47" s="2">
        <f t="shared" si="3"/>
        <v>8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83</v>
      </c>
      <c r="S47" s="6" t="str">
        <f t="shared" si="7"/>
        <v>A</v>
      </c>
      <c r="T47" s="1">
        <f t="shared" si="8"/>
        <v>4</v>
      </c>
      <c r="U47" s="5">
        <v>2</v>
      </c>
      <c r="V47" s="2">
        <f t="shared" si="9"/>
        <v>8</v>
      </c>
      <c r="W47" s="5">
        <v>79</v>
      </c>
      <c r="X47" s="6" t="str">
        <f t="shared" si="10"/>
        <v>B+</v>
      </c>
      <c r="Y47" s="1">
        <f t="shared" si="11"/>
        <v>3.5</v>
      </c>
      <c r="Z47" s="5">
        <v>3</v>
      </c>
      <c r="AA47" s="2">
        <f t="shared" si="12"/>
        <v>10.5</v>
      </c>
      <c r="AB47" s="5">
        <v>80.3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80</v>
      </c>
      <c r="AM47" s="6" t="str">
        <f t="shared" si="19"/>
        <v>A</v>
      </c>
      <c r="AN47" s="1">
        <f t="shared" si="20"/>
        <v>4</v>
      </c>
      <c r="AO47" s="2">
        <v>2</v>
      </c>
      <c r="AP47" s="2">
        <f t="shared" si="21"/>
        <v>8</v>
      </c>
      <c r="AQ47" s="5">
        <v>75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78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80</v>
      </c>
      <c r="BG47" s="6" t="str">
        <f t="shared" si="31"/>
        <v>A</v>
      </c>
      <c r="BH47" s="1">
        <f t="shared" si="32"/>
        <v>4</v>
      </c>
      <c r="BI47" s="5">
        <v>2</v>
      </c>
      <c r="BJ47" s="2">
        <f t="shared" si="33"/>
        <v>8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80</v>
      </c>
      <c r="BQ47" s="6" t="str">
        <f t="shared" si="37"/>
        <v>A</v>
      </c>
      <c r="BR47" s="1">
        <f t="shared" si="38"/>
        <v>4</v>
      </c>
      <c r="BS47" s="5">
        <v>2</v>
      </c>
      <c r="BT47" s="2">
        <f t="shared" si="39"/>
        <v>8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78.8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86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71.349999999999994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78.2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82.1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82</v>
      </c>
      <c r="CZ47" s="6" t="str">
        <f t="shared" si="58"/>
        <v>A</v>
      </c>
      <c r="DA47" s="1">
        <f t="shared" si="59"/>
        <v>4</v>
      </c>
      <c r="DB47" s="5">
        <v>2</v>
      </c>
      <c r="DC47" s="3">
        <f t="shared" si="60"/>
        <v>8</v>
      </c>
      <c r="DD47" s="5">
        <v>75.3</v>
      </c>
      <c r="DE47" s="6" t="str">
        <f t="shared" si="61"/>
        <v>B+</v>
      </c>
      <c r="DF47" s="1">
        <f t="shared" si="62"/>
        <v>3.5</v>
      </c>
      <c r="DG47" s="5">
        <v>2</v>
      </c>
      <c r="DH47" s="2">
        <f t="shared" si="63"/>
        <v>7</v>
      </c>
      <c r="DI47" s="5">
        <v>79.7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3">
        <f t="shared" si="75"/>
        <v>89</v>
      </c>
      <c r="DO47" s="24">
        <f t="shared" si="67"/>
        <v>24</v>
      </c>
      <c r="DP47" s="5">
        <f t="shared" si="68"/>
        <v>88</v>
      </c>
      <c r="DQ47" s="5">
        <f t="shared" si="69"/>
        <v>24</v>
      </c>
      <c r="DR47" s="5">
        <f t="shared" si="70"/>
        <v>177</v>
      </c>
      <c r="DS47" s="5">
        <f t="shared" si="71"/>
        <v>48</v>
      </c>
      <c r="DT47" s="5">
        <v>3.6666666666666665</v>
      </c>
      <c r="DU47" s="5">
        <f t="shared" si="72"/>
        <v>3.6875</v>
      </c>
      <c r="DV47" s="10" t="str">
        <f t="shared" si="73"/>
        <v>Cum Laude</v>
      </c>
      <c r="DW47" s="17" t="str">
        <f t="shared" si="74"/>
        <v>Excellent</v>
      </c>
      <c r="DX47" s="25" t="s">
        <v>166</v>
      </c>
    </row>
    <row r="48" spans="1:128" x14ac:dyDescent="0.2">
      <c r="A48" s="29">
        <v>46</v>
      </c>
      <c r="B48" s="19" t="s">
        <v>63</v>
      </c>
      <c r="C48" s="10">
        <v>182412053</v>
      </c>
      <c r="D48" s="16" t="s">
        <v>106</v>
      </c>
      <c r="E48" s="8" t="s">
        <v>139</v>
      </c>
      <c r="F48" s="7" t="s">
        <v>141</v>
      </c>
      <c r="G48" s="28" t="s">
        <v>226</v>
      </c>
      <c r="H48" s="5">
        <v>74</v>
      </c>
      <c r="I48" s="11" t="str">
        <f t="shared" si="1"/>
        <v>B</v>
      </c>
      <c r="J48" s="12">
        <f t="shared" si="2"/>
        <v>3</v>
      </c>
      <c r="K48" s="5">
        <v>2</v>
      </c>
      <c r="L48" s="13">
        <f t="shared" si="3"/>
        <v>6</v>
      </c>
      <c r="M48" s="5">
        <v>77</v>
      </c>
      <c r="N48" s="11" t="str">
        <f t="shared" si="4"/>
        <v>B+</v>
      </c>
      <c r="O48" s="12">
        <f t="shared" si="5"/>
        <v>3.5</v>
      </c>
      <c r="P48" s="5">
        <v>2</v>
      </c>
      <c r="Q48" s="13">
        <f t="shared" si="6"/>
        <v>7</v>
      </c>
      <c r="R48" s="5">
        <v>74</v>
      </c>
      <c r="S48" s="11" t="str">
        <f t="shared" si="7"/>
        <v>B</v>
      </c>
      <c r="T48" s="12">
        <f t="shared" si="8"/>
        <v>3</v>
      </c>
      <c r="U48" s="5">
        <v>2</v>
      </c>
      <c r="V48" s="13">
        <f t="shared" si="9"/>
        <v>6</v>
      </c>
      <c r="W48" s="5">
        <v>78</v>
      </c>
      <c r="X48" s="11" t="str">
        <f t="shared" si="10"/>
        <v>B+</v>
      </c>
      <c r="Y48" s="12">
        <f t="shared" si="11"/>
        <v>3.5</v>
      </c>
      <c r="Z48" s="5">
        <v>3</v>
      </c>
      <c r="AA48" s="13">
        <f t="shared" si="12"/>
        <v>10.5</v>
      </c>
      <c r="AB48" s="5">
        <v>82.55</v>
      </c>
      <c r="AC48" s="11" t="str">
        <f t="shared" si="13"/>
        <v>A</v>
      </c>
      <c r="AD48" s="12">
        <f t="shared" si="14"/>
        <v>4</v>
      </c>
      <c r="AE48" s="13">
        <v>2</v>
      </c>
      <c r="AF48" s="13">
        <f t="shared" si="15"/>
        <v>8</v>
      </c>
      <c r="AG48" s="5">
        <v>78</v>
      </c>
      <c r="AH48" s="11" t="str">
        <f t="shared" si="16"/>
        <v>B+</v>
      </c>
      <c r="AI48" s="12">
        <f t="shared" si="17"/>
        <v>3.5</v>
      </c>
      <c r="AJ48" s="13">
        <v>2</v>
      </c>
      <c r="AK48" s="13">
        <f t="shared" si="18"/>
        <v>7</v>
      </c>
      <c r="AL48" s="5">
        <v>78</v>
      </c>
      <c r="AM48" s="11" t="str">
        <f t="shared" si="19"/>
        <v>B+</v>
      </c>
      <c r="AN48" s="12">
        <f t="shared" si="20"/>
        <v>3.5</v>
      </c>
      <c r="AO48" s="13">
        <v>2</v>
      </c>
      <c r="AP48" s="13">
        <f t="shared" si="21"/>
        <v>7</v>
      </c>
      <c r="AQ48" s="5">
        <v>74</v>
      </c>
      <c r="AR48" s="11" t="str">
        <f t="shared" si="22"/>
        <v>B</v>
      </c>
      <c r="AS48" s="12">
        <f t="shared" si="23"/>
        <v>3</v>
      </c>
      <c r="AT48" s="13">
        <v>2</v>
      </c>
      <c r="AU48" s="13">
        <f t="shared" si="24"/>
        <v>6</v>
      </c>
      <c r="AV48" s="5">
        <v>74</v>
      </c>
      <c r="AW48" s="11" t="str">
        <f t="shared" si="25"/>
        <v>B</v>
      </c>
      <c r="AX48" s="12">
        <f t="shared" si="26"/>
        <v>3</v>
      </c>
      <c r="AY48" s="5">
        <v>3</v>
      </c>
      <c r="AZ48" s="14">
        <f t="shared" si="27"/>
        <v>9</v>
      </c>
      <c r="BA48" s="5">
        <v>70</v>
      </c>
      <c r="BB48" s="11" t="str">
        <f t="shared" si="28"/>
        <v>B</v>
      </c>
      <c r="BC48" s="12">
        <f t="shared" si="29"/>
        <v>3</v>
      </c>
      <c r="BD48" s="5">
        <v>2</v>
      </c>
      <c r="BE48" s="13">
        <f t="shared" si="30"/>
        <v>6</v>
      </c>
      <c r="BF48" s="5">
        <v>78</v>
      </c>
      <c r="BG48" s="11" t="str">
        <f t="shared" si="31"/>
        <v>B+</v>
      </c>
      <c r="BH48" s="12">
        <f t="shared" si="32"/>
        <v>3.5</v>
      </c>
      <c r="BI48" s="5">
        <v>2</v>
      </c>
      <c r="BJ48" s="13">
        <f t="shared" si="33"/>
        <v>7</v>
      </c>
      <c r="BK48" s="5">
        <v>79.069999999999993</v>
      </c>
      <c r="BL48" s="11" t="str">
        <f t="shared" si="34"/>
        <v>B+</v>
      </c>
      <c r="BM48" s="12">
        <f t="shared" si="35"/>
        <v>3.5</v>
      </c>
      <c r="BN48" s="5">
        <v>2</v>
      </c>
      <c r="BO48" s="13">
        <f t="shared" si="36"/>
        <v>7</v>
      </c>
      <c r="BP48" s="5">
        <v>79</v>
      </c>
      <c r="BQ48" s="11" t="str">
        <f t="shared" si="37"/>
        <v>B+</v>
      </c>
      <c r="BR48" s="12">
        <f t="shared" si="38"/>
        <v>3.5</v>
      </c>
      <c r="BS48" s="5">
        <v>2</v>
      </c>
      <c r="BT48" s="13">
        <f t="shared" si="39"/>
        <v>7</v>
      </c>
      <c r="BU48" s="5">
        <v>83</v>
      </c>
      <c r="BV48" s="11" t="str">
        <f t="shared" si="40"/>
        <v>A</v>
      </c>
      <c r="BW48" s="12">
        <f t="shared" si="41"/>
        <v>4</v>
      </c>
      <c r="BX48" s="5">
        <v>2</v>
      </c>
      <c r="BY48" s="13">
        <f t="shared" si="42"/>
        <v>8</v>
      </c>
      <c r="BZ48" s="5">
        <v>77.2</v>
      </c>
      <c r="CA48" s="11" t="str">
        <f t="shared" si="43"/>
        <v>B+</v>
      </c>
      <c r="CB48" s="12">
        <f t="shared" si="44"/>
        <v>3.5</v>
      </c>
      <c r="CC48" s="5">
        <v>2</v>
      </c>
      <c r="CD48" s="13">
        <f t="shared" si="45"/>
        <v>7</v>
      </c>
      <c r="CE48" s="5">
        <v>85</v>
      </c>
      <c r="CF48" s="11" t="str">
        <f t="shared" si="46"/>
        <v>A</v>
      </c>
      <c r="CG48" s="12">
        <f t="shared" si="47"/>
        <v>4</v>
      </c>
      <c r="CH48" s="5">
        <v>2</v>
      </c>
      <c r="CI48" s="13">
        <f t="shared" si="48"/>
        <v>8</v>
      </c>
      <c r="CJ48" s="5">
        <v>76.73</v>
      </c>
      <c r="CK48" s="11" t="str">
        <f t="shared" si="49"/>
        <v>B+</v>
      </c>
      <c r="CL48" s="12">
        <f t="shared" si="50"/>
        <v>3.5</v>
      </c>
      <c r="CM48" s="13">
        <v>2</v>
      </c>
      <c r="CN48" s="13">
        <f t="shared" si="51"/>
        <v>7</v>
      </c>
      <c r="CO48" s="5">
        <v>73.400000000000006</v>
      </c>
      <c r="CP48" s="11" t="str">
        <f t="shared" si="52"/>
        <v>B</v>
      </c>
      <c r="CQ48" s="12">
        <f t="shared" si="53"/>
        <v>3</v>
      </c>
      <c r="CR48" s="13">
        <v>2</v>
      </c>
      <c r="CS48" s="13">
        <f t="shared" si="54"/>
        <v>6</v>
      </c>
      <c r="CT48" s="5">
        <v>70</v>
      </c>
      <c r="CU48" s="11" t="str">
        <f t="shared" si="55"/>
        <v>B</v>
      </c>
      <c r="CV48" s="12">
        <f t="shared" si="56"/>
        <v>3</v>
      </c>
      <c r="CW48" s="13">
        <v>2</v>
      </c>
      <c r="CX48" s="13">
        <f t="shared" si="57"/>
        <v>6</v>
      </c>
      <c r="CY48" s="5">
        <v>72</v>
      </c>
      <c r="CZ48" s="11" t="str">
        <f t="shared" si="58"/>
        <v>B</v>
      </c>
      <c r="DA48" s="12">
        <f t="shared" si="59"/>
        <v>3</v>
      </c>
      <c r="DB48" s="5">
        <v>2</v>
      </c>
      <c r="DC48" s="14">
        <f t="shared" si="60"/>
        <v>6</v>
      </c>
      <c r="DD48" s="5">
        <v>72.75</v>
      </c>
      <c r="DE48" s="11" t="str">
        <f t="shared" si="61"/>
        <v>B</v>
      </c>
      <c r="DF48" s="12">
        <f t="shared" si="62"/>
        <v>3</v>
      </c>
      <c r="DG48" s="5">
        <v>2</v>
      </c>
      <c r="DH48" s="13">
        <f t="shared" si="63"/>
        <v>6</v>
      </c>
      <c r="DI48" s="5">
        <v>79</v>
      </c>
      <c r="DJ48" s="11" t="str">
        <f t="shared" si="64"/>
        <v>B+</v>
      </c>
      <c r="DK48" s="12">
        <f t="shared" si="65"/>
        <v>3.5</v>
      </c>
      <c r="DL48" s="5">
        <v>4</v>
      </c>
      <c r="DM48" s="13">
        <f t="shared" si="66"/>
        <v>14</v>
      </c>
      <c r="DN48" s="23">
        <f t="shared" si="75"/>
        <v>79.5</v>
      </c>
      <c r="DO48" s="24">
        <f t="shared" si="67"/>
        <v>24</v>
      </c>
      <c r="DP48" s="5">
        <f t="shared" si="68"/>
        <v>82</v>
      </c>
      <c r="DQ48" s="5">
        <f t="shared" si="69"/>
        <v>24</v>
      </c>
      <c r="DR48" s="5">
        <f t="shared" si="70"/>
        <v>161.5</v>
      </c>
      <c r="DS48" s="5">
        <f t="shared" si="71"/>
        <v>48</v>
      </c>
      <c r="DT48" s="5">
        <v>3.4166666666666665</v>
      </c>
      <c r="DU48" s="5">
        <f t="shared" si="72"/>
        <v>3.3645833333333335</v>
      </c>
      <c r="DV48" s="10" t="str">
        <f t="shared" si="73"/>
        <v>Sangat Memuaskan</v>
      </c>
      <c r="DW48" s="17" t="str">
        <f t="shared" si="74"/>
        <v>Highly Satisfactory</v>
      </c>
      <c r="DX48" s="25"/>
    </row>
    <row r="49" spans="1:128" x14ac:dyDescent="0.2">
      <c r="A49" s="29">
        <v>47</v>
      </c>
      <c r="B49" s="10" t="s">
        <v>64</v>
      </c>
      <c r="C49" s="10">
        <v>182412054</v>
      </c>
      <c r="D49" s="10" t="s">
        <v>118</v>
      </c>
      <c r="E49" s="8" t="s">
        <v>178</v>
      </c>
      <c r="F49" s="7" t="s">
        <v>230</v>
      </c>
      <c r="G49" s="28" t="s">
        <v>227</v>
      </c>
      <c r="H49" s="5">
        <v>71</v>
      </c>
      <c r="I49" s="11" t="str">
        <f t="shared" si="1"/>
        <v>B</v>
      </c>
      <c r="J49" s="12">
        <f t="shared" si="2"/>
        <v>3</v>
      </c>
      <c r="K49" s="5">
        <v>2</v>
      </c>
      <c r="L49" s="13">
        <f t="shared" si="3"/>
        <v>6</v>
      </c>
      <c r="M49" s="5">
        <v>76</v>
      </c>
      <c r="N49" s="11" t="str">
        <f t="shared" si="4"/>
        <v>B+</v>
      </c>
      <c r="O49" s="12">
        <f t="shared" si="5"/>
        <v>3.5</v>
      </c>
      <c r="P49" s="5">
        <v>2</v>
      </c>
      <c r="Q49" s="13">
        <f t="shared" si="6"/>
        <v>7</v>
      </c>
      <c r="R49" s="5">
        <v>80.2</v>
      </c>
      <c r="S49" s="11" t="str">
        <f t="shared" si="7"/>
        <v>A</v>
      </c>
      <c r="T49" s="12">
        <f t="shared" si="8"/>
        <v>4</v>
      </c>
      <c r="U49" s="5">
        <v>2</v>
      </c>
      <c r="V49" s="13">
        <f t="shared" si="9"/>
        <v>8</v>
      </c>
      <c r="W49" s="5">
        <v>80</v>
      </c>
      <c r="X49" s="11" t="str">
        <f t="shared" si="10"/>
        <v>A</v>
      </c>
      <c r="Y49" s="12">
        <f t="shared" si="11"/>
        <v>4</v>
      </c>
      <c r="Z49" s="5">
        <v>3</v>
      </c>
      <c r="AA49" s="13">
        <f t="shared" si="12"/>
        <v>12</v>
      </c>
      <c r="AB49" s="5">
        <v>81.7</v>
      </c>
      <c r="AC49" s="11" t="str">
        <f t="shared" si="13"/>
        <v>A</v>
      </c>
      <c r="AD49" s="12">
        <f t="shared" si="14"/>
        <v>4</v>
      </c>
      <c r="AE49" s="13">
        <v>2</v>
      </c>
      <c r="AF49" s="13">
        <f t="shared" si="15"/>
        <v>8</v>
      </c>
      <c r="AG49" s="5">
        <v>78</v>
      </c>
      <c r="AH49" s="11" t="str">
        <f t="shared" si="16"/>
        <v>B+</v>
      </c>
      <c r="AI49" s="12">
        <f t="shared" si="17"/>
        <v>3.5</v>
      </c>
      <c r="AJ49" s="13">
        <v>2</v>
      </c>
      <c r="AK49" s="13">
        <f t="shared" si="18"/>
        <v>7</v>
      </c>
      <c r="AL49" s="5">
        <v>79</v>
      </c>
      <c r="AM49" s="11" t="str">
        <f t="shared" si="19"/>
        <v>B+</v>
      </c>
      <c r="AN49" s="12">
        <f t="shared" si="20"/>
        <v>3.5</v>
      </c>
      <c r="AO49" s="13">
        <v>2</v>
      </c>
      <c r="AP49" s="13">
        <f t="shared" si="21"/>
        <v>7</v>
      </c>
      <c r="AQ49" s="5">
        <v>74</v>
      </c>
      <c r="AR49" s="11" t="str">
        <f t="shared" si="22"/>
        <v>B</v>
      </c>
      <c r="AS49" s="12">
        <f t="shared" si="23"/>
        <v>3</v>
      </c>
      <c r="AT49" s="13">
        <v>2</v>
      </c>
      <c r="AU49" s="13">
        <f t="shared" si="24"/>
        <v>6</v>
      </c>
      <c r="AV49" s="5">
        <v>75.25</v>
      </c>
      <c r="AW49" s="11" t="str">
        <f t="shared" si="25"/>
        <v>B+</v>
      </c>
      <c r="AX49" s="12">
        <f t="shared" si="26"/>
        <v>3.5</v>
      </c>
      <c r="AY49" s="5">
        <v>3</v>
      </c>
      <c r="AZ49" s="14">
        <f t="shared" si="27"/>
        <v>10.5</v>
      </c>
      <c r="BA49" s="5">
        <v>70</v>
      </c>
      <c r="BB49" s="11" t="str">
        <f t="shared" si="28"/>
        <v>B</v>
      </c>
      <c r="BC49" s="12">
        <f t="shared" si="29"/>
        <v>3</v>
      </c>
      <c r="BD49" s="5">
        <v>2</v>
      </c>
      <c r="BE49" s="13">
        <f t="shared" si="30"/>
        <v>6</v>
      </c>
      <c r="BF49" s="5">
        <v>79</v>
      </c>
      <c r="BG49" s="11" t="str">
        <f t="shared" si="31"/>
        <v>B+</v>
      </c>
      <c r="BH49" s="12">
        <f t="shared" si="32"/>
        <v>3.5</v>
      </c>
      <c r="BI49" s="5">
        <v>2</v>
      </c>
      <c r="BJ49" s="13">
        <f t="shared" si="33"/>
        <v>7</v>
      </c>
      <c r="BK49" s="5">
        <v>79.069999999999993</v>
      </c>
      <c r="BL49" s="11" t="str">
        <f t="shared" si="34"/>
        <v>B+</v>
      </c>
      <c r="BM49" s="12">
        <f t="shared" si="35"/>
        <v>3.5</v>
      </c>
      <c r="BN49" s="5">
        <v>2</v>
      </c>
      <c r="BO49" s="13">
        <f t="shared" si="36"/>
        <v>7</v>
      </c>
      <c r="BP49" s="5">
        <v>79</v>
      </c>
      <c r="BQ49" s="11" t="str">
        <f t="shared" si="37"/>
        <v>B+</v>
      </c>
      <c r="BR49" s="12">
        <f t="shared" si="38"/>
        <v>3.5</v>
      </c>
      <c r="BS49" s="5">
        <v>2</v>
      </c>
      <c r="BT49" s="13">
        <f t="shared" si="39"/>
        <v>7</v>
      </c>
      <c r="BU49" s="5">
        <v>85</v>
      </c>
      <c r="BV49" s="11" t="str">
        <f t="shared" si="40"/>
        <v>A</v>
      </c>
      <c r="BW49" s="12">
        <f t="shared" si="41"/>
        <v>4</v>
      </c>
      <c r="BX49" s="5">
        <v>2</v>
      </c>
      <c r="BY49" s="13">
        <f t="shared" si="42"/>
        <v>8</v>
      </c>
      <c r="BZ49" s="5">
        <v>80.3</v>
      </c>
      <c r="CA49" s="11" t="str">
        <f t="shared" si="43"/>
        <v>A</v>
      </c>
      <c r="CB49" s="12">
        <f t="shared" si="44"/>
        <v>4</v>
      </c>
      <c r="CC49" s="5">
        <v>2</v>
      </c>
      <c r="CD49" s="13">
        <f t="shared" si="45"/>
        <v>8</v>
      </c>
      <c r="CE49" s="5">
        <v>86</v>
      </c>
      <c r="CF49" s="11" t="str">
        <f t="shared" si="46"/>
        <v>A</v>
      </c>
      <c r="CG49" s="12">
        <f t="shared" si="47"/>
        <v>4</v>
      </c>
      <c r="CH49" s="5">
        <v>2</v>
      </c>
      <c r="CI49" s="13">
        <f t="shared" si="48"/>
        <v>8</v>
      </c>
      <c r="CJ49" s="5">
        <v>70.75</v>
      </c>
      <c r="CK49" s="11" t="str">
        <f t="shared" si="49"/>
        <v>B</v>
      </c>
      <c r="CL49" s="12">
        <f t="shared" si="50"/>
        <v>3</v>
      </c>
      <c r="CM49" s="13">
        <v>2</v>
      </c>
      <c r="CN49" s="13">
        <f t="shared" si="51"/>
        <v>6</v>
      </c>
      <c r="CO49" s="5">
        <v>77.2</v>
      </c>
      <c r="CP49" s="11" t="str">
        <f t="shared" si="52"/>
        <v>B+</v>
      </c>
      <c r="CQ49" s="12">
        <f t="shared" si="53"/>
        <v>3.5</v>
      </c>
      <c r="CR49" s="13">
        <v>2</v>
      </c>
      <c r="CS49" s="13">
        <f t="shared" si="54"/>
        <v>7</v>
      </c>
      <c r="CT49" s="5">
        <v>81</v>
      </c>
      <c r="CU49" s="11" t="str">
        <f t="shared" si="55"/>
        <v>A</v>
      </c>
      <c r="CV49" s="12">
        <f t="shared" si="56"/>
        <v>4</v>
      </c>
      <c r="CW49" s="13">
        <v>2</v>
      </c>
      <c r="CX49" s="13">
        <f t="shared" si="57"/>
        <v>8</v>
      </c>
      <c r="CY49" s="5">
        <v>78</v>
      </c>
      <c r="CZ49" s="11" t="str">
        <f t="shared" si="58"/>
        <v>B+</v>
      </c>
      <c r="DA49" s="12">
        <f t="shared" si="59"/>
        <v>3.5</v>
      </c>
      <c r="DB49" s="5">
        <v>2</v>
      </c>
      <c r="DC49" s="14">
        <f t="shared" si="60"/>
        <v>7</v>
      </c>
      <c r="DD49" s="5">
        <v>75.099999999999994</v>
      </c>
      <c r="DE49" s="11" t="str">
        <f t="shared" si="61"/>
        <v>B+</v>
      </c>
      <c r="DF49" s="12">
        <f t="shared" si="62"/>
        <v>3.5</v>
      </c>
      <c r="DG49" s="5">
        <v>2</v>
      </c>
      <c r="DH49" s="13">
        <f t="shared" si="63"/>
        <v>7</v>
      </c>
      <c r="DI49" s="5">
        <v>78</v>
      </c>
      <c r="DJ49" s="11" t="str">
        <f t="shared" si="64"/>
        <v>B+</v>
      </c>
      <c r="DK49" s="12">
        <f t="shared" si="65"/>
        <v>3.5</v>
      </c>
      <c r="DL49" s="5">
        <v>4</v>
      </c>
      <c r="DM49" s="13">
        <f t="shared" si="66"/>
        <v>14</v>
      </c>
      <c r="DN49" s="23">
        <f t="shared" si="75"/>
        <v>84.5</v>
      </c>
      <c r="DO49" s="24">
        <f t="shared" si="67"/>
        <v>24</v>
      </c>
      <c r="DP49" s="5">
        <f t="shared" si="68"/>
        <v>87</v>
      </c>
      <c r="DQ49" s="5">
        <f t="shared" si="69"/>
        <v>24</v>
      </c>
      <c r="DR49" s="5">
        <f t="shared" si="70"/>
        <v>171.5</v>
      </c>
      <c r="DS49" s="5">
        <f t="shared" si="71"/>
        <v>48</v>
      </c>
      <c r="DT49" s="5">
        <v>3.0416666666666665</v>
      </c>
      <c r="DU49" s="5">
        <f t="shared" si="72"/>
        <v>3.5729166666666665</v>
      </c>
      <c r="DV49" s="10" t="str">
        <f t="shared" si="73"/>
        <v>Cum Laude</v>
      </c>
      <c r="DW49" s="17" t="str">
        <f t="shared" si="74"/>
        <v>Excellent</v>
      </c>
      <c r="DX49" s="25" t="s">
        <v>258</v>
      </c>
    </row>
    <row r="50" spans="1:128" x14ac:dyDescent="0.25">
      <c r="A50" s="29">
        <v>48</v>
      </c>
      <c r="B50" s="10" t="s">
        <v>65</v>
      </c>
      <c r="C50" s="10">
        <v>182412055</v>
      </c>
      <c r="D50" s="16" t="s">
        <v>176</v>
      </c>
      <c r="E50" s="8" t="s">
        <v>140</v>
      </c>
      <c r="F50" s="7" t="s">
        <v>141</v>
      </c>
      <c r="G50" s="28" t="s">
        <v>228</v>
      </c>
      <c r="H50" s="5">
        <v>78.75</v>
      </c>
      <c r="I50" s="11" t="str">
        <f t="shared" si="1"/>
        <v>B+</v>
      </c>
      <c r="J50" s="12">
        <f t="shared" si="2"/>
        <v>3.5</v>
      </c>
      <c r="K50" s="5">
        <v>2</v>
      </c>
      <c r="L50" s="13">
        <f t="shared" si="3"/>
        <v>7</v>
      </c>
      <c r="M50" s="5">
        <v>75</v>
      </c>
      <c r="N50" s="11" t="str">
        <f t="shared" si="4"/>
        <v>B+</v>
      </c>
      <c r="O50" s="12">
        <f t="shared" si="5"/>
        <v>3.5</v>
      </c>
      <c r="P50" s="5">
        <v>2</v>
      </c>
      <c r="Q50" s="13">
        <f t="shared" si="6"/>
        <v>7</v>
      </c>
      <c r="R50" s="5">
        <v>80.2</v>
      </c>
      <c r="S50" s="11" t="str">
        <f t="shared" si="7"/>
        <v>A</v>
      </c>
      <c r="T50" s="12">
        <f t="shared" si="8"/>
        <v>4</v>
      </c>
      <c r="U50" s="5">
        <v>2</v>
      </c>
      <c r="V50" s="13">
        <f t="shared" si="9"/>
        <v>8</v>
      </c>
      <c r="W50" s="5">
        <v>78</v>
      </c>
      <c r="X50" s="11" t="str">
        <f t="shared" si="10"/>
        <v>B+</v>
      </c>
      <c r="Y50" s="12">
        <f t="shared" si="11"/>
        <v>3.5</v>
      </c>
      <c r="Z50" s="5">
        <v>3</v>
      </c>
      <c r="AA50" s="13">
        <f t="shared" si="12"/>
        <v>10.5</v>
      </c>
      <c r="AB50" s="5">
        <v>83.55</v>
      </c>
      <c r="AC50" s="11" t="str">
        <f t="shared" si="13"/>
        <v>A</v>
      </c>
      <c r="AD50" s="12">
        <f t="shared" si="14"/>
        <v>4</v>
      </c>
      <c r="AE50" s="13">
        <v>2</v>
      </c>
      <c r="AF50" s="13">
        <f t="shared" si="15"/>
        <v>8</v>
      </c>
      <c r="AG50" s="5">
        <v>78</v>
      </c>
      <c r="AH50" s="11" t="str">
        <f t="shared" si="16"/>
        <v>B+</v>
      </c>
      <c r="AI50" s="12">
        <f t="shared" si="17"/>
        <v>3.5</v>
      </c>
      <c r="AJ50" s="13">
        <v>2</v>
      </c>
      <c r="AK50" s="13">
        <f t="shared" si="18"/>
        <v>7</v>
      </c>
      <c r="AL50" s="5">
        <v>79</v>
      </c>
      <c r="AM50" s="11" t="str">
        <f t="shared" si="19"/>
        <v>B+</v>
      </c>
      <c r="AN50" s="12">
        <f t="shared" si="20"/>
        <v>3.5</v>
      </c>
      <c r="AO50" s="13">
        <v>2</v>
      </c>
      <c r="AP50" s="13">
        <f t="shared" si="21"/>
        <v>7</v>
      </c>
      <c r="AQ50" s="5">
        <v>74</v>
      </c>
      <c r="AR50" s="11" t="str">
        <f t="shared" si="22"/>
        <v>B</v>
      </c>
      <c r="AS50" s="12">
        <f t="shared" si="23"/>
        <v>3</v>
      </c>
      <c r="AT50" s="13">
        <v>2</v>
      </c>
      <c r="AU50" s="13">
        <f t="shared" si="24"/>
        <v>6</v>
      </c>
      <c r="AV50" s="5">
        <v>79.5</v>
      </c>
      <c r="AW50" s="11" t="str">
        <f t="shared" si="25"/>
        <v>B+</v>
      </c>
      <c r="AX50" s="12">
        <f t="shared" si="26"/>
        <v>3.5</v>
      </c>
      <c r="AY50" s="5">
        <v>3</v>
      </c>
      <c r="AZ50" s="14">
        <f t="shared" si="27"/>
        <v>10.5</v>
      </c>
      <c r="BA50" s="5">
        <v>70</v>
      </c>
      <c r="BB50" s="11" t="str">
        <f t="shared" si="28"/>
        <v>B</v>
      </c>
      <c r="BC50" s="12">
        <f t="shared" si="29"/>
        <v>3</v>
      </c>
      <c r="BD50" s="5">
        <v>2</v>
      </c>
      <c r="BE50" s="13">
        <f t="shared" si="30"/>
        <v>6</v>
      </c>
      <c r="BF50" s="5">
        <v>79</v>
      </c>
      <c r="BG50" s="11" t="str">
        <f t="shared" si="31"/>
        <v>B+</v>
      </c>
      <c r="BH50" s="12">
        <f t="shared" si="32"/>
        <v>3.5</v>
      </c>
      <c r="BI50" s="5">
        <v>2</v>
      </c>
      <c r="BJ50" s="13">
        <f t="shared" si="33"/>
        <v>7</v>
      </c>
      <c r="BK50" s="5">
        <v>79.73</v>
      </c>
      <c r="BL50" s="11" t="str">
        <f t="shared" si="34"/>
        <v>B+</v>
      </c>
      <c r="BM50" s="12">
        <f t="shared" si="35"/>
        <v>3.5</v>
      </c>
      <c r="BN50" s="5">
        <v>2</v>
      </c>
      <c r="BO50" s="13">
        <f t="shared" si="36"/>
        <v>7</v>
      </c>
      <c r="BP50" s="5">
        <v>80</v>
      </c>
      <c r="BQ50" s="11" t="str">
        <f t="shared" si="37"/>
        <v>A</v>
      </c>
      <c r="BR50" s="12">
        <f t="shared" si="38"/>
        <v>4</v>
      </c>
      <c r="BS50" s="5">
        <v>2</v>
      </c>
      <c r="BT50" s="13">
        <f t="shared" si="39"/>
        <v>8</v>
      </c>
      <c r="BU50" s="5">
        <v>86</v>
      </c>
      <c r="BV50" s="11" t="str">
        <f t="shared" si="40"/>
        <v>A</v>
      </c>
      <c r="BW50" s="12">
        <f t="shared" si="41"/>
        <v>4</v>
      </c>
      <c r="BX50" s="5">
        <v>2</v>
      </c>
      <c r="BY50" s="13">
        <f t="shared" si="42"/>
        <v>8</v>
      </c>
      <c r="BZ50" s="5">
        <v>82.6</v>
      </c>
      <c r="CA50" s="11" t="str">
        <f t="shared" si="43"/>
        <v>A</v>
      </c>
      <c r="CB50" s="12">
        <f t="shared" si="44"/>
        <v>4</v>
      </c>
      <c r="CC50" s="5">
        <v>2</v>
      </c>
      <c r="CD50" s="13">
        <f t="shared" si="45"/>
        <v>8</v>
      </c>
      <c r="CE50" s="5">
        <v>85</v>
      </c>
      <c r="CF50" s="11" t="str">
        <f t="shared" si="46"/>
        <v>A</v>
      </c>
      <c r="CG50" s="12">
        <f t="shared" si="47"/>
        <v>4</v>
      </c>
      <c r="CH50" s="5">
        <v>2</v>
      </c>
      <c r="CI50" s="13">
        <f t="shared" si="48"/>
        <v>8</v>
      </c>
      <c r="CJ50" s="5">
        <v>76.75</v>
      </c>
      <c r="CK50" s="11" t="str">
        <f t="shared" si="49"/>
        <v>B+</v>
      </c>
      <c r="CL50" s="12">
        <f t="shared" si="50"/>
        <v>3.5</v>
      </c>
      <c r="CM50" s="13">
        <v>2</v>
      </c>
      <c r="CN50" s="13">
        <f t="shared" si="51"/>
        <v>7</v>
      </c>
      <c r="CO50" s="5">
        <v>77.7</v>
      </c>
      <c r="CP50" s="11" t="str">
        <f t="shared" si="52"/>
        <v>B+</v>
      </c>
      <c r="CQ50" s="12">
        <f t="shared" si="53"/>
        <v>3.5</v>
      </c>
      <c r="CR50" s="13">
        <v>2</v>
      </c>
      <c r="CS50" s="13">
        <f t="shared" si="54"/>
        <v>7</v>
      </c>
      <c r="CT50" s="5">
        <v>81.599999999999994</v>
      </c>
      <c r="CU50" s="11" t="str">
        <f t="shared" si="55"/>
        <v>A</v>
      </c>
      <c r="CV50" s="12">
        <f t="shared" si="56"/>
        <v>4</v>
      </c>
      <c r="CW50" s="13">
        <v>2</v>
      </c>
      <c r="CX50" s="13">
        <f t="shared" si="57"/>
        <v>8</v>
      </c>
      <c r="CY50" s="5">
        <v>82</v>
      </c>
      <c r="CZ50" s="11" t="str">
        <f t="shared" si="58"/>
        <v>A</v>
      </c>
      <c r="DA50" s="12">
        <f t="shared" si="59"/>
        <v>4</v>
      </c>
      <c r="DB50" s="5">
        <v>2</v>
      </c>
      <c r="DC50" s="14">
        <f t="shared" si="60"/>
        <v>8</v>
      </c>
      <c r="DD50" s="5">
        <v>73.5</v>
      </c>
      <c r="DE50" s="11" t="str">
        <f t="shared" si="61"/>
        <v>B</v>
      </c>
      <c r="DF50" s="12">
        <f t="shared" si="62"/>
        <v>3</v>
      </c>
      <c r="DG50" s="5">
        <v>2</v>
      </c>
      <c r="DH50" s="13">
        <f t="shared" si="63"/>
        <v>6</v>
      </c>
      <c r="DI50" s="5">
        <v>80</v>
      </c>
      <c r="DJ50" s="11" t="str">
        <f t="shared" si="64"/>
        <v>A</v>
      </c>
      <c r="DK50" s="12">
        <f t="shared" si="65"/>
        <v>4</v>
      </c>
      <c r="DL50" s="5">
        <v>4</v>
      </c>
      <c r="DM50" s="13">
        <f t="shared" si="66"/>
        <v>16</v>
      </c>
      <c r="DN50" s="23">
        <f t="shared" si="75"/>
        <v>84</v>
      </c>
      <c r="DO50" s="24">
        <f t="shared" si="67"/>
        <v>24</v>
      </c>
      <c r="DP50" s="5">
        <f t="shared" si="68"/>
        <v>91</v>
      </c>
      <c r="DQ50" s="5">
        <f>BN50+BS50+BX50+CC50+CH50+CM50+CR50+CW50+DB50+DG50+DL50</f>
        <v>24</v>
      </c>
      <c r="DR50" s="5">
        <f t="shared" si="70"/>
        <v>175</v>
      </c>
      <c r="DS50" s="5">
        <f t="shared" si="71"/>
        <v>48</v>
      </c>
      <c r="DT50" s="5">
        <v>3.7916666666666665</v>
      </c>
      <c r="DU50" s="5">
        <f t="shared" si="72"/>
        <v>3.6458333333333335</v>
      </c>
      <c r="DV50" s="10" t="str">
        <f t="shared" si="73"/>
        <v>Cum Laude</v>
      </c>
      <c r="DW50" s="17" t="str">
        <f t="shared" si="74"/>
        <v>Excellent</v>
      </c>
      <c r="DX50" s="40" t="s">
        <v>266</v>
      </c>
    </row>
    <row r="53" spans="1:128" x14ac:dyDescent="0.25">
      <c r="B53" s="4" t="s">
        <v>232</v>
      </c>
    </row>
  </sheetData>
  <mergeCells count="38">
    <mergeCell ref="A1:A2"/>
    <mergeCell ref="B1:B2"/>
    <mergeCell ref="C1:C2"/>
    <mergeCell ref="H1:L1"/>
    <mergeCell ref="M1:Q1"/>
    <mergeCell ref="D1:D2"/>
    <mergeCell ref="G1:G2"/>
    <mergeCell ref="E1:E2"/>
    <mergeCell ref="F1:F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CE1:CI1"/>
    <mergeCell ref="CJ1:CN1"/>
    <mergeCell ref="DU1:DU2"/>
    <mergeCell ref="DV1:DV2"/>
    <mergeCell ref="DW1:DW2"/>
    <mergeCell ref="DX1:DX2"/>
    <mergeCell ref="CT1:CX1"/>
    <mergeCell ref="CY1:DC1"/>
    <mergeCell ref="DD1:DH1"/>
    <mergeCell ref="DI1:DM1"/>
    <mergeCell ref="DT1:DT2"/>
    <mergeCell ref="DS1:DS2"/>
    <mergeCell ref="DR1:DR2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2025-12-05T01:58:04Z</dcterms:modified>
</cp:coreProperties>
</file>