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o\Documents\Stikes\Transkip Nilai 2025\S1 Keperawatan\RPL\RPL 3\"/>
    </mc:Choice>
  </mc:AlternateContent>
  <xr:revisionPtr revIDLastSave="0" documentId="13_ncr:1_{F90554B5-F863-4BF0-8A44-8E4CF5A96087}" xr6:coauthVersionLast="47" xr6:coauthVersionMax="47" xr10:uidLastSave="{00000000-0000-0000-0000-000000000000}"/>
  <bookViews>
    <workbookView xWindow="-120" yWindow="-120" windowWidth="29040" windowHeight="15720" xr2:uid="{F6728395-340D-414D-8D40-C463D1B813FA}"/>
  </bookViews>
  <sheets>
    <sheet name="Transk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U4" i="1" l="1"/>
  <c r="DU5" i="1"/>
  <c r="DU6" i="1"/>
  <c r="DU7" i="1"/>
  <c r="DU8" i="1"/>
  <c r="DV8" i="1" s="1"/>
  <c r="DU9" i="1"/>
  <c r="DV9" i="1" s="1"/>
  <c r="DU10" i="1"/>
  <c r="DU11" i="1"/>
  <c r="DV11" i="1" s="1"/>
  <c r="DU12" i="1"/>
  <c r="DW12" i="1" s="1"/>
  <c r="DU13" i="1"/>
  <c r="DV13" i="1" s="1"/>
  <c r="DU14" i="1"/>
  <c r="DW14" i="1" s="1"/>
  <c r="DU15" i="1"/>
  <c r="DW15" i="1" s="1"/>
  <c r="DU16" i="1"/>
  <c r="DU17" i="1"/>
  <c r="DV17" i="1" s="1"/>
  <c r="DU18" i="1"/>
  <c r="DU19" i="1"/>
  <c r="DU20" i="1"/>
  <c r="DV20" i="1" s="1"/>
  <c r="DU21" i="1"/>
  <c r="DW21" i="1" s="1"/>
  <c r="DU22" i="1"/>
  <c r="DU23" i="1"/>
  <c r="DU24" i="1"/>
  <c r="DU25" i="1"/>
  <c r="DU26" i="1"/>
  <c r="DV26" i="1" s="1"/>
  <c r="DU27" i="1"/>
  <c r="DV27" i="1" s="1"/>
  <c r="DU28" i="1"/>
  <c r="DU29" i="1"/>
  <c r="DV29" i="1" s="1"/>
  <c r="DU30" i="1"/>
  <c r="DW30" i="1" s="1"/>
  <c r="DU31" i="1"/>
  <c r="DV31" i="1" s="1"/>
  <c r="DU32" i="1"/>
  <c r="DW32" i="1" s="1"/>
  <c r="DU33" i="1"/>
  <c r="DV33" i="1" s="1"/>
  <c r="DU34" i="1"/>
  <c r="DU35" i="1"/>
  <c r="DV35" i="1" s="1"/>
  <c r="DU36" i="1"/>
  <c r="DU37" i="1"/>
  <c r="DU38" i="1"/>
  <c r="DV38" i="1" s="1"/>
  <c r="DU39" i="1"/>
  <c r="DW39" i="1" s="1"/>
  <c r="DU40" i="1"/>
  <c r="DU41" i="1"/>
  <c r="DU42" i="1"/>
  <c r="DU43" i="1"/>
  <c r="DU44" i="1"/>
  <c r="DV44" i="1" s="1"/>
  <c r="DU45" i="1"/>
  <c r="DU46" i="1"/>
  <c r="DU47" i="1"/>
  <c r="DV47" i="1" s="1"/>
  <c r="DU48" i="1"/>
  <c r="DW48" i="1" s="1"/>
  <c r="DU49" i="1"/>
  <c r="DV49" i="1" s="1"/>
  <c r="DU50" i="1"/>
  <c r="DW50" i="1" s="1"/>
  <c r="DU51" i="1"/>
  <c r="DW51" i="1" s="1"/>
  <c r="DU52" i="1"/>
  <c r="DU53" i="1"/>
  <c r="DV53" i="1" s="1"/>
  <c r="DU54" i="1"/>
  <c r="DU3" i="1"/>
  <c r="DS4" i="1"/>
  <c r="DS5" i="1"/>
  <c r="DS6" i="1"/>
  <c r="DS7" i="1"/>
  <c r="DS8" i="1"/>
  <c r="DS9" i="1"/>
  <c r="DS10" i="1"/>
  <c r="DS11" i="1"/>
  <c r="DS12" i="1"/>
  <c r="DS13" i="1"/>
  <c r="DS14" i="1"/>
  <c r="DS15" i="1"/>
  <c r="DS16" i="1"/>
  <c r="DS17" i="1"/>
  <c r="DS18" i="1"/>
  <c r="DS19" i="1"/>
  <c r="DS20" i="1"/>
  <c r="DS21" i="1"/>
  <c r="DS22" i="1"/>
  <c r="DS23" i="1"/>
  <c r="DS24" i="1"/>
  <c r="DS25" i="1"/>
  <c r="DS26" i="1"/>
  <c r="DS27" i="1"/>
  <c r="DS28" i="1"/>
  <c r="DS29" i="1"/>
  <c r="DS30" i="1"/>
  <c r="DS31" i="1"/>
  <c r="DS32" i="1"/>
  <c r="DS33" i="1"/>
  <c r="DS34" i="1"/>
  <c r="DS35" i="1"/>
  <c r="DS36" i="1"/>
  <c r="DS37" i="1"/>
  <c r="DS38" i="1"/>
  <c r="DS39" i="1"/>
  <c r="DS40" i="1"/>
  <c r="DS41" i="1"/>
  <c r="DS42" i="1"/>
  <c r="DS43" i="1"/>
  <c r="DS44" i="1"/>
  <c r="DS45" i="1"/>
  <c r="DS46" i="1"/>
  <c r="DS47" i="1"/>
  <c r="DS48" i="1"/>
  <c r="DS49" i="1"/>
  <c r="DS50" i="1"/>
  <c r="DS51" i="1"/>
  <c r="DS52" i="1"/>
  <c r="DS53" i="1"/>
  <c r="DS54" i="1"/>
  <c r="DS3" i="1"/>
  <c r="DR4" i="1"/>
  <c r="DR5" i="1"/>
  <c r="DR6" i="1"/>
  <c r="DR7" i="1"/>
  <c r="DR8" i="1"/>
  <c r="DR9" i="1"/>
  <c r="DR10" i="1"/>
  <c r="DR11" i="1"/>
  <c r="DR12" i="1"/>
  <c r="DR13" i="1"/>
  <c r="DR14" i="1"/>
  <c r="DR15" i="1"/>
  <c r="DR16" i="1"/>
  <c r="DR17" i="1"/>
  <c r="DR18" i="1"/>
  <c r="DR19" i="1"/>
  <c r="DR20" i="1"/>
  <c r="DR21" i="1"/>
  <c r="DR22" i="1"/>
  <c r="DR23" i="1"/>
  <c r="DR24" i="1"/>
  <c r="DR25" i="1"/>
  <c r="DR26" i="1"/>
  <c r="DR27" i="1"/>
  <c r="DR28" i="1"/>
  <c r="DR29" i="1"/>
  <c r="DR30" i="1"/>
  <c r="DR31" i="1"/>
  <c r="DR32" i="1"/>
  <c r="DR33" i="1"/>
  <c r="DR34" i="1"/>
  <c r="DR35" i="1"/>
  <c r="DR36" i="1"/>
  <c r="DR37" i="1"/>
  <c r="DR38" i="1"/>
  <c r="DR39" i="1"/>
  <c r="DR40" i="1"/>
  <c r="DR41" i="1"/>
  <c r="DR42" i="1"/>
  <c r="DR43" i="1"/>
  <c r="DR44" i="1"/>
  <c r="DR45" i="1"/>
  <c r="DR46" i="1"/>
  <c r="DR47" i="1"/>
  <c r="DR48" i="1"/>
  <c r="DR49" i="1"/>
  <c r="DR50" i="1"/>
  <c r="DR51" i="1"/>
  <c r="DR52" i="1"/>
  <c r="DR53" i="1"/>
  <c r="DR54" i="1"/>
  <c r="DR3" i="1"/>
  <c r="DQ54" i="1"/>
  <c r="DQ4" i="1"/>
  <c r="DQ5" i="1"/>
  <c r="DQ6" i="1"/>
  <c r="DQ7" i="1"/>
  <c r="DQ8" i="1"/>
  <c r="DQ9" i="1"/>
  <c r="DQ10" i="1"/>
  <c r="DQ11" i="1"/>
  <c r="DQ12" i="1"/>
  <c r="DQ13" i="1"/>
  <c r="DQ14" i="1"/>
  <c r="DQ15" i="1"/>
  <c r="DQ16" i="1"/>
  <c r="DQ17" i="1"/>
  <c r="DQ18" i="1"/>
  <c r="DQ19" i="1"/>
  <c r="DQ20" i="1"/>
  <c r="DQ21" i="1"/>
  <c r="DQ22" i="1"/>
  <c r="DQ23" i="1"/>
  <c r="DQ24" i="1"/>
  <c r="DQ25" i="1"/>
  <c r="DQ26" i="1"/>
  <c r="DQ27" i="1"/>
  <c r="DQ28" i="1"/>
  <c r="DQ29" i="1"/>
  <c r="DQ30" i="1"/>
  <c r="DQ31" i="1"/>
  <c r="DQ32" i="1"/>
  <c r="DQ33" i="1"/>
  <c r="DQ34" i="1"/>
  <c r="DQ35" i="1"/>
  <c r="DQ36" i="1"/>
  <c r="DQ37" i="1"/>
  <c r="DQ38" i="1"/>
  <c r="DQ39" i="1"/>
  <c r="DQ40" i="1"/>
  <c r="DQ41" i="1"/>
  <c r="DQ42" i="1"/>
  <c r="DQ43" i="1"/>
  <c r="DQ44" i="1"/>
  <c r="DQ45" i="1"/>
  <c r="DQ46" i="1"/>
  <c r="DQ47" i="1"/>
  <c r="DQ48" i="1"/>
  <c r="DQ49" i="1"/>
  <c r="DQ50" i="1"/>
  <c r="DQ51" i="1"/>
  <c r="DQ52" i="1"/>
  <c r="DQ53" i="1"/>
  <c r="DQ3" i="1"/>
  <c r="DP4" i="1"/>
  <c r="DP5" i="1"/>
  <c r="DP6" i="1"/>
  <c r="DP7" i="1"/>
  <c r="DP8" i="1"/>
  <c r="DP9" i="1"/>
  <c r="DP10" i="1"/>
  <c r="DP11" i="1"/>
  <c r="DP12" i="1"/>
  <c r="DP13" i="1"/>
  <c r="DP14" i="1"/>
  <c r="DP15" i="1"/>
  <c r="DP16" i="1"/>
  <c r="DP17" i="1"/>
  <c r="DP18" i="1"/>
  <c r="DP19" i="1"/>
  <c r="DP20" i="1"/>
  <c r="DP21" i="1"/>
  <c r="DP22" i="1"/>
  <c r="DP23" i="1"/>
  <c r="DP24" i="1"/>
  <c r="DP25" i="1"/>
  <c r="DP26" i="1"/>
  <c r="DP27" i="1"/>
  <c r="DP28" i="1"/>
  <c r="DP29" i="1"/>
  <c r="DP30" i="1"/>
  <c r="DP31" i="1"/>
  <c r="DP32" i="1"/>
  <c r="DP33" i="1"/>
  <c r="DP34" i="1"/>
  <c r="DP35" i="1"/>
  <c r="DP36" i="1"/>
  <c r="DP37" i="1"/>
  <c r="DP38" i="1"/>
  <c r="DP39" i="1"/>
  <c r="DP40" i="1"/>
  <c r="DP41" i="1"/>
  <c r="DP42" i="1"/>
  <c r="DP43" i="1"/>
  <c r="DP44" i="1"/>
  <c r="DP45" i="1"/>
  <c r="DP46" i="1"/>
  <c r="DP47" i="1"/>
  <c r="DP48" i="1"/>
  <c r="DP49" i="1"/>
  <c r="DP50" i="1"/>
  <c r="DP51" i="1"/>
  <c r="DP52" i="1"/>
  <c r="DP53" i="1"/>
  <c r="DP54" i="1"/>
  <c r="DP3" i="1"/>
  <c r="DO4" i="1"/>
  <c r="DO5" i="1"/>
  <c r="DO6" i="1"/>
  <c r="DO7" i="1"/>
  <c r="DO8" i="1"/>
  <c r="DO9" i="1"/>
  <c r="DO10" i="1"/>
  <c r="DO11" i="1"/>
  <c r="DO12" i="1"/>
  <c r="DO13" i="1"/>
  <c r="DO14" i="1"/>
  <c r="DO15" i="1"/>
  <c r="DO16" i="1"/>
  <c r="DO17" i="1"/>
  <c r="DO18" i="1"/>
  <c r="DO19" i="1"/>
  <c r="DO20" i="1"/>
  <c r="DO21" i="1"/>
  <c r="DO22" i="1"/>
  <c r="DO23" i="1"/>
  <c r="DO24" i="1"/>
  <c r="DO25" i="1"/>
  <c r="DO26" i="1"/>
  <c r="DO27" i="1"/>
  <c r="DO28" i="1"/>
  <c r="DO29" i="1"/>
  <c r="DO30" i="1"/>
  <c r="DO31" i="1"/>
  <c r="DO32" i="1"/>
  <c r="DO33" i="1"/>
  <c r="DO34" i="1"/>
  <c r="DO35" i="1"/>
  <c r="DO36" i="1"/>
  <c r="DO37" i="1"/>
  <c r="DO38" i="1"/>
  <c r="DO39" i="1"/>
  <c r="DO40" i="1"/>
  <c r="DO41" i="1"/>
  <c r="DO42" i="1"/>
  <c r="DO43" i="1"/>
  <c r="DO44" i="1"/>
  <c r="DO45" i="1"/>
  <c r="DO46" i="1"/>
  <c r="DO47" i="1"/>
  <c r="DO48" i="1"/>
  <c r="DO49" i="1"/>
  <c r="DO50" i="1"/>
  <c r="DO51" i="1"/>
  <c r="DO52" i="1"/>
  <c r="DO53" i="1"/>
  <c r="DO54" i="1"/>
  <c r="DO3" i="1"/>
  <c r="DN25" i="1"/>
  <c r="DN26" i="1"/>
  <c r="DN27" i="1"/>
  <c r="DN28" i="1"/>
  <c r="DN29" i="1"/>
  <c r="DN30" i="1"/>
  <c r="DN31" i="1"/>
  <c r="DN32" i="1"/>
  <c r="DN33" i="1"/>
  <c r="DN34" i="1"/>
  <c r="DN35" i="1"/>
  <c r="DN36" i="1"/>
  <c r="DN37" i="1"/>
  <c r="DN38" i="1"/>
  <c r="DN39" i="1"/>
  <c r="DN40" i="1"/>
  <c r="DN41" i="1"/>
  <c r="DN42" i="1"/>
  <c r="DN43" i="1"/>
  <c r="DN44" i="1"/>
  <c r="DN45" i="1"/>
  <c r="DN46" i="1"/>
  <c r="DN47" i="1"/>
  <c r="DN48" i="1"/>
  <c r="DN49" i="1"/>
  <c r="DN50" i="1"/>
  <c r="DN51" i="1"/>
  <c r="DN52" i="1"/>
  <c r="DN53" i="1"/>
  <c r="DN54" i="1"/>
  <c r="DN3" i="1"/>
  <c r="DN4" i="1"/>
  <c r="DN5" i="1"/>
  <c r="DN6" i="1"/>
  <c r="DN7" i="1"/>
  <c r="DN8" i="1"/>
  <c r="DN9" i="1"/>
  <c r="DN10" i="1"/>
  <c r="DN11" i="1"/>
  <c r="DN12" i="1"/>
  <c r="DN13" i="1"/>
  <c r="DN14" i="1"/>
  <c r="DN15" i="1"/>
  <c r="DN16" i="1"/>
  <c r="DN17" i="1"/>
  <c r="DN18" i="1"/>
  <c r="DN19" i="1"/>
  <c r="DN20" i="1"/>
  <c r="DN21" i="1"/>
  <c r="DN22" i="1"/>
  <c r="DN23" i="1"/>
  <c r="DN24" i="1"/>
  <c r="DV4" i="1"/>
  <c r="DW4" i="1"/>
  <c r="DV5" i="1"/>
  <c r="DW5" i="1"/>
  <c r="DV6" i="1"/>
  <c r="DW6" i="1"/>
  <c r="DV7" i="1"/>
  <c r="DW7" i="1"/>
  <c r="DW8" i="1"/>
  <c r="DW9" i="1"/>
  <c r="DV10" i="1"/>
  <c r="DW10" i="1"/>
  <c r="DV16" i="1"/>
  <c r="DW16" i="1"/>
  <c r="DW17" i="1"/>
  <c r="DV18" i="1"/>
  <c r="DW18" i="1"/>
  <c r="DV19" i="1"/>
  <c r="DW19" i="1"/>
  <c r="DV22" i="1"/>
  <c r="DW22" i="1"/>
  <c r="DV23" i="1"/>
  <c r="DW23" i="1"/>
  <c r="DV24" i="1"/>
  <c r="DW24" i="1"/>
  <c r="DV25" i="1"/>
  <c r="DW25" i="1"/>
  <c r="DW26" i="1"/>
  <c r="DW27" i="1"/>
  <c r="DV28" i="1"/>
  <c r="DW28" i="1"/>
  <c r="DV34" i="1"/>
  <c r="DW34" i="1"/>
  <c r="DW35" i="1"/>
  <c r="DV36" i="1"/>
  <c r="DW36" i="1"/>
  <c r="DV37" i="1"/>
  <c r="DW37" i="1"/>
  <c r="DV40" i="1"/>
  <c r="DW40" i="1"/>
  <c r="DV41" i="1"/>
  <c r="DW41" i="1"/>
  <c r="DV42" i="1"/>
  <c r="DW42" i="1"/>
  <c r="DV43" i="1"/>
  <c r="DW43" i="1"/>
  <c r="DW44" i="1"/>
  <c r="DV45" i="1"/>
  <c r="DW45" i="1"/>
  <c r="DV46" i="1"/>
  <c r="DW46" i="1"/>
  <c r="DV52" i="1"/>
  <c r="DW52" i="1"/>
  <c r="DW53" i="1"/>
  <c r="DV54" i="1"/>
  <c r="DW54" i="1"/>
  <c r="DW3" i="1"/>
  <c r="DV3" i="1"/>
  <c r="DJ54" i="1"/>
  <c r="DK54" i="1" s="1"/>
  <c r="DM54" i="1" s="1"/>
  <c r="DE54" i="1"/>
  <c r="DF54" i="1" s="1"/>
  <c r="DH54" i="1" s="1"/>
  <c r="CZ54" i="1"/>
  <c r="DA54" i="1" s="1"/>
  <c r="DC54" i="1" s="1"/>
  <c r="CU54" i="1"/>
  <c r="CV54" i="1" s="1"/>
  <c r="CX54" i="1" s="1"/>
  <c r="CP54" i="1"/>
  <c r="CQ54" i="1" s="1"/>
  <c r="CS54" i="1" s="1"/>
  <c r="CK54" i="1"/>
  <c r="CL54" i="1" s="1"/>
  <c r="CN54" i="1" s="1"/>
  <c r="CF54" i="1"/>
  <c r="CG54" i="1" s="1"/>
  <c r="CI54" i="1" s="1"/>
  <c r="CA54" i="1"/>
  <c r="CB54" i="1" s="1"/>
  <c r="CD54" i="1" s="1"/>
  <c r="BV54" i="1"/>
  <c r="BW54" i="1" s="1"/>
  <c r="BY54" i="1" s="1"/>
  <c r="BQ54" i="1"/>
  <c r="BR54" i="1" s="1"/>
  <c r="BT54" i="1" s="1"/>
  <c r="BL54" i="1"/>
  <c r="BM54" i="1" s="1"/>
  <c r="BO54" i="1" s="1"/>
  <c r="DJ53" i="1"/>
  <c r="DK53" i="1" s="1"/>
  <c r="DM53" i="1" s="1"/>
  <c r="DE53" i="1"/>
  <c r="DF53" i="1" s="1"/>
  <c r="DH53" i="1" s="1"/>
  <c r="CZ53" i="1"/>
  <c r="DA53" i="1" s="1"/>
  <c r="DC53" i="1" s="1"/>
  <c r="CU53" i="1"/>
  <c r="CV53" i="1" s="1"/>
  <c r="CX53" i="1" s="1"/>
  <c r="CP53" i="1"/>
  <c r="CQ53" i="1" s="1"/>
  <c r="CS53" i="1" s="1"/>
  <c r="CK53" i="1"/>
  <c r="CL53" i="1" s="1"/>
  <c r="CN53" i="1" s="1"/>
  <c r="CF53" i="1"/>
  <c r="CG53" i="1" s="1"/>
  <c r="CI53" i="1" s="1"/>
  <c r="CA53" i="1"/>
  <c r="CB53" i="1" s="1"/>
  <c r="CD53" i="1" s="1"/>
  <c r="BV53" i="1"/>
  <c r="BW53" i="1" s="1"/>
  <c r="BY53" i="1" s="1"/>
  <c r="BQ53" i="1"/>
  <c r="BR53" i="1" s="1"/>
  <c r="BT53" i="1" s="1"/>
  <c r="BL53" i="1"/>
  <c r="BM53" i="1" s="1"/>
  <c r="BO53" i="1" s="1"/>
  <c r="DJ52" i="1"/>
  <c r="DK52" i="1" s="1"/>
  <c r="DM52" i="1" s="1"/>
  <c r="DE52" i="1"/>
  <c r="DF52" i="1" s="1"/>
  <c r="DH52" i="1" s="1"/>
  <c r="CZ52" i="1"/>
  <c r="DA52" i="1" s="1"/>
  <c r="DC52" i="1" s="1"/>
  <c r="CU52" i="1"/>
  <c r="CV52" i="1" s="1"/>
  <c r="CX52" i="1" s="1"/>
  <c r="CP52" i="1"/>
  <c r="CQ52" i="1" s="1"/>
  <c r="CS52" i="1" s="1"/>
  <c r="CK52" i="1"/>
  <c r="CL52" i="1" s="1"/>
  <c r="CN52" i="1" s="1"/>
  <c r="CF52" i="1"/>
  <c r="CG52" i="1" s="1"/>
  <c r="CI52" i="1" s="1"/>
  <c r="CA52" i="1"/>
  <c r="CB52" i="1" s="1"/>
  <c r="CD52" i="1" s="1"/>
  <c r="BV52" i="1"/>
  <c r="BW52" i="1" s="1"/>
  <c r="BY52" i="1" s="1"/>
  <c r="BQ52" i="1"/>
  <c r="BR52" i="1" s="1"/>
  <c r="BT52" i="1" s="1"/>
  <c r="BL52" i="1"/>
  <c r="BM52" i="1" s="1"/>
  <c r="BO52" i="1" s="1"/>
  <c r="DJ51" i="1"/>
  <c r="DK51" i="1" s="1"/>
  <c r="DM51" i="1" s="1"/>
  <c r="DE51" i="1"/>
  <c r="DF51" i="1" s="1"/>
  <c r="DH51" i="1" s="1"/>
  <c r="CZ51" i="1"/>
  <c r="DA51" i="1" s="1"/>
  <c r="DC51" i="1" s="1"/>
  <c r="CU51" i="1"/>
  <c r="CV51" i="1" s="1"/>
  <c r="CX51" i="1" s="1"/>
  <c r="CP51" i="1"/>
  <c r="CQ51" i="1" s="1"/>
  <c r="CS51" i="1" s="1"/>
  <c r="CK51" i="1"/>
  <c r="CL51" i="1" s="1"/>
  <c r="CN51" i="1" s="1"/>
  <c r="CF51" i="1"/>
  <c r="CG51" i="1" s="1"/>
  <c r="CI51" i="1" s="1"/>
  <c r="CA51" i="1"/>
  <c r="CB51" i="1" s="1"/>
  <c r="CD51" i="1" s="1"/>
  <c r="BV51" i="1"/>
  <c r="BW51" i="1" s="1"/>
  <c r="BY51" i="1" s="1"/>
  <c r="BQ51" i="1"/>
  <c r="BR51" i="1" s="1"/>
  <c r="BT51" i="1" s="1"/>
  <c r="BL51" i="1"/>
  <c r="BM51" i="1" s="1"/>
  <c r="BO51" i="1" s="1"/>
  <c r="DJ50" i="1"/>
  <c r="DK50" i="1" s="1"/>
  <c r="DM50" i="1" s="1"/>
  <c r="DE50" i="1"/>
  <c r="DF50" i="1" s="1"/>
  <c r="DH50" i="1" s="1"/>
  <c r="CZ50" i="1"/>
  <c r="DA50" i="1" s="1"/>
  <c r="DC50" i="1" s="1"/>
  <c r="CU50" i="1"/>
  <c r="CV50" i="1" s="1"/>
  <c r="CX50" i="1" s="1"/>
  <c r="CP50" i="1"/>
  <c r="CQ50" i="1" s="1"/>
  <c r="CS50" i="1" s="1"/>
  <c r="CK50" i="1"/>
  <c r="CL50" i="1" s="1"/>
  <c r="CN50" i="1" s="1"/>
  <c r="CF50" i="1"/>
  <c r="CG50" i="1" s="1"/>
  <c r="CI50" i="1" s="1"/>
  <c r="CA50" i="1"/>
  <c r="CB50" i="1" s="1"/>
  <c r="CD50" i="1" s="1"/>
  <c r="BV50" i="1"/>
  <c r="BW50" i="1" s="1"/>
  <c r="BY50" i="1" s="1"/>
  <c r="BQ50" i="1"/>
  <c r="BR50" i="1" s="1"/>
  <c r="BT50" i="1" s="1"/>
  <c r="BL50" i="1"/>
  <c r="BM50" i="1" s="1"/>
  <c r="BO50" i="1" s="1"/>
  <c r="DJ49" i="1"/>
  <c r="DK49" i="1" s="1"/>
  <c r="DM49" i="1" s="1"/>
  <c r="DE49" i="1"/>
  <c r="DF49" i="1" s="1"/>
  <c r="DH49" i="1" s="1"/>
  <c r="CZ49" i="1"/>
  <c r="DA49" i="1" s="1"/>
  <c r="DC49" i="1" s="1"/>
  <c r="CU49" i="1"/>
  <c r="CV49" i="1" s="1"/>
  <c r="CX49" i="1" s="1"/>
  <c r="CP49" i="1"/>
  <c r="CQ49" i="1" s="1"/>
  <c r="CS49" i="1" s="1"/>
  <c r="CK49" i="1"/>
  <c r="CL49" i="1" s="1"/>
  <c r="CN49" i="1" s="1"/>
  <c r="CF49" i="1"/>
  <c r="CG49" i="1" s="1"/>
  <c r="CI49" i="1" s="1"/>
  <c r="CA49" i="1"/>
  <c r="CB49" i="1" s="1"/>
  <c r="CD49" i="1" s="1"/>
  <c r="BV49" i="1"/>
  <c r="BW49" i="1" s="1"/>
  <c r="BY49" i="1" s="1"/>
  <c r="BQ49" i="1"/>
  <c r="BR49" i="1" s="1"/>
  <c r="BT49" i="1" s="1"/>
  <c r="BL49" i="1"/>
  <c r="BM49" i="1" s="1"/>
  <c r="BO49" i="1" s="1"/>
  <c r="DJ48" i="1"/>
  <c r="DK48" i="1" s="1"/>
  <c r="DM48" i="1" s="1"/>
  <c r="DE48" i="1"/>
  <c r="DF48" i="1" s="1"/>
  <c r="DH48" i="1" s="1"/>
  <c r="CZ48" i="1"/>
  <c r="DA48" i="1" s="1"/>
  <c r="DC48" i="1" s="1"/>
  <c r="CU48" i="1"/>
  <c r="CV48" i="1" s="1"/>
  <c r="CX48" i="1" s="1"/>
  <c r="CP48" i="1"/>
  <c r="CQ48" i="1" s="1"/>
  <c r="CS48" i="1" s="1"/>
  <c r="CK48" i="1"/>
  <c r="CL48" i="1" s="1"/>
  <c r="CN48" i="1" s="1"/>
  <c r="CF48" i="1"/>
  <c r="CG48" i="1" s="1"/>
  <c r="CI48" i="1" s="1"/>
  <c r="CA48" i="1"/>
  <c r="CB48" i="1" s="1"/>
  <c r="CD48" i="1" s="1"/>
  <c r="BV48" i="1"/>
  <c r="BW48" i="1" s="1"/>
  <c r="BY48" i="1" s="1"/>
  <c r="BQ48" i="1"/>
  <c r="BR48" i="1" s="1"/>
  <c r="BT48" i="1" s="1"/>
  <c r="BL48" i="1"/>
  <c r="BM48" i="1" s="1"/>
  <c r="BO48" i="1" s="1"/>
  <c r="DJ47" i="1"/>
  <c r="DK47" i="1" s="1"/>
  <c r="DM47" i="1" s="1"/>
  <c r="DE47" i="1"/>
  <c r="DF47" i="1" s="1"/>
  <c r="DH47" i="1" s="1"/>
  <c r="CZ47" i="1"/>
  <c r="DA47" i="1" s="1"/>
  <c r="DC47" i="1" s="1"/>
  <c r="CU47" i="1"/>
  <c r="CV47" i="1" s="1"/>
  <c r="CX47" i="1" s="1"/>
  <c r="CP47" i="1"/>
  <c r="CQ47" i="1" s="1"/>
  <c r="CS47" i="1" s="1"/>
  <c r="CK47" i="1"/>
  <c r="CL47" i="1" s="1"/>
  <c r="CN47" i="1" s="1"/>
  <c r="CF47" i="1"/>
  <c r="CG47" i="1" s="1"/>
  <c r="CI47" i="1" s="1"/>
  <c r="CA47" i="1"/>
  <c r="CB47" i="1" s="1"/>
  <c r="CD47" i="1" s="1"/>
  <c r="BV47" i="1"/>
  <c r="BW47" i="1" s="1"/>
  <c r="BY47" i="1" s="1"/>
  <c r="BQ47" i="1"/>
  <c r="BR47" i="1" s="1"/>
  <c r="BT47" i="1" s="1"/>
  <c r="BL47" i="1"/>
  <c r="BM47" i="1" s="1"/>
  <c r="BO47" i="1" s="1"/>
  <c r="DJ46" i="1"/>
  <c r="DK46" i="1" s="1"/>
  <c r="DM46" i="1" s="1"/>
  <c r="DE46" i="1"/>
  <c r="DF46" i="1" s="1"/>
  <c r="DH46" i="1" s="1"/>
  <c r="CZ46" i="1"/>
  <c r="DA46" i="1" s="1"/>
  <c r="DC46" i="1" s="1"/>
  <c r="CU46" i="1"/>
  <c r="CV46" i="1" s="1"/>
  <c r="CX46" i="1" s="1"/>
  <c r="CP46" i="1"/>
  <c r="CQ46" i="1" s="1"/>
  <c r="CS46" i="1" s="1"/>
  <c r="CK46" i="1"/>
  <c r="CL46" i="1" s="1"/>
  <c r="CN46" i="1" s="1"/>
  <c r="CF46" i="1"/>
  <c r="CG46" i="1" s="1"/>
  <c r="CI46" i="1" s="1"/>
  <c r="CA46" i="1"/>
  <c r="CB46" i="1" s="1"/>
  <c r="CD46" i="1" s="1"/>
  <c r="BV46" i="1"/>
  <c r="BW46" i="1" s="1"/>
  <c r="BY46" i="1" s="1"/>
  <c r="BQ46" i="1"/>
  <c r="BR46" i="1" s="1"/>
  <c r="BT46" i="1" s="1"/>
  <c r="BL46" i="1"/>
  <c r="BM46" i="1" s="1"/>
  <c r="BO46" i="1" s="1"/>
  <c r="DJ45" i="1"/>
  <c r="DK45" i="1" s="1"/>
  <c r="DM45" i="1" s="1"/>
  <c r="DE45" i="1"/>
  <c r="DF45" i="1" s="1"/>
  <c r="DH45" i="1" s="1"/>
  <c r="CZ45" i="1"/>
  <c r="DA45" i="1" s="1"/>
  <c r="DC45" i="1" s="1"/>
  <c r="CU45" i="1"/>
  <c r="CV45" i="1" s="1"/>
  <c r="CX45" i="1" s="1"/>
  <c r="CP45" i="1"/>
  <c r="CQ45" i="1" s="1"/>
  <c r="CS45" i="1" s="1"/>
  <c r="CK45" i="1"/>
  <c r="CL45" i="1" s="1"/>
  <c r="CN45" i="1" s="1"/>
  <c r="CF45" i="1"/>
  <c r="CG45" i="1" s="1"/>
  <c r="CI45" i="1" s="1"/>
  <c r="CA45" i="1"/>
  <c r="CB45" i="1" s="1"/>
  <c r="CD45" i="1" s="1"/>
  <c r="BV45" i="1"/>
  <c r="BW45" i="1" s="1"/>
  <c r="BY45" i="1" s="1"/>
  <c r="BQ45" i="1"/>
  <c r="BR45" i="1" s="1"/>
  <c r="BT45" i="1" s="1"/>
  <c r="BL45" i="1"/>
  <c r="BM45" i="1" s="1"/>
  <c r="BO45" i="1" s="1"/>
  <c r="DJ44" i="1"/>
  <c r="DK44" i="1" s="1"/>
  <c r="DM44" i="1" s="1"/>
  <c r="DE44" i="1"/>
  <c r="DF44" i="1" s="1"/>
  <c r="DH44" i="1" s="1"/>
  <c r="CZ44" i="1"/>
  <c r="DA44" i="1" s="1"/>
  <c r="DC44" i="1" s="1"/>
  <c r="CU44" i="1"/>
  <c r="CV44" i="1" s="1"/>
  <c r="CX44" i="1" s="1"/>
  <c r="CP44" i="1"/>
  <c r="CQ44" i="1" s="1"/>
  <c r="CS44" i="1" s="1"/>
  <c r="CK44" i="1"/>
  <c r="CL44" i="1" s="1"/>
  <c r="CN44" i="1" s="1"/>
  <c r="CF44" i="1"/>
  <c r="CG44" i="1" s="1"/>
  <c r="CI44" i="1" s="1"/>
  <c r="CA44" i="1"/>
  <c r="CB44" i="1" s="1"/>
  <c r="CD44" i="1" s="1"/>
  <c r="BV44" i="1"/>
  <c r="BW44" i="1" s="1"/>
  <c r="BY44" i="1" s="1"/>
  <c r="BQ44" i="1"/>
  <c r="BR44" i="1" s="1"/>
  <c r="BT44" i="1" s="1"/>
  <c r="BL44" i="1"/>
  <c r="BM44" i="1" s="1"/>
  <c r="BO44" i="1" s="1"/>
  <c r="DJ43" i="1"/>
  <c r="DK43" i="1" s="1"/>
  <c r="DM43" i="1" s="1"/>
  <c r="DE43" i="1"/>
  <c r="DF43" i="1" s="1"/>
  <c r="DH43" i="1" s="1"/>
  <c r="CZ43" i="1"/>
  <c r="DA43" i="1" s="1"/>
  <c r="DC43" i="1" s="1"/>
  <c r="CU43" i="1"/>
  <c r="CV43" i="1" s="1"/>
  <c r="CX43" i="1" s="1"/>
  <c r="CP43" i="1"/>
  <c r="CQ43" i="1" s="1"/>
  <c r="CS43" i="1" s="1"/>
  <c r="CK43" i="1"/>
  <c r="CL43" i="1" s="1"/>
  <c r="CN43" i="1" s="1"/>
  <c r="CF43" i="1"/>
  <c r="CG43" i="1" s="1"/>
  <c r="CI43" i="1" s="1"/>
  <c r="CA43" i="1"/>
  <c r="CB43" i="1" s="1"/>
  <c r="CD43" i="1" s="1"/>
  <c r="BV43" i="1"/>
  <c r="BW43" i="1" s="1"/>
  <c r="BY43" i="1" s="1"/>
  <c r="BQ43" i="1"/>
  <c r="BR43" i="1" s="1"/>
  <c r="BT43" i="1" s="1"/>
  <c r="BL43" i="1"/>
  <c r="BM43" i="1" s="1"/>
  <c r="BO43" i="1" s="1"/>
  <c r="DJ42" i="1"/>
  <c r="DK42" i="1" s="1"/>
  <c r="DM42" i="1" s="1"/>
  <c r="DE42" i="1"/>
  <c r="DF42" i="1" s="1"/>
  <c r="DH42" i="1" s="1"/>
  <c r="CZ42" i="1"/>
  <c r="DA42" i="1" s="1"/>
  <c r="DC42" i="1" s="1"/>
  <c r="CU42" i="1"/>
  <c r="CV42" i="1" s="1"/>
  <c r="CX42" i="1" s="1"/>
  <c r="CP42" i="1"/>
  <c r="CQ42" i="1" s="1"/>
  <c r="CS42" i="1" s="1"/>
  <c r="CK42" i="1"/>
  <c r="CL42" i="1" s="1"/>
  <c r="CN42" i="1" s="1"/>
  <c r="CF42" i="1"/>
  <c r="CG42" i="1" s="1"/>
  <c r="CI42" i="1" s="1"/>
  <c r="CA42" i="1"/>
  <c r="CB42" i="1" s="1"/>
  <c r="CD42" i="1" s="1"/>
  <c r="BV42" i="1"/>
  <c r="BW42" i="1" s="1"/>
  <c r="BY42" i="1" s="1"/>
  <c r="BQ42" i="1"/>
  <c r="BR42" i="1" s="1"/>
  <c r="BT42" i="1" s="1"/>
  <c r="BL42" i="1"/>
  <c r="BM42" i="1" s="1"/>
  <c r="BO42" i="1" s="1"/>
  <c r="DJ41" i="1"/>
  <c r="DK41" i="1" s="1"/>
  <c r="DM41" i="1" s="1"/>
  <c r="DE41" i="1"/>
  <c r="DF41" i="1" s="1"/>
  <c r="DH41" i="1" s="1"/>
  <c r="CZ41" i="1"/>
  <c r="DA41" i="1" s="1"/>
  <c r="DC41" i="1" s="1"/>
  <c r="CU41" i="1"/>
  <c r="CV41" i="1" s="1"/>
  <c r="CX41" i="1" s="1"/>
  <c r="CP41" i="1"/>
  <c r="CQ41" i="1" s="1"/>
  <c r="CS41" i="1" s="1"/>
  <c r="CK41" i="1"/>
  <c r="CL41" i="1" s="1"/>
  <c r="CN41" i="1" s="1"/>
  <c r="CF41" i="1"/>
  <c r="CG41" i="1" s="1"/>
  <c r="CI41" i="1" s="1"/>
  <c r="CA41" i="1"/>
  <c r="CB41" i="1" s="1"/>
  <c r="CD41" i="1" s="1"/>
  <c r="BV41" i="1"/>
  <c r="BW41" i="1" s="1"/>
  <c r="BY41" i="1" s="1"/>
  <c r="BQ41" i="1"/>
  <c r="BR41" i="1" s="1"/>
  <c r="BT41" i="1" s="1"/>
  <c r="BL41" i="1"/>
  <c r="BM41" i="1" s="1"/>
  <c r="BO41" i="1" s="1"/>
  <c r="DJ40" i="1"/>
  <c r="DK40" i="1" s="1"/>
  <c r="DM40" i="1" s="1"/>
  <c r="DE40" i="1"/>
  <c r="DF40" i="1" s="1"/>
  <c r="DH40" i="1" s="1"/>
  <c r="CZ40" i="1"/>
  <c r="DA40" i="1" s="1"/>
  <c r="DC40" i="1" s="1"/>
  <c r="CU40" i="1"/>
  <c r="CV40" i="1" s="1"/>
  <c r="CX40" i="1" s="1"/>
  <c r="CP40" i="1"/>
  <c r="CQ40" i="1" s="1"/>
  <c r="CS40" i="1" s="1"/>
  <c r="CK40" i="1"/>
  <c r="CL40" i="1" s="1"/>
  <c r="CN40" i="1" s="1"/>
  <c r="CF40" i="1"/>
  <c r="CG40" i="1" s="1"/>
  <c r="CI40" i="1" s="1"/>
  <c r="CA40" i="1"/>
  <c r="CB40" i="1" s="1"/>
  <c r="CD40" i="1" s="1"/>
  <c r="BV40" i="1"/>
  <c r="BW40" i="1" s="1"/>
  <c r="BY40" i="1" s="1"/>
  <c r="BQ40" i="1"/>
  <c r="BR40" i="1" s="1"/>
  <c r="BT40" i="1" s="1"/>
  <c r="BL40" i="1"/>
  <c r="BM40" i="1" s="1"/>
  <c r="BO40" i="1" s="1"/>
  <c r="DJ39" i="1"/>
  <c r="DK39" i="1" s="1"/>
  <c r="DM39" i="1" s="1"/>
  <c r="DE39" i="1"/>
  <c r="DF39" i="1" s="1"/>
  <c r="DH39" i="1" s="1"/>
  <c r="CZ39" i="1"/>
  <c r="DA39" i="1" s="1"/>
  <c r="DC39" i="1" s="1"/>
  <c r="CU39" i="1"/>
  <c r="CV39" i="1" s="1"/>
  <c r="CX39" i="1" s="1"/>
  <c r="CP39" i="1"/>
  <c r="CQ39" i="1" s="1"/>
  <c r="CS39" i="1" s="1"/>
  <c r="CK39" i="1"/>
  <c r="CL39" i="1" s="1"/>
  <c r="CN39" i="1" s="1"/>
  <c r="CF39" i="1"/>
  <c r="CG39" i="1" s="1"/>
  <c r="CI39" i="1" s="1"/>
  <c r="CA39" i="1"/>
  <c r="CB39" i="1" s="1"/>
  <c r="CD39" i="1" s="1"/>
  <c r="BV39" i="1"/>
  <c r="BW39" i="1" s="1"/>
  <c r="BY39" i="1" s="1"/>
  <c r="BQ39" i="1"/>
  <c r="BR39" i="1" s="1"/>
  <c r="BT39" i="1" s="1"/>
  <c r="BL39" i="1"/>
  <c r="BM39" i="1" s="1"/>
  <c r="BO39" i="1" s="1"/>
  <c r="DJ38" i="1"/>
  <c r="DK38" i="1" s="1"/>
  <c r="DM38" i="1" s="1"/>
  <c r="DE38" i="1"/>
  <c r="DF38" i="1" s="1"/>
  <c r="DH38" i="1" s="1"/>
  <c r="CZ38" i="1"/>
  <c r="DA38" i="1" s="1"/>
  <c r="DC38" i="1" s="1"/>
  <c r="CU38" i="1"/>
  <c r="CV38" i="1" s="1"/>
  <c r="CX38" i="1" s="1"/>
  <c r="CP38" i="1"/>
  <c r="CQ38" i="1" s="1"/>
  <c r="CS38" i="1" s="1"/>
  <c r="CK38" i="1"/>
  <c r="CL38" i="1" s="1"/>
  <c r="CN38" i="1" s="1"/>
  <c r="CF38" i="1"/>
  <c r="CG38" i="1" s="1"/>
  <c r="CI38" i="1" s="1"/>
  <c r="CA38" i="1"/>
  <c r="CB38" i="1" s="1"/>
  <c r="CD38" i="1" s="1"/>
  <c r="BV38" i="1"/>
  <c r="BW38" i="1" s="1"/>
  <c r="BY38" i="1" s="1"/>
  <c r="BQ38" i="1"/>
  <c r="BR38" i="1" s="1"/>
  <c r="BT38" i="1" s="1"/>
  <c r="BL38" i="1"/>
  <c r="BM38" i="1" s="1"/>
  <c r="BO38" i="1" s="1"/>
  <c r="DJ37" i="1"/>
  <c r="DK37" i="1" s="1"/>
  <c r="DM37" i="1" s="1"/>
  <c r="DE37" i="1"/>
  <c r="DF37" i="1" s="1"/>
  <c r="DH37" i="1" s="1"/>
  <c r="CZ37" i="1"/>
  <c r="DA37" i="1" s="1"/>
  <c r="DC37" i="1" s="1"/>
  <c r="CU37" i="1"/>
  <c r="CV37" i="1" s="1"/>
  <c r="CX37" i="1" s="1"/>
  <c r="CP37" i="1"/>
  <c r="CQ37" i="1" s="1"/>
  <c r="CS37" i="1" s="1"/>
  <c r="CK37" i="1"/>
  <c r="CL37" i="1" s="1"/>
  <c r="CN37" i="1" s="1"/>
  <c r="CF37" i="1"/>
  <c r="CG37" i="1" s="1"/>
  <c r="CI37" i="1" s="1"/>
  <c r="CA37" i="1"/>
  <c r="CB37" i="1" s="1"/>
  <c r="CD37" i="1" s="1"/>
  <c r="BV37" i="1"/>
  <c r="BW37" i="1" s="1"/>
  <c r="BY37" i="1" s="1"/>
  <c r="BQ37" i="1"/>
  <c r="BR37" i="1" s="1"/>
  <c r="BT37" i="1" s="1"/>
  <c r="BL37" i="1"/>
  <c r="BM37" i="1" s="1"/>
  <c r="BO37" i="1" s="1"/>
  <c r="DJ36" i="1"/>
  <c r="DK36" i="1" s="1"/>
  <c r="DM36" i="1" s="1"/>
  <c r="DE36" i="1"/>
  <c r="DF36" i="1" s="1"/>
  <c r="DH36" i="1" s="1"/>
  <c r="CZ36" i="1"/>
  <c r="DA36" i="1" s="1"/>
  <c r="DC36" i="1" s="1"/>
  <c r="CU36" i="1"/>
  <c r="CV36" i="1" s="1"/>
  <c r="CX36" i="1" s="1"/>
  <c r="CP36" i="1"/>
  <c r="CQ36" i="1" s="1"/>
  <c r="CS36" i="1" s="1"/>
  <c r="CK36" i="1"/>
  <c r="CL36" i="1" s="1"/>
  <c r="CN36" i="1" s="1"/>
  <c r="CF36" i="1"/>
  <c r="CG36" i="1" s="1"/>
  <c r="CI36" i="1" s="1"/>
  <c r="CA36" i="1"/>
  <c r="CB36" i="1" s="1"/>
  <c r="CD36" i="1" s="1"/>
  <c r="BV36" i="1"/>
  <c r="BW36" i="1" s="1"/>
  <c r="BY36" i="1" s="1"/>
  <c r="BQ36" i="1"/>
  <c r="BR36" i="1" s="1"/>
  <c r="BT36" i="1" s="1"/>
  <c r="BL36" i="1"/>
  <c r="BM36" i="1" s="1"/>
  <c r="BO36" i="1" s="1"/>
  <c r="DJ35" i="1"/>
  <c r="DK35" i="1" s="1"/>
  <c r="DM35" i="1" s="1"/>
  <c r="DE35" i="1"/>
  <c r="DF35" i="1" s="1"/>
  <c r="DH35" i="1" s="1"/>
  <c r="CZ35" i="1"/>
  <c r="DA35" i="1" s="1"/>
  <c r="DC35" i="1" s="1"/>
  <c r="CU35" i="1"/>
  <c r="CV35" i="1" s="1"/>
  <c r="CX35" i="1" s="1"/>
  <c r="CP35" i="1"/>
  <c r="CQ35" i="1" s="1"/>
  <c r="CS35" i="1" s="1"/>
  <c r="CK35" i="1"/>
  <c r="CL35" i="1" s="1"/>
  <c r="CN35" i="1" s="1"/>
  <c r="CF35" i="1"/>
  <c r="CG35" i="1" s="1"/>
  <c r="CI35" i="1" s="1"/>
  <c r="CA35" i="1"/>
  <c r="CB35" i="1" s="1"/>
  <c r="CD35" i="1" s="1"/>
  <c r="BV35" i="1"/>
  <c r="BW35" i="1" s="1"/>
  <c r="BY35" i="1" s="1"/>
  <c r="BQ35" i="1"/>
  <c r="BR35" i="1" s="1"/>
  <c r="BT35" i="1" s="1"/>
  <c r="BL35" i="1"/>
  <c r="BM35" i="1" s="1"/>
  <c r="BO35" i="1" s="1"/>
  <c r="DJ34" i="1"/>
  <c r="DK34" i="1" s="1"/>
  <c r="DM34" i="1" s="1"/>
  <c r="DE34" i="1"/>
  <c r="DF34" i="1" s="1"/>
  <c r="DH34" i="1" s="1"/>
  <c r="CZ34" i="1"/>
  <c r="DA34" i="1" s="1"/>
  <c r="DC34" i="1" s="1"/>
  <c r="CU34" i="1"/>
  <c r="CV34" i="1" s="1"/>
  <c r="CX34" i="1" s="1"/>
  <c r="CP34" i="1"/>
  <c r="CQ34" i="1" s="1"/>
  <c r="CS34" i="1" s="1"/>
  <c r="CK34" i="1"/>
  <c r="CL34" i="1" s="1"/>
  <c r="CN34" i="1" s="1"/>
  <c r="CF34" i="1"/>
  <c r="CG34" i="1" s="1"/>
  <c r="CI34" i="1" s="1"/>
  <c r="CA34" i="1"/>
  <c r="CB34" i="1" s="1"/>
  <c r="CD34" i="1" s="1"/>
  <c r="BV34" i="1"/>
  <c r="BW34" i="1" s="1"/>
  <c r="BY34" i="1" s="1"/>
  <c r="BQ34" i="1"/>
  <c r="BR34" i="1" s="1"/>
  <c r="BT34" i="1" s="1"/>
  <c r="BL34" i="1"/>
  <c r="BM34" i="1" s="1"/>
  <c r="BO34" i="1" s="1"/>
  <c r="DJ33" i="1"/>
  <c r="DK33" i="1" s="1"/>
  <c r="DM33" i="1" s="1"/>
  <c r="DE33" i="1"/>
  <c r="DF33" i="1" s="1"/>
  <c r="DH33" i="1" s="1"/>
  <c r="CZ33" i="1"/>
  <c r="DA33" i="1" s="1"/>
  <c r="DC33" i="1" s="1"/>
  <c r="CU33" i="1"/>
  <c r="CV33" i="1" s="1"/>
  <c r="CX33" i="1" s="1"/>
  <c r="CP33" i="1"/>
  <c r="CQ33" i="1" s="1"/>
  <c r="CS33" i="1" s="1"/>
  <c r="CK33" i="1"/>
  <c r="CL33" i="1" s="1"/>
  <c r="CN33" i="1" s="1"/>
  <c r="CF33" i="1"/>
  <c r="CG33" i="1" s="1"/>
  <c r="CI33" i="1" s="1"/>
  <c r="CA33" i="1"/>
  <c r="CB33" i="1" s="1"/>
  <c r="CD33" i="1" s="1"/>
  <c r="BV33" i="1"/>
  <c r="BW33" i="1" s="1"/>
  <c r="BY33" i="1" s="1"/>
  <c r="BQ33" i="1"/>
  <c r="BR33" i="1" s="1"/>
  <c r="BT33" i="1" s="1"/>
  <c r="BL33" i="1"/>
  <c r="BM33" i="1" s="1"/>
  <c r="BO33" i="1" s="1"/>
  <c r="DJ32" i="1"/>
  <c r="DK32" i="1" s="1"/>
  <c r="DM32" i="1" s="1"/>
  <c r="DE32" i="1"/>
  <c r="DF32" i="1" s="1"/>
  <c r="DH32" i="1" s="1"/>
  <c r="CZ32" i="1"/>
  <c r="DA32" i="1" s="1"/>
  <c r="DC32" i="1" s="1"/>
  <c r="CU32" i="1"/>
  <c r="CV32" i="1" s="1"/>
  <c r="CX32" i="1" s="1"/>
  <c r="CP32" i="1"/>
  <c r="CQ32" i="1" s="1"/>
  <c r="CS32" i="1" s="1"/>
  <c r="CK32" i="1"/>
  <c r="CL32" i="1" s="1"/>
  <c r="CN32" i="1" s="1"/>
  <c r="CF32" i="1"/>
  <c r="CG32" i="1" s="1"/>
  <c r="CI32" i="1" s="1"/>
  <c r="CA32" i="1"/>
  <c r="CB32" i="1" s="1"/>
  <c r="CD32" i="1" s="1"/>
  <c r="BV32" i="1"/>
  <c r="BW32" i="1" s="1"/>
  <c r="BY32" i="1" s="1"/>
  <c r="BQ32" i="1"/>
  <c r="BR32" i="1" s="1"/>
  <c r="BT32" i="1" s="1"/>
  <c r="BL32" i="1"/>
  <c r="BM32" i="1" s="1"/>
  <c r="BO32" i="1" s="1"/>
  <c r="DJ31" i="1"/>
  <c r="DK31" i="1" s="1"/>
  <c r="DM31" i="1" s="1"/>
  <c r="DE31" i="1"/>
  <c r="DF31" i="1" s="1"/>
  <c r="DH31" i="1" s="1"/>
  <c r="CZ31" i="1"/>
  <c r="DA31" i="1" s="1"/>
  <c r="DC31" i="1" s="1"/>
  <c r="CU31" i="1"/>
  <c r="CV31" i="1" s="1"/>
  <c r="CX31" i="1" s="1"/>
  <c r="CP31" i="1"/>
  <c r="CQ31" i="1" s="1"/>
  <c r="CS31" i="1" s="1"/>
  <c r="CK31" i="1"/>
  <c r="CL31" i="1" s="1"/>
  <c r="CN31" i="1" s="1"/>
  <c r="CF31" i="1"/>
  <c r="CG31" i="1" s="1"/>
  <c r="CI31" i="1" s="1"/>
  <c r="CA31" i="1"/>
  <c r="CB31" i="1" s="1"/>
  <c r="CD31" i="1" s="1"/>
  <c r="BV31" i="1"/>
  <c r="BW31" i="1" s="1"/>
  <c r="BY31" i="1" s="1"/>
  <c r="BQ31" i="1"/>
  <c r="BR31" i="1" s="1"/>
  <c r="BT31" i="1" s="1"/>
  <c r="BL31" i="1"/>
  <c r="BM31" i="1" s="1"/>
  <c r="BO31" i="1" s="1"/>
  <c r="DJ30" i="1"/>
  <c r="DK30" i="1" s="1"/>
  <c r="DM30" i="1" s="1"/>
  <c r="DE30" i="1"/>
  <c r="DF30" i="1" s="1"/>
  <c r="DH30" i="1" s="1"/>
  <c r="CZ30" i="1"/>
  <c r="DA30" i="1" s="1"/>
  <c r="DC30" i="1" s="1"/>
  <c r="CU30" i="1"/>
  <c r="CV30" i="1" s="1"/>
  <c r="CX30" i="1" s="1"/>
  <c r="CP30" i="1"/>
  <c r="CQ30" i="1" s="1"/>
  <c r="CS30" i="1" s="1"/>
  <c r="CK30" i="1"/>
  <c r="CL30" i="1" s="1"/>
  <c r="CN30" i="1" s="1"/>
  <c r="CF30" i="1"/>
  <c r="CG30" i="1" s="1"/>
  <c r="CI30" i="1" s="1"/>
  <c r="CA30" i="1"/>
  <c r="CB30" i="1" s="1"/>
  <c r="CD30" i="1" s="1"/>
  <c r="BV30" i="1"/>
  <c r="BW30" i="1" s="1"/>
  <c r="BY30" i="1" s="1"/>
  <c r="BQ30" i="1"/>
  <c r="BR30" i="1" s="1"/>
  <c r="BT30" i="1" s="1"/>
  <c r="BL30" i="1"/>
  <c r="BM30" i="1" s="1"/>
  <c r="BO30" i="1" s="1"/>
  <c r="DJ29" i="1"/>
  <c r="DK29" i="1" s="1"/>
  <c r="DM29" i="1" s="1"/>
  <c r="DE29" i="1"/>
  <c r="DF29" i="1" s="1"/>
  <c r="DH29" i="1" s="1"/>
  <c r="CZ29" i="1"/>
  <c r="DA29" i="1" s="1"/>
  <c r="DC29" i="1" s="1"/>
  <c r="CU29" i="1"/>
  <c r="CV29" i="1" s="1"/>
  <c r="CX29" i="1" s="1"/>
  <c r="CP29" i="1"/>
  <c r="CQ29" i="1" s="1"/>
  <c r="CS29" i="1" s="1"/>
  <c r="CK29" i="1"/>
  <c r="CL29" i="1" s="1"/>
  <c r="CN29" i="1" s="1"/>
  <c r="CF29" i="1"/>
  <c r="CG29" i="1" s="1"/>
  <c r="CI29" i="1" s="1"/>
  <c r="CA29" i="1"/>
  <c r="CB29" i="1" s="1"/>
  <c r="CD29" i="1" s="1"/>
  <c r="BV29" i="1"/>
  <c r="BW29" i="1" s="1"/>
  <c r="BY29" i="1" s="1"/>
  <c r="BQ29" i="1"/>
  <c r="BR29" i="1" s="1"/>
  <c r="BT29" i="1" s="1"/>
  <c r="BL29" i="1"/>
  <c r="BM29" i="1" s="1"/>
  <c r="BO29" i="1" s="1"/>
  <c r="DJ28" i="1"/>
  <c r="DK28" i="1" s="1"/>
  <c r="DM28" i="1" s="1"/>
  <c r="DE28" i="1"/>
  <c r="DF28" i="1" s="1"/>
  <c r="DH28" i="1" s="1"/>
  <c r="CZ28" i="1"/>
  <c r="DA28" i="1" s="1"/>
  <c r="DC28" i="1" s="1"/>
  <c r="CU28" i="1"/>
  <c r="CV28" i="1" s="1"/>
  <c r="CX28" i="1" s="1"/>
  <c r="CP28" i="1"/>
  <c r="CQ28" i="1" s="1"/>
  <c r="CS28" i="1" s="1"/>
  <c r="CK28" i="1"/>
  <c r="CL28" i="1" s="1"/>
  <c r="CN28" i="1" s="1"/>
  <c r="CF28" i="1"/>
  <c r="CG28" i="1" s="1"/>
  <c r="CI28" i="1" s="1"/>
  <c r="CA28" i="1"/>
  <c r="CB28" i="1" s="1"/>
  <c r="CD28" i="1" s="1"/>
  <c r="BV28" i="1"/>
  <c r="BW28" i="1" s="1"/>
  <c r="BY28" i="1" s="1"/>
  <c r="BQ28" i="1"/>
  <c r="BR28" i="1" s="1"/>
  <c r="BT28" i="1" s="1"/>
  <c r="BL28" i="1"/>
  <c r="BM28" i="1" s="1"/>
  <c r="BO28" i="1" s="1"/>
  <c r="DJ27" i="1"/>
  <c r="DK27" i="1" s="1"/>
  <c r="DM27" i="1" s="1"/>
  <c r="DE27" i="1"/>
  <c r="DF27" i="1" s="1"/>
  <c r="DH27" i="1" s="1"/>
  <c r="CZ27" i="1"/>
  <c r="DA27" i="1" s="1"/>
  <c r="DC27" i="1" s="1"/>
  <c r="CU27" i="1"/>
  <c r="CV27" i="1" s="1"/>
  <c r="CX27" i="1" s="1"/>
  <c r="CP27" i="1"/>
  <c r="CQ27" i="1" s="1"/>
  <c r="CS27" i="1" s="1"/>
  <c r="CK27" i="1"/>
  <c r="CL27" i="1" s="1"/>
  <c r="CN27" i="1" s="1"/>
  <c r="CF27" i="1"/>
  <c r="CG27" i="1" s="1"/>
  <c r="CI27" i="1" s="1"/>
  <c r="CA27" i="1"/>
  <c r="CB27" i="1" s="1"/>
  <c r="CD27" i="1" s="1"/>
  <c r="BV27" i="1"/>
  <c r="BW27" i="1" s="1"/>
  <c r="BY27" i="1" s="1"/>
  <c r="BQ27" i="1"/>
  <c r="BR27" i="1" s="1"/>
  <c r="BT27" i="1" s="1"/>
  <c r="BL27" i="1"/>
  <c r="BM27" i="1" s="1"/>
  <c r="BO27" i="1" s="1"/>
  <c r="DJ26" i="1"/>
  <c r="DK26" i="1" s="1"/>
  <c r="DM26" i="1" s="1"/>
  <c r="DE26" i="1"/>
  <c r="DF26" i="1" s="1"/>
  <c r="DH26" i="1" s="1"/>
  <c r="CZ26" i="1"/>
  <c r="DA26" i="1" s="1"/>
  <c r="DC26" i="1" s="1"/>
  <c r="CU26" i="1"/>
  <c r="CV26" i="1" s="1"/>
  <c r="CX26" i="1" s="1"/>
  <c r="CP26" i="1"/>
  <c r="CQ26" i="1" s="1"/>
  <c r="CS26" i="1" s="1"/>
  <c r="CK26" i="1"/>
  <c r="CL26" i="1" s="1"/>
  <c r="CN26" i="1" s="1"/>
  <c r="CF26" i="1"/>
  <c r="CG26" i="1" s="1"/>
  <c r="CI26" i="1" s="1"/>
  <c r="CA26" i="1"/>
  <c r="CB26" i="1" s="1"/>
  <c r="CD26" i="1" s="1"/>
  <c r="BV26" i="1"/>
  <c r="BW26" i="1" s="1"/>
  <c r="BY26" i="1" s="1"/>
  <c r="BR26" i="1"/>
  <c r="BT26" i="1" s="1"/>
  <c r="BQ26" i="1"/>
  <c r="BL26" i="1"/>
  <c r="BM26" i="1" s="1"/>
  <c r="BO26" i="1" s="1"/>
  <c r="DJ25" i="1"/>
  <c r="DK25" i="1" s="1"/>
  <c r="DM25" i="1" s="1"/>
  <c r="DE25" i="1"/>
  <c r="DF25" i="1" s="1"/>
  <c r="DH25" i="1" s="1"/>
  <c r="CZ25" i="1"/>
  <c r="DA25" i="1" s="1"/>
  <c r="DC25" i="1" s="1"/>
  <c r="CU25" i="1"/>
  <c r="CV25" i="1" s="1"/>
  <c r="CX25" i="1" s="1"/>
  <c r="CP25" i="1"/>
  <c r="CQ25" i="1" s="1"/>
  <c r="CS25" i="1" s="1"/>
  <c r="CK25" i="1"/>
  <c r="CL25" i="1" s="1"/>
  <c r="CN25" i="1" s="1"/>
  <c r="CF25" i="1"/>
  <c r="CG25" i="1" s="1"/>
  <c r="CI25" i="1" s="1"/>
  <c r="CA25" i="1"/>
  <c r="CB25" i="1" s="1"/>
  <c r="CD25" i="1" s="1"/>
  <c r="BV25" i="1"/>
  <c r="BW25" i="1" s="1"/>
  <c r="BY25" i="1" s="1"/>
  <c r="BQ25" i="1"/>
  <c r="BR25" i="1" s="1"/>
  <c r="BT25" i="1" s="1"/>
  <c r="BL25" i="1"/>
  <c r="BM25" i="1" s="1"/>
  <c r="BO25" i="1" s="1"/>
  <c r="DJ24" i="1"/>
  <c r="DK24" i="1" s="1"/>
  <c r="DM24" i="1" s="1"/>
  <c r="DE24" i="1"/>
  <c r="DF24" i="1" s="1"/>
  <c r="DH24" i="1" s="1"/>
  <c r="CZ24" i="1"/>
  <c r="DA24" i="1" s="1"/>
  <c r="DC24" i="1" s="1"/>
  <c r="CU24" i="1"/>
  <c r="CV24" i="1" s="1"/>
  <c r="CX24" i="1" s="1"/>
  <c r="CP24" i="1"/>
  <c r="CQ24" i="1" s="1"/>
  <c r="CS24" i="1" s="1"/>
  <c r="CK24" i="1"/>
  <c r="CL24" i="1" s="1"/>
  <c r="CN24" i="1" s="1"/>
  <c r="CF24" i="1"/>
  <c r="CG24" i="1" s="1"/>
  <c r="CI24" i="1" s="1"/>
  <c r="CA24" i="1"/>
  <c r="CB24" i="1" s="1"/>
  <c r="CD24" i="1" s="1"/>
  <c r="BV24" i="1"/>
  <c r="BW24" i="1" s="1"/>
  <c r="BY24" i="1" s="1"/>
  <c r="BQ24" i="1"/>
  <c r="BR24" i="1" s="1"/>
  <c r="BT24" i="1" s="1"/>
  <c r="BL24" i="1"/>
  <c r="BM24" i="1" s="1"/>
  <c r="BO24" i="1" s="1"/>
  <c r="DJ23" i="1"/>
  <c r="DK23" i="1" s="1"/>
  <c r="DM23" i="1" s="1"/>
  <c r="DE23" i="1"/>
  <c r="DF23" i="1" s="1"/>
  <c r="DH23" i="1" s="1"/>
  <c r="CZ23" i="1"/>
  <c r="DA23" i="1" s="1"/>
  <c r="DC23" i="1" s="1"/>
  <c r="CU23" i="1"/>
  <c r="CV23" i="1" s="1"/>
  <c r="CX23" i="1" s="1"/>
  <c r="CP23" i="1"/>
  <c r="CQ23" i="1" s="1"/>
  <c r="CS23" i="1" s="1"/>
  <c r="CK23" i="1"/>
  <c r="CL23" i="1" s="1"/>
  <c r="CN23" i="1" s="1"/>
  <c r="CF23" i="1"/>
  <c r="CG23" i="1" s="1"/>
  <c r="CI23" i="1" s="1"/>
  <c r="CA23" i="1"/>
  <c r="CB23" i="1" s="1"/>
  <c r="CD23" i="1" s="1"/>
  <c r="BV23" i="1"/>
  <c r="BW23" i="1" s="1"/>
  <c r="BY23" i="1" s="1"/>
  <c r="BQ23" i="1"/>
  <c r="BR23" i="1" s="1"/>
  <c r="BT23" i="1" s="1"/>
  <c r="BL23" i="1"/>
  <c r="BM23" i="1" s="1"/>
  <c r="BO23" i="1" s="1"/>
  <c r="DJ22" i="1"/>
  <c r="DK22" i="1" s="1"/>
  <c r="DM22" i="1" s="1"/>
  <c r="DE22" i="1"/>
  <c r="DF22" i="1" s="1"/>
  <c r="DH22" i="1" s="1"/>
  <c r="CZ22" i="1"/>
  <c r="DA22" i="1" s="1"/>
  <c r="DC22" i="1" s="1"/>
  <c r="CU22" i="1"/>
  <c r="CV22" i="1" s="1"/>
  <c r="CX22" i="1" s="1"/>
  <c r="CP22" i="1"/>
  <c r="CQ22" i="1" s="1"/>
  <c r="CS22" i="1" s="1"/>
  <c r="CK22" i="1"/>
  <c r="CL22" i="1" s="1"/>
  <c r="CN22" i="1" s="1"/>
  <c r="CF22" i="1"/>
  <c r="CG22" i="1" s="1"/>
  <c r="CI22" i="1" s="1"/>
  <c r="CA22" i="1"/>
  <c r="CB22" i="1" s="1"/>
  <c r="CD22" i="1" s="1"/>
  <c r="BV22" i="1"/>
  <c r="BW22" i="1" s="1"/>
  <c r="BY22" i="1" s="1"/>
  <c r="BQ22" i="1"/>
  <c r="BR22" i="1" s="1"/>
  <c r="BT22" i="1" s="1"/>
  <c r="BL22" i="1"/>
  <c r="BM22" i="1" s="1"/>
  <c r="BO22" i="1" s="1"/>
  <c r="DJ21" i="1"/>
  <c r="DK21" i="1" s="1"/>
  <c r="DM21" i="1" s="1"/>
  <c r="DE21" i="1"/>
  <c r="DF21" i="1" s="1"/>
  <c r="DH21" i="1" s="1"/>
  <c r="CZ21" i="1"/>
  <c r="DA21" i="1" s="1"/>
  <c r="DC21" i="1" s="1"/>
  <c r="CU21" i="1"/>
  <c r="CV21" i="1" s="1"/>
  <c r="CX21" i="1" s="1"/>
  <c r="CP21" i="1"/>
  <c r="CQ21" i="1" s="1"/>
  <c r="CS21" i="1" s="1"/>
  <c r="CK21" i="1"/>
  <c r="CL21" i="1" s="1"/>
  <c r="CN21" i="1" s="1"/>
  <c r="CF21" i="1"/>
  <c r="CG21" i="1" s="1"/>
  <c r="CI21" i="1" s="1"/>
  <c r="CA21" i="1"/>
  <c r="CB21" i="1" s="1"/>
  <c r="CD21" i="1" s="1"/>
  <c r="BV21" i="1"/>
  <c r="BW21" i="1" s="1"/>
  <c r="BY21" i="1" s="1"/>
  <c r="BQ21" i="1"/>
  <c r="BR21" i="1" s="1"/>
  <c r="BT21" i="1" s="1"/>
  <c r="BL21" i="1"/>
  <c r="BM21" i="1" s="1"/>
  <c r="BO21" i="1" s="1"/>
  <c r="DJ20" i="1"/>
  <c r="DK20" i="1" s="1"/>
  <c r="DM20" i="1" s="1"/>
  <c r="DE20" i="1"/>
  <c r="DF20" i="1" s="1"/>
  <c r="DH20" i="1" s="1"/>
  <c r="CZ20" i="1"/>
  <c r="DA20" i="1" s="1"/>
  <c r="DC20" i="1" s="1"/>
  <c r="CU20" i="1"/>
  <c r="CV20" i="1" s="1"/>
  <c r="CX20" i="1" s="1"/>
  <c r="CP20" i="1"/>
  <c r="CQ20" i="1" s="1"/>
  <c r="CS20" i="1" s="1"/>
  <c r="CK20" i="1"/>
  <c r="CL20" i="1" s="1"/>
  <c r="CN20" i="1" s="1"/>
  <c r="CF20" i="1"/>
  <c r="CG20" i="1" s="1"/>
  <c r="CI20" i="1" s="1"/>
  <c r="CA20" i="1"/>
  <c r="CB20" i="1" s="1"/>
  <c r="CD20" i="1" s="1"/>
  <c r="BV20" i="1"/>
  <c r="BW20" i="1" s="1"/>
  <c r="BY20" i="1" s="1"/>
  <c r="BQ20" i="1"/>
  <c r="BR20" i="1" s="1"/>
  <c r="BT20" i="1" s="1"/>
  <c r="BL20" i="1"/>
  <c r="BM20" i="1" s="1"/>
  <c r="BO20" i="1" s="1"/>
  <c r="DJ19" i="1"/>
  <c r="DK19" i="1" s="1"/>
  <c r="DM19" i="1" s="1"/>
  <c r="DE19" i="1"/>
  <c r="DF19" i="1" s="1"/>
  <c r="DH19" i="1" s="1"/>
  <c r="CZ19" i="1"/>
  <c r="DA19" i="1" s="1"/>
  <c r="DC19" i="1" s="1"/>
  <c r="CU19" i="1"/>
  <c r="CV19" i="1" s="1"/>
  <c r="CX19" i="1" s="1"/>
  <c r="CP19" i="1"/>
  <c r="CQ19" i="1" s="1"/>
  <c r="CS19" i="1" s="1"/>
  <c r="CK19" i="1"/>
  <c r="CL19" i="1" s="1"/>
  <c r="CN19" i="1" s="1"/>
  <c r="CF19" i="1"/>
  <c r="CG19" i="1" s="1"/>
  <c r="CI19" i="1" s="1"/>
  <c r="CA19" i="1"/>
  <c r="CB19" i="1" s="1"/>
  <c r="CD19" i="1" s="1"/>
  <c r="BV19" i="1"/>
  <c r="BW19" i="1" s="1"/>
  <c r="BY19" i="1" s="1"/>
  <c r="BQ19" i="1"/>
  <c r="BR19" i="1" s="1"/>
  <c r="BT19" i="1" s="1"/>
  <c r="BL19" i="1"/>
  <c r="BM19" i="1" s="1"/>
  <c r="BO19" i="1" s="1"/>
  <c r="DJ18" i="1"/>
  <c r="DK18" i="1" s="1"/>
  <c r="DM18" i="1" s="1"/>
  <c r="DE18" i="1"/>
  <c r="DF18" i="1" s="1"/>
  <c r="DH18" i="1" s="1"/>
  <c r="CZ18" i="1"/>
  <c r="DA18" i="1" s="1"/>
  <c r="DC18" i="1" s="1"/>
  <c r="CU18" i="1"/>
  <c r="CV18" i="1" s="1"/>
  <c r="CX18" i="1" s="1"/>
  <c r="CP18" i="1"/>
  <c r="CQ18" i="1" s="1"/>
  <c r="CS18" i="1" s="1"/>
  <c r="CK18" i="1"/>
  <c r="CL18" i="1" s="1"/>
  <c r="CN18" i="1" s="1"/>
  <c r="CF18" i="1"/>
  <c r="CG18" i="1" s="1"/>
  <c r="CI18" i="1" s="1"/>
  <c r="CA18" i="1"/>
  <c r="CB18" i="1" s="1"/>
  <c r="CD18" i="1" s="1"/>
  <c r="BV18" i="1"/>
  <c r="BW18" i="1" s="1"/>
  <c r="BY18" i="1" s="1"/>
  <c r="BQ18" i="1"/>
  <c r="BR18" i="1" s="1"/>
  <c r="BT18" i="1" s="1"/>
  <c r="BL18" i="1"/>
  <c r="BM18" i="1" s="1"/>
  <c r="BO18" i="1" s="1"/>
  <c r="DJ17" i="1"/>
  <c r="DK17" i="1" s="1"/>
  <c r="DM17" i="1" s="1"/>
  <c r="DE17" i="1"/>
  <c r="DF17" i="1" s="1"/>
  <c r="DH17" i="1" s="1"/>
  <c r="CZ17" i="1"/>
  <c r="DA17" i="1" s="1"/>
  <c r="DC17" i="1" s="1"/>
  <c r="CU17" i="1"/>
  <c r="CV17" i="1" s="1"/>
  <c r="CX17" i="1" s="1"/>
  <c r="CP17" i="1"/>
  <c r="CQ17" i="1" s="1"/>
  <c r="CS17" i="1" s="1"/>
  <c r="CK17" i="1"/>
  <c r="CL17" i="1" s="1"/>
  <c r="CN17" i="1" s="1"/>
  <c r="CF17" i="1"/>
  <c r="CG17" i="1" s="1"/>
  <c r="CI17" i="1" s="1"/>
  <c r="CA17" i="1"/>
  <c r="CB17" i="1" s="1"/>
  <c r="CD17" i="1" s="1"/>
  <c r="BV17" i="1"/>
  <c r="BW17" i="1" s="1"/>
  <c r="BY17" i="1" s="1"/>
  <c r="BQ17" i="1"/>
  <c r="BR17" i="1" s="1"/>
  <c r="BT17" i="1" s="1"/>
  <c r="BL17" i="1"/>
  <c r="BM17" i="1" s="1"/>
  <c r="BO17" i="1" s="1"/>
  <c r="DJ16" i="1"/>
  <c r="DK16" i="1" s="1"/>
  <c r="DM16" i="1" s="1"/>
  <c r="DE16" i="1"/>
  <c r="DF16" i="1" s="1"/>
  <c r="DH16" i="1" s="1"/>
  <c r="CZ16" i="1"/>
  <c r="DA16" i="1" s="1"/>
  <c r="DC16" i="1" s="1"/>
  <c r="CU16" i="1"/>
  <c r="CV16" i="1" s="1"/>
  <c r="CX16" i="1" s="1"/>
  <c r="CP16" i="1"/>
  <c r="CQ16" i="1" s="1"/>
  <c r="CS16" i="1" s="1"/>
  <c r="CK16" i="1"/>
  <c r="CL16" i="1" s="1"/>
  <c r="CN16" i="1" s="1"/>
  <c r="CF16" i="1"/>
  <c r="CG16" i="1" s="1"/>
  <c r="CI16" i="1" s="1"/>
  <c r="CA16" i="1"/>
  <c r="CB16" i="1" s="1"/>
  <c r="CD16" i="1" s="1"/>
  <c r="BV16" i="1"/>
  <c r="BW16" i="1" s="1"/>
  <c r="BY16" i="1" s="1"/>
  <c r="BQ16" i="1"/>
  <c r="BR16" i="1" s="1"/>
  <c r="BT16" i="1" s="1"/>
  <c r="BL16" i="1"/>
  <c r="BM16" i="1" s="1"/>
  <c r="BO16" i="1" s="1"/>
  <c r="DJ15" i="1"/>
  <c r="DK15" i="1" s="1"/>
  <c r="DM15" i="1" s="1"/>
  <c r="DE15" i="1"/>
  <c r="DF15" i="1" s="1"/>
  <c r="DH15" i="1" s="1"/>
  <c r="CZ15" i="1"/>
  <c r="DA15" i="1" s="1"/>
  <c r="DC15" i="1" s="1"/>
  <c r="CU15" i="1"/>
  <c r="CV15" i="1" s="1"/>
  <c r="CX15" i="1" s="1"/>
  <c r="CP15" i="1"/>
  <c r="CQ15" i="1" s="1"/>
  <c r="CS15" i="1" s="1"/>
  <c r="CK15" i="1"/>
  <c r="CL15" i="1" s="1"/>
  <c r="CN15" i="1" s="1"/>
  <c r="CF15" i="1"/>
  <c r="CG15" i="1" s="1"/>
  <c r="CI15" i="1" s="1"/>
  <c r="CA15" i="1"/>
  <c r="CB15" i="1" s="1"/>
  <c r="CD15" i="1" s="1"/>
  <c r="BV15" i="1"/>
  <c r="BW15" i="1" s="1"/>
  <c r="BY15" i="1" s="1"/>
  <c r="BQ15" i="1"/>
  <c r="BR15" i="1" s="1"/>
  <c r="BT15" i="1" s="1"/>
  <c r="BL15" i="1"/>
  <c r="BM15" i="1" s="1"/>
  <c r="BO15" i="1" s="1"/>
  <c r="DJ14" i="1"/>
  <c r="DK14" i="1" s="1"/>
  <c r="DM14" i="1" s="1"/>
  <c r="DE14" i="1"/>
  <c r="DF14" i="1" s="1"/>
  <c r="DH14" i="1" s="1"/>
  <c r="CZ14" i="1"/>
  <c r="DA14" i="1" s="1"/>
  <c r="DC14" i="1" s="1"/>
  <c r="CU14" i="1"/>
  <c r="CV14" i="1" s="1"/>
  <c r="CX14" i="1" s="1"/>
  <c r="CP14" i="1"/>
  <c r="CQ14" i="1" s="1"/>
  <c r="CS14" i="1" s="1"/>
  <c r="CK14" i="1"/>
  <c r="CL14" i="1" s="1"/>
  <c r="CN14" i="1" s="1"/>
  <c r="CF14" i="1"/>
  <c r="CG14" i="1" s="1"/>
  <c r="CI14" i="1" s="1"/>
  <c r="CA14" i="1"/>
  <c r="CB14" i="1" s="1"/>
  <c r="CD14" i="1" s="1"/>
  <c r="BV14" i="1"/>
  <c r="BW14" i="1" s="1"/>
  <c r="BY14" i="1" s="1"/>
  <c r="BQ14" i="1"/>
  <c r="BR14" i="1" s="1"/>
  <c r="BT14" i="1" s="1"/>
  <c r="BL14" i="1"/>
  <c r="BM14" i="1" s="1"/>
  <c r="BO14" i="1" s="1"/>
  <c r="DJ13" i="1"/>
  <c r="DK13" i="1" s="1"/>
  <c r="DM13" i="1" s="1"/>
  <c r="DE13" i="1"/>
  <c r="DF13" i="1" s="1"/>
  <c r="DH13" i="1" s="1"/>
  <c r="CZ13" i="1"/>
  <c r="DA13" i="1" s="1"/>
  <c r="DC13" i="1" s="1"/>
  <c r="CU13" i="1"/>
  <c r="CV13" i="1" s="1"/>
  <c r="CX13" i="1" s="1"/>
  <c r="CP13" i="1"/>
  <c r="CQ13" i="1" s="1"/>
  <c r="CS13" i="1" s="1"/>
  <c r="CK13" i="1"/>
  <c r="CL13" i="1" s="1"/>
  <c r="CN13" i="1" s="1"/>
  <c r="CF13" i="1"/>
  <c r="CG13" i="1" s="1"/>
  <c r="CI13" i="1" s="1"/>
  <c r="CA13" i="1"/>
  <c r="CB13" i="1" s="1"/>
  <c r="CD13" i="1" s="1"/>
  <c r="BV13" i="1"/>
  <c r="BW13" i="1" s="1"/>
  <c r="BY13" i="1" s="1"/>
  <c r="BQ13" i="1"/>
  <c r="BR13" i="1" s="1"/>
  <c r="BT13" i="1" s="1"/>
  <c r="BL13" i="1"/>
  <c r="BM13" i="1" s="1"/>
  <c r="BO13" i="1" s="1"/>
  <c r="DJ12" i="1"/>
  <c r="DK12" i="1" s="1"/>
  <c r="DM12" i="1" s="1"/>
  <c r="DE12" i="1"/>
  <c r="DF12" i="1" s="1"/>
  <c r="DH12" i="1" s="1"/>
  <c r="CZ12" i="1"/>
  <c r="DA12" i="1" s="1"/>
  <c r="DC12" i="1" s="1"/>
  <c r="CU12" i="1"/>
  <c r="CV12" i="1" s="1"/>
  <c r="CX12" i="1" s="1"/>
  <c r="CP12" i="1"/>
  <c r="CQ12" i="1" s="1"/>
  <c r="CS12" i="1" s="1"/>
  <c r="CK12" i="1"/>
  <c r="CL12" i="1" s="1"/>
  <c r="CN12" i="1" s="1"/>
  <c r="CF12" i="1"/>
  <c r="CG12" i="1" s="1"/>
  <c r="CI12" i="1" s="1"/>
  <c r="CA12" i="1"/>
  <c r="CB12" i="1" s="1"/>
  <c r="CD12" i="1" s="1"/>
  <c r="BV12" i="1"/>
  <c r="BW12" i="1" s="1"/>
  <c r="BY12" i="1" s="1"/>
  <c r="BQ12" i="1"/>
  <c r="BR12" i="1" s="1"/>
  <c r="BT12" i="1" s="1"/>
  <c r="BL12" i="1"/>
  <c r="BM12" i="1" s="1"/>
  <c r="BO12" i="1" s="1"/>
  <c r="DJ11" i="1"/>
  <c r="DK11" i="1" s="1"/>
  <c r="DM11" i="1" s="1"/>
  <c r="DE11" i="1"/>
  <c r="DF11" i="1" s="1"/>
  <c r="DH11" i="1" s="1"/>
  <c r="CZ11" i="1"/>
  <c r="DA11" i="1" s="1"/>
  <c r="DC11" i="1" s="1"/>
  <c r="CU11" i="1"/>
  <c r="CV11" i="1" s="1"/>
  <c r="CX11" i="1" s="1"/>
  <c r="CP11" i="1"/>
  <c r="CQ11" i="1" s="1"/>
  <c r="CS11" i="1" s="1"/>
  <c r="CK11" i="1"/>
  <c r="CL11" i="1" s="1"/>
  <c r="CN11" i="1" s="1"/>
  <c r="CF11" i="1"/>
  <c r="CG11" i="1" s="1"/>
  <c r="CI11" i="1" s="1"/>
  <c r="CA11" i="1"/>
  <c r="CB11" i="1" s="1"/>
  <c r="CD11" i="1" s="1"/>
  <c r="BV11" i="1"/>
  <c r="BW11" i="1" s="1"/>
  <c r="BY11" i="1" s="1"/>
  <c r="BQ11" i="1"/>
  <c r="BR11" i="1" s="1"/>
  <c r="BT11" i="1" s="1"/>
  <c r="BL11" i="1"/>
  <c r="BM11" i="1" s="1"/>
  <c r="BO11" i="1" s="1"/>
  <c r="DJ10" i="1"/>
  <c r="DK10" i="1" s="1"/>
  <c r="DM10" i="1" s="1"/>
  <c r="DE10" i="1"/>
  <c r="DF10" i="1" s="1"/>
  <c r="DH10" i="1" s="1"/>
  <c r="CZ10" i="1"/>
  <c r="DA10" i="1" s="1"/>
  <c r="DC10" i="1" s="1"/>
  <c r="CU10" i="1"/>
  <c r="CV10" i="1" s="1"/>
  <c r="CX10" i="1" s="1"/>
  <c r="CP10" i="1"/>
  <c r="CQ10" i="1" s="1"/>
  <c r="CS10" i="1" s="1"/>
  <c r="CK10" i="1"/>
  <c r="CL10" i="1" s="1"/>
  <c r="CN10" i="1" s="1"/>
  <c r="CF10" i="1"/>
  <c r="CG10" i="1" s="1"/>
  <c r="CI10" i="1" s="1"/>
  <c r="CA10" i="1"/>
  <c r="CB10" i="1" s="1"/>
  <c r="CD10" i="1" s="1"/>
  <c r="BV10" i="1"/>
  <c r="BW10" i="1" s="1"/>
  <c r="BY10" i="1" s="1"/>
  <c r="BQ10" i="1"/>
  <c r="BR10" i="1" s="1"/>
  <c r="BT10" i="1" s="1"/>
  <c r="BL10" i="1"/>
  <c r="BM10" i="1" s="1"/>
  <c r="BO10" i="1" s="1"/>
  <c r="DJ9" i="1"/>
  <c r="DK9" i="1" s="1"/>
  <c r="DM9" i="1" s="1"/>
  <c r="DE9" i="1"/>
  <c r="DF9" i="1" s="1"/>
  <c r="DH9" i="1" s="1"/>
  <c r="CZ9" i="1"/>
  <c r="DA9" i="1" s="1"/>
  <c r="DC9" i="1" s="1"/>
  <c r="CU9" i="1"/>
  <c r="CV9" i="1" s="1"/>
  <c r="CX9" i="1" s="1"/>
  <c r="CP9" i="1"/>
  <c r="CQ9" i="1" s="1"/>
  <c r="CS9" i="1" s="1"/>
  <c r="CK9" i="1"/>
  <c r="CL9" i="1" s="1"/>
  <c r="CN9" i="1" s="1"/>
  <c r="CF9" i="1"/>
  <c r="CG9" i="1" s="1"/>
  <c r="CI9" i="1" s="1"/>
  <c r="CA9" i="1"/>
  <c r="CB9" i="1" s="1"/>
  <c r="CD9" i="1" s="1"/>
  <c r="BV9" i="1"/>
  <c r="BW9" i="1" s="1"/>
  <c r="BY9" i="1" s="1"/>
  <c r="BQ9" i="1"/>
  <c r="BR9" i="1" s="1"/>
  <c r="BT9" i="1" s="1"/>
  <c r="BL9" i="1"/>
  <c r="BM9" i="1" s="1"/>
  <c r="BO9" i="1" s="1"/>
  <c r="DJ8" i="1"/>
  <c r="DK8" i="1" s="1"/>
  <c r="DM8" i="1" s="1"/>
  <c r="DE8" i="1"/>
  <c r="DF8" i="1" s="1"/>
  <c r="DH8" i="1" s="1"/>
  <c r="CZ8" i="1"/>
  <c r="DA8" i="1" s="1"/>
  <c r="DC8" i="1" s="1"/>
  <c r="CU8" i="1"/>
  <c r="CV8" i="1" s="1"/>
  <c r="CX8" i="1" s="1"/>
  <c r="CP8" i="1"/>
  <c r="CQ8" i="1" s="1"/>
  <c r="CS8" i="1" s="1"/>
  <c r="CK8" i="1"/>
  <c r="CL8" i="1" s="1"/>
  <c r="CN8" i="1" s="1"/>
  <c r="CF8" i="1"/>
  <c r="CG8" i="1" s="1"/>
  <c r="CI8" i="1" s="1"/>
  <c r="CA8" i="1"/>
  <c r="CB8" i="1" s="1"/>
  <c r="CD8" i="1" s="1"/>
  <c r="BV8" i="1"/>
  <c r="BW8" i="1" s="1"/>
  <c r="BY8" i="1" s="1"/>
  <c r="BQ8" i="1"/>
  <c r="BR8" i="1" s="1"/>
  <c r="BT8" i="1" s="1"/>
  <c r="BL8" i="1"/>
  <c r="BM8" i="1" s="1"/>
  <c r="BO8" i="1" s="1"/>
  <c r="DJ7" i="1"/>
  <c r="DK7" i="1" s="1"/>
  <c r="DM7" i="1" s="1"/>
  <c r="DE7" i="1"/>
  <c r="DF7" i="1" s="1"/>
  <c r="DH7" i="1" s="1"/>
  <c r="CZ7" i="1"/>
  <c r="DA7" i="1" s="1"/>
  <c r="DC7" i="1" s="1"/>
  <c r="CU7" i="1"/>
  <c r="CV7" i="1" s="1"/>
  <c r="CX7" i="1" s="1"/>
  <c r="CP7" i="1"/>
  <c r="CQ7" i="1" s="1"/>
  <c r="CS7" i="1" s="1"/>
  <c r="CK7" i="1"/>
  <c r="CL7" i="1" s="1"/>
  <c r="CN7" i="1" s="1"/>
  <c r="CF7" i="1"/>
  <c r="CG7" i="1" s="1"/>
  <c r="CI7" i="1" s="1"/>
  <c r="CA7" i="1"/>
  <c r="CB7" i="1" s="1"/>
  <c r="CD7" i="1" s="1"/>
  <c r="BV7" i="1"/>
  <c r="BW7" i="1" s="1"/>
  <c r="BY7" i="1" s="1"/>
  <c r="BQ7" i="1"/>
  <c r="BR7" i="1" s="1"/>
  <c r="BT7" i="1" s="1"/>
  <c r="BL7" i="1"/>
  <c r="BM7" i="1" s="1"/>
  <c r="BO7" i="1" s="1"/>
  <c r="DJ6" i="1"/>
  <c r="DK6" i="1" s="1"/>
  <c r="DM6" i="1" s="1"/>
  <c r="DE6" i="1"/>
  <c r="DF6" i="1" s="1"/>
  <c r="DH6" i="1" s="1"/>
  <c r="CZ6" i="1"/>
  <c r="DA6" i="1" s="1"/>
  <c r="DC6" i="1" s="1"/>
  <c r="CU6" i="1"/>
  <c r="CV6" i="1" s="1"/>
  <c r="CX6" i="1" s="1"/>
  <c r="CP6" i="1"/>
  <c r="CQ6" i="1" s="1"/>
  <c r="CS6" i="1" s="1"/>
  <c r="CK6" i="1"/>
  <c r="CL6" i="1" s="1"/>
  <c r="CN6" i="1" s="1"/>
  <c r="CF6" i="1"/>
  <c r="CG6" i="1" s="1"/>
  <c r="CI6" i="1" s="1"/>
  <c r="CA6" i="1"/>
  <c r="CB6" i="1" s="1"/>
  <c r="CD6" i="1" s="1"/>
  <c r="BV6" i="1"/>
  <c r="BW6" i="1" s="1"/>
  <c r="BY6" i="1" s="1"/>
  <c r="BQ6" i="1"/>
  <c r="BR6" i="1" s="1"/>
  <c r="BT6" i="1" s="1"/>
  <c r="BL6" i="1"/>
  <c r="BM6" i="1" s="1"/>
  <c r="BO6" i="1" s="1"/>
  <c r="DJ5" i="1"/>
  <c r="DK5" i="1" s="1"/>
  <c r="DM5" i="1" s="1"/>
  <c r="DE5" i="1"/>
  <c r="DF5" i="1" s="1"/>
  <c r="DH5" i="1" s="1"/>
  <c r="CZ5" i="1"/>
  <c r="DA5" i="1" s="1"/>
  <c r="DC5" i="1" s="1"/>
  <c r="CU5" i="1"/>
  <c r="CV5" i="1" s="1"/>
  <c r="CX5" i="1" s="1"/>
  <c r="CP5" i="1"/>
  <c r="CQ5" i="1" s="1"/>
  <c r="CS5" i="1" s="1"/>
  <c r="CK5" i="1"/>
  <c r="CL5" i="1" s="1"/>
  <c r="CN5" i="1" s="1"/>
  <c r="CF5" i="1"/>
  <c r="CG5" i="1" s="1"/>
  <c r="CI5" i="1" s="1"/>
  <c r="CA5" i="1"/>
  <c r="CB5" i="1" s="1"/>
  <c r="CD5" i="1" s="1"/>
  <c r="BV5" i="1"/>
  <c r="BW5" i="1" s="1"/>
  <c r="BY5" i="1" s="1"/>
  <c r="BQ5" i="1"/>
  <c r="BR5" i="1" s="1"/>
  <c r="BT5" i="1" s="1"/>
  <c r="BL5" i="1"/>
  <c r="BM5" i="1" s="1"/>
  <c r="BO5" i="1" s="1"/>
  <c r="DJ4" i="1"/>
  <c r="DK4" i="1" s="1"/>
  <c r="DM4" i="1" s="1"/>
  <c r="DE4" i="1"/>
  <c r="DF4" i="1" s="1"/>
  <c r="DH4" i="1" s="1"/>
  <c r="CZ4" i="1"/>
  <c r="DA4" i="1" s="1"/>
  <c r="DC4" i="1" s="1"/>
  <c r="CU4" i="1"/>
  <c r="CV4" i="1" s="1"/>
  <c r="CX4" i="1" s="1"/>
  <c r="CP4" i="1"/>
  <c r="CQ4" i="1" s="1"/>
  <c r="CS4" i="1" s="1"/>
  <c r="CK4" i="1"/>
  <c r="CL4" i="1" s="1"/>
  <c r="CN4" i="1" s="1"/>
  <c r="CF4" i="1"/>
  <c r="CG4" i="1" s="1"/>
  <c r="CI4" i="1" s="1"/>
  <c r="CA4" i="1"/>
  <c r="CB4" i="1" s="1"/>
  <c r="CD4" i="1" s="1"/>
  <c r="BV4" i="1"/>
  <c r="BW4" i="1" s="1"/>
  <c r="BY4" i="1" s="1"/>
  <c r="BQ4" i="1"/>
  <c r="BR4" i="1" s="1"/>
  <c r="BT4" i="1" s="1"/>
  <c r="BL4" i="1"/>
  <c r="BM4" i="1" s="1"/>
  <c r="BO4" i="1" s="1"/>
  <c r="DJ3" i="1"/>
  <c r="DK3" i="1" s="1"/>
  <c r="DM3" i="1" s="1"/>
  <c r="DE3" i="1"/>
  <c r="DF3" i="1" s="1"/>
  <c r="DH3" i="1" s="1"/>
  <c r="CZ3" i="1"/>
  <c r="DA3" i="1" s="1"/>
  <c r="DC3" i="1" s="1"/>
  <c r="CU3" i="1"/>
  <c r="CV3" i="1" s="1"/>
  <c r="CX3" i="1" s="1"/>
  <c r="CP3" i="1"/>
  <c r="CQ3" i="1" s="1"/>
  <c r="CS3" i="1" s="1"/>
  <c r="CK3" i="1"/>
  <c r="CL3" i="1" s="1"/>
  <c r="CN3" i="1" s="1"/>
  <c r="CF3" i="1"/>
  <c r="CG3" i="1" s="1"/>
  <c r="CI3" i="1" s="1"/>
  <c r="CA3" i="1"/>
  <c r="CB3" i="1" s="1"/>
  <c r="CD3" i="1" s="1"/>
  <c r="BV3" i="1"/>
  <c r="BW3" i="1" s="1"/>
  <c r="BY3" i="1" s="1"/>
  <c r="BQ3" i="1"/>
  <c r="BR3" i="1" s="1"/>
  <c r="BT3" i="1" s="1"/>
  <c r="BL3" i="1"/>
  <c r="BM3" i="1" s="1"/>
  <c r="BO3" i="1" s="1"/>
  <c r="BG54" i="1"/>
  <c r="BH54" i="1" s="1"/>
  <c r="BJ54" i="1" s="1"/>
  <c r="BB54" i="1"/>
  <c r="BC54" i="1" s="1"/>
  <c r="BE54" i="1" s="1"/>
  <c r="AW54" i="1"/>
  <c r="AX54" i="1" s="1"/>
  <c r="AZ54" i="1" s="1"/>
  <c r="AR54" i="1"/>
  <c r="AS54" i="1" s="1"/>
  <c r="AU54" i="1" s="1"/>
  <c r="AM54" i="1"/>
  <c r="AN54" i="1" s="1"/>
  <c r="AP54" i="1" s="1"/>
  <c r="AH54" i="1"/>
  <c r="AI54" i="1" s="1"/>
  <c r="AK54" i="1" s="1"/>
  <c r="AC54" i="1"/>
  <c r="AD54" i="1" s="1"/>
  <c r="AF54" i="1" s="1"/>
  <c r="X54" i="1"/>
  <c r="Y54" i="1" s="1"/>
  <c r="AA54" i="1" s="1"/>
  <c r="S54" i="1"/>
  <c r="T54" i="1" s="1"/>
  <c r="V54" i="1" s="1"/>
  <c r="N54" i="1"/>
  <c r="O54" i="1" s="1"/>
  <c r="Q54" i="1" s="1"/>
  <c r="I54" i="1"/>
  <c r="J54" i="1" s="1"/>
  <c r="L54" i="1" s="1"/>
  <c r="BG53" i="1"/>
  <c r="BH53" i="1" s="1"/>
  <c r="BJ53" i="1" s="1"/>
  <c r="BB53" i="1"/>
  <c r="BC53" i="1" s="1"/>
  <c r="BE53" i="1" s="1"/>
  <c r="AW53" i="1"/>
  <c r="AX53" i="1" s="1"/>
  <c r="AZ53" i="1" s="1"/>
  <c r="AR53" i="1"/>
  <c r="AS53" i="1" s="1"/>
  <c r="AU53" i="1" s="1"/>
  <c r="AM53" i="1"/>
  <c r="AN53" i="1" s="1"/>
  <c r="AP53" i="1" s="1"/>
  <c r="AH53" i="1"/>
  <c r="AI53" i="1" s="1"/>
  <c r="AK53" i="1" s="1"/>
  <c r="AC53" i="1"/>
  <c r="AD53" i="1" s="1"/>
  <c r="AF53" i="1" s="1"/>
  <c r="X53" i="1"/>
  <c r="Y53" i="1" s="1"/>
  <c r="AA53" i="1" s="1"/>
  <c r="S53" i="1"/>
  <c r="T53" i="1" s="1"/>
  <c r="V53" i="1" s="1"/>
  <c r="N53" i="1"/>
  <c r="O53" i="1" s="1"/>
  <c r="Q53" i="1" s="1"/>
  <c r="I53" i="1"/>
  <c r="J53" i="1" s="1"/>
  <c r="L53" i="1" s="1"/>
  <c r="BG52" i="1"/>
  <c r="BH52" i="1" s="1"/>
  <c r="BJ52" i="1" s="1"/>
  <c r="BB52" i="1"/>
  <c r="BC52" i="1" s="1"/>
  <c r="BE52" i="1" s="1"/>
  <c r="AW52" i="1"/>
  <c r="AX52" i="1" s="1"/>
  <c r="AZ52" i="1" s="1"/>
  <c r="AR52" i="1"/>
  <c r="AS52" i="1" s="1"/>
  <c r="AU52" i="1" s="1"/>
  <c r="AM52" i="1"/>
  <c r="AN52" i="1" s="1"/>
  <c r="AP52" i="1" s="1"/>
  <c r="AH52" i="1"/>
  <c r="AI52" i="1" s="1"/>
  <c r="AK52" i="1" s="1"/>
  <c r="AC52" i="1"/>
  <c r="AD52" i="1" s="1"/>
  <c r="AF52" i="1" s="1"/>
  <c r="X52" i="1"/>
  <c r="Y52" i="1" s="1"/>
  <c r="AA52" i="1" s="1"/>
  <c r="S52" i="1"/>
  <c r="T52" i="1" s="1"/>
  <c r="V52" i="1" s="1"/>
  <c r="N52" i="1"/>
  <c r="O52" i="1" s="1"/>
  <c r="Q52" i="1" s="1"/>
  <c r="I52" i="1"/>
  <c r="J52" i="1" s="1"/>
  <c r="L52" i="1" s="1"/>
  <c r="BG51" i="1"/>
  <c r="BH51" i="1" s="1"/>
  <c r="BJ51" i="1" s="1"/>
  <c r="BB51" i="1"/>
  <c r="BC51" i="1" s="1"/>
  <c r="BE51" i="1" s="1"/>
  <c r="AW51" i="1"/>
  <c r="AX51" i="1" s="1"/>
  <c r="AZ51" i="1" s="1"/>
  <c r="AR51" i="1"/>
  <c r="AS51" i="1" s="1"/>
  <c r="AU51" i="1" s="1"/>
  <c r="AM51" i="1"/>
  <c r="AN51" i="1" s="1"/>
  <c r="AP51" i="1" s="1"/>
  <c r="AH51" i="1"/>
  <c r="AI51" i="1" s="1"/>
  <c r="AK51" i="1" s="1"/>
  <c r="AC51" i="1"/>
  <c r="AD51" i="1" s="1"/>
  <c r="AF51" i="1" s="1"/>
  <c r="X51" i="1"/>
  <c r="Y51" i="1" s="1"/>
  <c r="AA51" i="1" s="1"/>
  <c r="S51" i="1"/>
  <c r="T51" i="1" s="1"/>
  <c r="V51" i="1" s="1"/>
  <c r="N51" i="1"/>
  <c r="O51" i="1" s="1"/>
  <c r="Q51" i="1" s="1"/>
  <c r="I51" i="1"/>
  <c r="J51" i="1" s="1"/>
  <c r="L51" i="1" s="1"/>
  <c r="BG50" i="1"/>
  <c r="BH50" i="1" s="1"/>
  <c r="BJ50" i="1" s="1"/>
  <c r="BB50" i="1"/>
  <c r="BC50" i="1" s="1"/>
  <c r="BE50" i="1" s="1"/>
  <c r="AW50" i="1"/>
  <c r="AX50" i="1" s="1"/>
  <c r="AZ50" i="1" s="1"/>
  <c r="AR50" i="1"/>
  <c r="AS50" i="1" s="1"/>
  <c r="AU50" i="1" s="1"/>
  <c r="AM50" i="1"/>
  <c r="AN50" i="1" s="1"/>
  <c r="AP50" i="1" s="1"/>
  <c r="AH50" i="1"/>
  <c r="AI50" i="1" s="1"/>
  <c r="AK50" i="1" s="1"/>
  <c r="AC50" i="1"/>
  <c r="AD50" i="1" s="1"/>
  <c r="AF50" i="1" s="1"/>
  <c r="X50" i="1"/>
  <c r="Y50" i="1" s="1"/>
  <c r="AA50" i="1" s="1"/>
  <c r="S50" i="1"/>
  <c r="T50" i="1" s="1"/>
  <c r="V50" i="1" s="1"/>
  <c r="N50" i="1"/>
  <c r="O50" i="1" s="1"/>
  <c r="Q50" i="1" s="1"/>
  <c r="I50" i="1"/>
  <c r="J50" i="1" s="1"/>
  <c r="L50" i="1" s="1"/>
  <c r="BG49" i="1"/>
  <c r="BH49" i="1" s="1"/>
  <c r="BJ49" i="1" s="1"/>
  <c r="BB49" i="1"/>
  <c r="BC49" i="1" s="1"/>
  <c r="BE49" i="1" s="1"/>
  <c r="AW49" i="1"/>
  <c r="AX49" i="1" s="1"/>
  <c r="AZ49" i="1" s="1"/>
  <c r="AR49" i="1"/>
  <c r="AS49" i="1" s="1"/>
  <c r="AU49" i="1" s="1"/>
  <c r="AM49" i="1"/>
  <c r="AN49" i="1" s="1"/>
  <c r="AP49" i="1" s="1"/>
  <c r="AH49" i="1"/>
  <c r="AI49" i="1" s="1"/>
  <c r="AK49" i="1" s="1"/>
  <c r="AC49" i="1"/>
  <c r="AD49" i="1" s="1"/>
  <c r="AF49" i="1" s="1"/>
  <c r="X49" i="1"/>
  <c r="Y49" i="1" s="1"/>
  <c r="AA49" i="1" s="1"/>
  <c r="S49" i="1"/>
  <c r="T49" i="1" s="1"/>
  <c r="V49" i="1" s="1"/>
  <c r="N49" i="1"/>
  <c r="O49" i="1" s="1"/>
  <c r="Q49" i="1" s="1"/>
  <c r="I49" i="1"/>
  <c r="J49" i="1" s="1"/>
  <c r="L49" i="1" s="1"/>
  <c r="BG48" i="1"/>
  <c r="BH48" i="1" s="1"/>
  <c r="BJ48" i="1" s="1"/>
  <c r="BB48" i="1"/>
  <c r="BC48" i="1" s="1"/>
  <c r="BE48" i="1" s="1"/>
  <c r="AW48" i="1"/>
  <c r="AX48" i="1" s="1"/>
  <c r="AZ48" i="1" s="1"/>
  <c r="AR48" i="1"/>
  <c r="AS48" i="1" s="1"/>
  <c r="AU48" i="1" s="1"/>
  <c r="AM48" i="1"/>
  <c r="AN48" i="1" s="1"/>
  <c r="AP48" i="1" s="1"/>
  <c r="AH48" i="1"/>
  <c r="AI48" i="1" s="1"/>
  <c r="AK48" i="1" s="1"/>
  <c r="AC48" i="1"/>
  <c r="AD48" i="1" s="1"/>
  <c r="AF48" i="1" s="1"/>
  <c r="X48" i="1"/>
  <c r="Y48" i="1" s="1"/>
  <c r="AA48" i="1" s="1"/>
  <c r="S48" i="1"/>
  <c r="T48" i="1" s="1"/>
  <c r="V48" i="1" s="1"/>
  <c r="N48" i="1"/>
  <c r="O48" i="1" s="1"/>
  <c r="Q48" i="1" s="1"/>
  <c r="I48" i="1"/>
  <c r="J48" i="1" s="1"/>
  <c r="L48" i="1" s="1"/>
  <c r="BG47" i="1"/>
  <c r="BH47" i="1" s="1"/>
  <c r="BJ47" i="1" s="1"/>
  <c r="BB47" i="1"/>
  <c r="BC47" i="1" s="1"/>
  <c r="BE47" i="1" s="1"/>
  <c r="AW47" i="1"/>
  <c r="AX47" i="1" s="1"/>
  <c r="AZ47" i="1" s="1"/>
  <c r="AR47" i="1"/>
  <c r="AS47" i="1" s="1"/>
  <c r="AU47" i="1" s="1"/>
  <c r="AM47" i="1"/>
  <c r="AN47" i="1" s="1"/>
  <c r="AP47" i="1" s="1"/>
  <c r="AH47" i="1"/>
  <c r="AI47" i="1" s="1"/>
  <c r="AK47" i="1" s="1"/>
  <c r="AC47" i="1"/>
  <c r="AD47" i="1" s="1"/>
  <c r="AF47" i="1" s="1"/>
  <c r="X47" i="1"/>
  <c r="Y47" i="1" s="1"/>
  <c r="AA47" i="1" s="1"/>
  <c r="S47" i="1"/>
  <c r="T47" i="1" s="1"/>
  <c r="V47" i="1" s="1"/>
  <c r="N47" i="1"/>
  <c r="O47" i="1" s="1"/>
  <c r="Q47" i="1" s="1"/>
  <c r="I47" i="1"/>
  <c r="J47" i="1" s="1"/>
  <c r="L47" i="1" s="1"/>
  <c r="BG46" i="1"/>
  <c r="BH46" i="1" s="1"/>
  <c r="BJ46" i="1" s="1"/>
  <c r="BB46" i="1"/>
  <c r="BC46" i="1" s="1"/>
  <c r="BE46" i="1" s="1"/>
  <c r="AW46" i="1"/>
  <c r="AX46" i="1" s="1"/>
  <c r="AZ46" i="1" s="1"/>
  <c r="AR46" i="1"/>
  <c r="AS46" i="1" s="1"/>
  <c r="AU46" i="1" s="1"/>
  <c r="AM46" i="1"/>
  <c r="AN46" i="1" s="1"/>
  <c r="AP46" i="1" s="1"/>
  <c r="AH46" i="1"/>
  <c r="AI46" i="1" s="1"/>
  <c r="AK46" i="1" s="1"/>
  <c r="AC46" i="1"/>
  <c r="AD46" i="1" s="1"/>
  <c r="AF46" i="1" s="1"/>
  <c r="X46" i="1"/>
  <c r="Y46" i="1" s="1"/>
  <c r="AA46" i="1" s="1"/>
  <c r="S46" i="1"/>
  <c r="T46" i="1" s="1"/>
  <c r="V46" i="1" s="1"/>
  <c r="N46" i="1"/>
  <c r="O46" i="1" s="1"/>
  <c r="Q46" i="1" s="1"/>
  <c r="I46" i="1"/>
  <c r="J46" i="1" s="1"/>
  <c r="L46" i="1" s="1"/>
  <c r="BG45" i="1"/>
  <c r="BH45" i="1" s="1"/>
  <c r="BJ45" i="1" s="1"/>
  <c r="BB45" i="1"/>
  <c r="BC45" i="1" s="1"/>
  <c r="BE45" i="1" s="1"/>
  <c r="AW45" i="1"/>
  <c r="AX45" i="1" s="1"/>
  <c r="AZ45" i="1" s="1"/>
  <c r="AR45" i="1"/>
  <c r="AS45" i="1" s="1"/>
  <c r="AU45" i="1" s="1"/>
  <c r="AM45" i="1"/>
  <c r="AN45" i="1" s="1"/>
  <c r="AP45" i="1" s="1"/>
  <c r="AH45" i="1"/>
  <c r="AI45" i="1" s="1"/>
  <c r="AK45" i="1" s="1"/>
  <c r="AC45" i="1"/>
  <c r="AD45" i="1" s="1"/>
  <c r="AF45" i="1" s="1"/>
  <c r="X45" i="1"/>
  <c r="Y45" i="1" s="1"/>
  <c r="AA45" i="1" s="1"/>
  <c r="S45" i="1"/>
  <c r="T45" i="1" s="1"/>
  <c r="V45" i="1" s="1"/>
  <c r="N45" i="1"/>
  <c r="O45" i="1" s="1"/>
  <c r="Q45" i="1" s="1"/>
  <c r="I45" i="1"/>
  <c r="J45" i="1" s="1"/>
  <c r="L45" i="1" s="1"/>
  <c r="BG44" i="1"/>
  <c r="BH44" i="1" s="1"/>
  <c r="BJ44" i="1" s="1"/>
  <c r="BB44" i="1"/>
  <c r="BC44" i="1" s="1"/>
  <c r="BE44" i="1" s="1"/>
  <c r="AW44" i="1"/>
  <c r="AX44" i="1" s="1"/>
  <c r="AZ44" i="1" s="1"/>
  <c r="AR44" i="1"/>
  <c r="AS44" i="1" s="1"/>
  <c r="AU44" i="1" s="1"/>
  <c r="AM44" i="1"/>
  <c r="AN44" i="1" s="1"/>
  <c r="AP44" i="1" s="1"/>
  <c r="AH44" i="1"/>
  <c r="AI44" i="1" s="1"/>
  <c r="AK44" i="1" s="1"/>
  <c r="AC44" i="1"/>
  <c r="AD44" i="1" s="1"/>
  <c r="AF44" i="1" s="1"/>
  <c r="X44" i="1"/>
  <c r="Y44" i="1" s="1"/>
  <c r="AA44" i="1" s="1"/>
  <c r="S44" i="1"/>
  <c r="T44" i="1" s="1"/>
  <c r="V44" i="1" s="1"/>
  <c r="N44" i="1"/>
  <c r="O44" i="1" s="1"/>
  <c r="Q44" i="1" s="1"/>
  <c r="I44" i="1"/>
  <c r="J44" i="1" s="1"/>
  <c r="L44" i="1" s="1"/>
  <c r="BG43" i="1"/>
  <c r="BH43" i="1" s="1"/>
  <c r="BJ43" i="1" s="1"/>
  <c r="BB43" i="1"/>
  <c r="BC43" i="1" s="1"/>
  <c r="BE43" i="1" s="1"/>
  <c r="AW43" i="1"/>
  <c r="AX43" i="1" s="1"/>
  <c r="AZ43" i="1" s="1"/>
  <c r="AR43" i="1"/>
  <c r="AS43" i="1" s="1"/>
  <c r="AU43" i="1" s="1"/>
  <c r="AM43" i="1"/>
  <c r="AN43" i="1" s="1"/>
  <c r="AP43" i="1" s="1"/>
  <c r="AH43" i="1"/>
  <c r="AI43" i="1" s="1"/>
  <c r="AK43" i="1" s="1"/>
  <c r="AC43" i="1"/>
  <c r="AD43" i="1" s="1"/>
  <c r="AF43" i="1" s="1"/>
  <c r="X43" i="1"/>
  <c r="Y43" i="1" s="1"/>
  <c r="AA43" i="1" s="1"/>
  <c r="S43" i="1"/>
  <c r="T43" i="1" s="1"/>
  <c r="V43" i="1" s="1"/>
  <c r="N43" i="1"/>
  <c r="O43" i="1" s="1"/>
  <c r="Q43" i="1" s="1"/>
  <c r="I43" i="1"/>
  <c r="J43" i="1" s="1"/>
  <c r="L43" i="1" s="1"/>
  <c r="BG42" i="1"/>
  <c r="BH42" i="1" s="1"/>
  <c r="BJ42" i="1" s="1"/>
  <c r="BB42" i="1"/>
  <c r="BC42" i="1" s="1"/>
  <c r="BE42" i="1" s="1"/>
  <c r="AW42" i="1"/>
  <c r="AX42" i="1" s="1"/>
  <c r="AZ42" i="1" s="1"/>
  <c r="AR42" i="1"/>
  <c r="AS42" i="1" s="1"/>
  <c r="AU42" i="1" s="1"/>
  <c r="AM42" i="1"/>
  <c r="AN42" i="1" s="1"/>
  <c r="AP42" i="1" s="1"/>
  <c r="AH42" i="1"/>
  <c r="AI42" i="1" s="1"/>
  <c r="AK42" i="1" s="1"/>
  <c r="AC42" i="1"/>
  <c r="AD42" i="1" s="1"/>
  <c r="AF42" i="1" s="1"/>
  <c r="X42" i="1"/>
  <c r="Y42" i="1" s="1"/>
  <c r="AA42" i="1" s="1"/>
  <c r="S42" i="1"/>
  <c r="T42" i="1" s="1"/>
  <c r="V42" i="1" s="1"/>
  <c r="N42" i="1"/>
  <c r="O42" i="1" s="1"/>
  <c r="Q42" i="1" s="1"/>
  <c r="I42" i="1"/>
  <c r="J42" i="1" s="1"/>
  <c r="L42" i="1" s="1"/>
  <c r="BG41" i="1"/>
  <c r="BH41" i="1" s="1"/>
  <c r="BJ41" i="1" s="1"/>
  <c r="BB41" i="1"/>
  <c r="BC41" i="1" s="1"/>
  <c r="BE41" i="1" s="1"/>
  <c r="AW41" i="1"/>
  <c r="AX41" i="1" s="1"/>
  <c r="AZ41" i="1" s="1"/>
  <c r="AR41" i="1"/>
  <c r="AS41" i="1" s="1"/>
  <c r="AU41" i="1" s="1"/>
  <c r="AM41" i="1"/>
  <c r="AN41" i="1" s="1"/>
  <c r="AP41" i="1" s="1"/>
  <c r="AH41" i="1"/>
  <c r="AI41" i="1" s="1"/>
  <c r="AK41" i="1" s="1"/>
  <c r="AC41" i="1"/>
  <c r="AD41" i="1" s="1"/>
  <c r="AF41" i="1" s="1"/>
  <c r="X41" i="1"/>
  <c r="Y41" i="1" s="1"/>
  <c r="AA41" i="1" s="1"/>
  <c r="S41" i="1"/>
  <c r="T41" i="1" s="1"/>
  <c r="V41" i="1" s="1"/>
  <c r="N41" i="1"/>
  <c r="O41" i="1" s="1"/>
  <c r="Q41" i="1" s="1"/>
  <c r="I41" i="1"/>
  <c r="J41" i="1" s="1"/>
  <c r="L41" i="1" s="1"/>
  <c r="BG40" i="1"/>
  <c r="BH40" i="1" s="1"/>
  <c r="BJ40" i="1" s="1"/>
  <c r="BB40" i="1"/>
  <c r="BC40" i="1" s="1"/>
  <c r="BE40" i="1" s="1"/>
  <c r="AW40" i="1"/>
  <c r="AX40" i="1" s="1"/>
  <c r="AZ40" i="1" s="1"/>
  <c r="AR40" i="1"/>
  <c r="AS40" i="1" s="1"/>
  <c r="AU40" i="1" s="1"/>
  <c r="AM40" i="1"/>
  <c r="AN40" i="1" s="1"/>
  <c r="AP40" i="1" s="1"/>
  <c r="AH40" i="1"/>
  <c r="AI40" i="1" s="1"/>
  <c r="AK40" i="1" s="1"/>
  <c r="AC40" i="1"/>
  <c r="AD40" i="1" s="1"/>
  <c r="AF40" i="1" s="1"/>
  <c r="X40" i="1"/>
  <c r="Y40" i="1" s="1"/>
  <c r="AA40" i="1" s="1"/>
  <c r="S40" i="1"/>
  <c r="T40" i="1" s="1"/>
  <c r="V40" i="1" s="1"/>
  <c r="N40" i="1"/>
  <c r="O40" i="1" s="1"/>
  <c r="Q40" i="1" s="1"/>
  <c r="I40" i="1"/>
  <c r="J40" i="1" s="1"/>
  <c r="L40" i="1" s="1"/>
  <c r="BG39" i="1"/>
  <c r="BH39" i="1" s="1"/>
  <c r="BJ39" i="1" s="1"/>
  <c r="BB39" i="1"/>
  <c r="BC39" i="1" s="1"/>
  <c r="BE39" i="1" s="1"/>
  <c r="AW39" i="1"/>
  <c r="AX39" i="1" s="1"/>
  <c r="AZ39" i="1" s="1"/>
  <c r="AR39" i="1"/>
  <c r="AS39" i="1" s="1"/>
  <c r="AU39" i="1" s="1"/>
  <c r="AM39" i="1"/>
  <c r="AN39" i="1" s="1"/>
  <c r="AP39" i="1" s="1"/>
  <c r="AH39" i="1"/>
  <c r="AI39" i="1" s="1"/>
  <c r="AK39" i="1" s="1"/>
  <c r="AC39" i="1"/>
  <c r="AD39" i="1" s="1"/>
  <c r="AF39" i="1" s="1"/>
  <c r="X39" i="1"/>
  <c r="Y39" i="1" s="1"/>
  <c r="AA39" i="1" s="1"/>
  <c r="S39" i="1"/>
  <c r="T39" i="1" s="1"/>
  <c r="V39" i="1" s="1"/>
  <c r="N39" i="1"/>
  <c r="O39" i="1" s="1"/>
  <c r="Q39" i="1" s="1"/>
  <c r="I39" i="1"/>
  <c r="J39" i="1" s="1"/>
  <c r="L39" i="1" s="1"/>
  <c r="BG38" i="1"/>
  <c r="BH38" i="1" s="1"/>
  <c r="BJ38" i="1" s="1"/>
  <c r="BB38" i="1"/>
  <c r="BC38" i="1" s="1"/>
  <c r="BE38" i="1" s="1"/>
  <c r="AW38" i="1"/>
  <c r="AX38" i="1" s="1"/>
  <c r="AZ38" i="1" s="1"/>
  <c r="AR38" i="1"/>
  <c r="AS38" i="1" s="1"/>
  <c r="AU38" i="1" s="1"/>
  <c r="AM38" i="1"/>
  <c r="AN38" i="1" s="1"/>
  <c r="AP38" i="1" s="1"/>
  <c r="AH38" i="1"/>
  <c r="AI38" i="1" s="1"/>
  <c r="AK38" i="1" s="1"/>
  <c r="AC38" i="1"/>
  <c r="AD38" i="1" s="1"/>
  <c r="AF38" i="1" s="1"/>
  <c r="X38" i="1"/>
  <c r="Y38" i="1" s="1"/>
  <c r="AA38" i="1" s="1"/>
  <c r="S38" i="1"/>
  <c r="T38" i="1" s="1"/>
  <c r="V38" i="1" s="1"/>
  <c r="N38" i="1"/>
  <c r="O38" i="1" s="1"/>
  <c r="Q38" i="1" s="1"/>
  <c r="I38" i="1"/>
  <c r="J38" i="1" s="1"/>
  <c r="L38" i="1" s="1"/>
  <c r="BG37" i="1"/>
  <c r="BH37" i="1" s="1"/>
  <c r="BJ37" i="1" s="1"/>
  <c r="BB37" i="1"/>
  <c r="BC37" i="1" s="1"/>
  <c r="BE37" i="1" s="1"/>
  <c r="AW37" i="1"/>
  <c r="AX37" i="1" s="1"/>
  <c r="AZ37" i="1" s="1"/>
  <c r="AR37" i="1"/>
  <c r="AS37" i="1" s="1"/>
  <c r="AU37" i="1" s="1"/>
  <c r="AM37" i="1"/>
  <c r="AN37" i="1" s="1"/>
  <c r="AP37" i="1" s="1"/>
  <c r="AH37" i="1"/>
  <c r="AI37" i="1" s="1"/>
  <c r="AK37" i="1" s="1"/>
  <c r="AC37" i="1"/>
  <c r="AD37" i="1" s="1"/>
  <c r="AF37" i="1" s="1"/>
  <c r="X37" i="1"/>
  <c r="Y37" i="1" s="1"/>
  <c r="AA37" i="1" s="1"/>
  <c r="S37" i="1"/>
  <c r="T37" i="1" s="1"/>
  <c r="V37" i="1" s="1"/>
  <c r="N37" i="1"/>
  <c r="O37" i="1" s="1"/>
  <c r="Q37" i="1" s="1"/>
  <c r="I37" i="1"/>
  <c r="J37" i="1" s="1"/>
  <c r="L37" i="1" s="1"/>
  <c r="BG36" i="1"/>
  <c r="BH36" i="1" s="1"/>
  <c r="BJ36" i="1" s="1"/>
  <c r="BB36" i="1"/>
  <c r="BC36" i="1" s="1"/>
  <c r="BE36" i="1" s="1"/>
  <c r="AW36" i="1"/>
  <c r="AX36" i="1" s="1"/>
  <c r="AZ36" i="1" s="1"/>
  <c r="AR36" i="1"/>
  <c r="AS36" i="1" s="1"/>
  <c r="AU36" i="1" s="1"/>
  <c r="AM36" i="1"/>
  <c r="AN36" i="1" s="1"/>
  <c r="AP36" i="1" s="1"/>
  <c r="AH36" i="1"/>
  <c r="AI36" i="1" s="1"/>
  <c r="AK36" i="1" s="1"/>
  <c r="AC36" i="1"/>
  <c r="AD36" i="1" s="1"/>
  <c r="AF36" i="1" s="1"/>
  <c r="X36" i="1"/>
  <c r="Y36" i="1" s="1"/>
  <c r="AA36" i="1" s="1"/>
  <c r="S36" i="1"/>
  <c r="T36" i="1" s="1"/>
  <c r="V36" i="1" s="1"/>
  <c r="N36" i="1"/>
  <c r="O36" i="1" s="1"/>
  <c r="Q36" i="1" s="1"/>
  <c r="I36" i="1"/>
  <c r="J36" i="1" s="1"/>
  <c r="L36" i="1" s="1"/>
  <c r="BG35" i="1"/>
  <c r="BH35" i="1" s="1"/>
  <c r="BJ35" i="1" s="1"/>
  <c r="BB35" i="1"/>
  <c r="BC35" i="1" s="1"/>
  <c r="BE35" i="1" s="1"/>
  <c r="AW35" i="1"/>
  <c r="AX35" i="1" s="1"/>
  <c r="AZ35" i="1" s="1"/>
  <c r="AR35" i="1"/>
  <c r="AS35" i="1" s="1"/>
  <c r="AU35" i="1" s="1"/>
  <c r="AM35" i="1"/>
  <c r="AN35" i="1" s="1"/>
  <c r="AP35" i="1" s="1"/>
  <c r="AH35" i="1"/>
  <c r="AI35" i="1" s="1"/>
  <c r="AK35" i="1" s="1"/>
  <c r="AC35" i="1"/>
  <c r="AD35" i="1" s="1"/>
  <c r="AF35" i="1" s="1"/>
  <c r="X35" i="1"/>
  <c r="Y35" i="1" s="1"/>
  <c r="AA35" i="1" s="1"/>
  <c r="S35" i="1"/>
  <c r="T35" i="1" s="1"/>
  <c r="V35" i="1" s="1"/>
  <c r="N35" i="1"/>
  <c r="O35" i="1" s="1"/>
  <c r="Q35" i="1" s="1"/>
  <c r="I35" i="1"/>
  <c r="J35" i="1" s="1"/>
  <c r="L35" i="1" s="1"/>
  <c r="BG34" i="1"/>
  <c r="BH34" i="1" s="1"/>
  <c r="BJ34" i="1" s="1"/>
  <c r="BB34" i="1"/>
  <c r="BC34" i="1" s="1"/>
  <c r="BE34" i="1" s="1"/>
  <c r="AW34" i="1"/>
  <c r="AX34" i="1" s="1"/>
  <c r="AZ34" i="1" s="1"/>
  <c r="AR34" i="1"/>
  <c r="AS34" i="1" s="1"/>
  <c r="AU34" i="1" s="1"/>
  <c r="AM34" i="1"/>
  <c r="AN34" i="1" s="1"/>
  <c r="AP34" i="1" s="1"/>
  <c r="AH34" i="1"/>
  <c r="AI34" i="1" s="1"/>
  <c r="AK34" i="1" s="1"/>
  <c r="AC34" i="1"/>
  <c r="AD34" i="1" s="1"/>
  <c r="AF34" i="1" s="1"/>
  <c r="X34" i="1"/>
  <c r="Y34" i="1" s="1"/>
  <c r="AA34" i="1" s="1"/>
  <c r="S34" i="1"/>
  <c r="T34" i="1" s="1"/>
  <c r="V34" i="1" s="1"/>
  <c r="N34" i="1"/>
  <c r="O34" i="1" s="1"/>
  <c r="Q34" i="1" s="1"/>
  <c r="I34" i="1"/>
  <c r="J34" i="1" s="1"/>
  <c r="L34" i="1" s="1"/>
  <c r="BG33" i="1"/>
  <c r="BH33" i="1" s="1"/>
  <c r="BJ33" i="1" s="1"/>
  <c r="BB33" i="1"/>
  <c r="BC33" i="1" s="1"/>
  <c r="BE33" i="1" s="1"/>
  <c r="AW33" i="1"/>
  <c r="AX33" i="1" s="1"/>
  <c r="AZ33" i="1" s="1"/>
  <c r="AR33" i="1"/>
  <c r="AS33" i="1" s="1"/>
  <c r="AU33" i="1" s="1"/>
  <c r="AM33" i="1"/>
  <c r="AN33" i="1" s="1"/>
  <c r="AP33" i="1" s="1"/>
  <c r="AH33" i="1"/>
  <c r="AI33" i="1" s="1"/>
  <c r="AK33" i="1" s="1"/>
  <c r="AC33" i="1"/>
  <c r="AD33" i="1" s="1"/>
  <c r="AF33" i="1" s="1"/>
  <c r="X33" i="1"/>
  <c r="Y33" i="1" s="1"/>
  <c r="AA33" i="1" s="1"/>
  <c r="S33" i="1"/>
  <c r="T33" i="1" s="1"/>
  <c r="V33" i="1" s="1"/>
  <c r="N33" i="1"/>
  <c r="O33" i="1" s="1"/>
  <c r="Q33" i="1" s="1"/>
  <c r="I33" i="1"/>
  <c r="J33" i="1" s="1"/>
  <c r="L33" i="1" s="1"/>
  <c r="BG32" i="1"/>
  <c r="BH32" i="1" s="1"/>
  <c r="BJ32" i="1" s="1"/>
  <c r="BB32" i="1"/>
  <c r="BC32" i="1" s="1"/>
  <c r="BE32" i="1" s="1"/>
  <c r="AW32" i="1"/>
  <c r="AX32" i="1" s="1"/>
  <c r="AZ32" i="1" s="1"/>
  <c r="AR32" i="1"/>
  <c r="AS32" i="1" s="1"/>
  <c r="AU32" i="1" s="1"/>
  <c r="AM32" i="1"/>
  <c r="AN32" i="1" s="1"/>
  <c r="AP32" i="1" s="1"/>
  <c r="AH32" i="1"/>
  <c r="AI32" i="1" s="1"/>
  <c r="AK32" i="1" s="1"/>
  <c r="AC32" i="1"/>
  <c r="AD32" i="1" s="1"/>
  <c r="AF32" i="1" s="1"/>
  <c r="X32" i="1"/>
  <c r="Y32" i="1" s="1"/>
  <c r="AA32" i="1" s="1"/>
  <c r="S32" i="1"/>
  <c r="T32" i="1" s="1"/>
  <c r="V32" i="1" s="1"/>
  <c r="N32" i="1"/>
  <c r="O32" i="1" s="1"/>
  <c r="Q32" i="1" s="1"/>
  <c r="I32" i="1"/>
  <c r="J32" i="1" s="1"/>
  <c r="L32" i="1" s="1"/>
  <c r="BG31" i="1"/>
  <c r="BH31" i="1" s="1"/>
  <c r="BJ31" i="1" s="1"/>
  <c r="BB31" i="1"/>
  <c r="BC31" i="1" s="1"/>
  <c r="BE31" i="1" s="1"/>
  <c r="AW31" i="1"/>
  <c r="AX31" i="1" s="1"/>
  <c r="AZ31" i="1" s="1"/>
  <c r="AR31" i="1"/>
  <c r="AS31" i="1" s="1"/>
  <c r="AU31" i="1" s="1"/>
  <c r="AM31" i="1"/>
  <c r="AN31" i="1" s="1"/>
  <c r="AP31" i="1" s="1"/>
  <c r="AH31" i="1"/>
  <c r="AI31" i="1" s="1"/>
  <c r="AK31" i="1" s="1"/>
  <c r="AC31" i="1"/>
  <c r="AD31" i="1" s="1"/>
  <c r="AF31" i="1" s="1"/>
  <c r="X31" i="1"/>
  <c r="Y31" i="1" s="1"/>
  <c r="AA31" i="1" s="1"/>
  <c r="S31" i="1"/>
  <c r="T31" i="1" s="1"/>
  <c r="V31" i="1" s="1"/>
  <c r="N31" i="1"/>
  <c r="O31" i="1" s="1"/>
  <c r="Q31" i="1" s="1"/>
  <c r="I31" i="1"/>
  <c r="J31" i="1" s="1"/>
  <c r="L31" i="1" s="1"/>
  <c r="BG30" i="1"/>
  <c r="BH30" i="1" s="1"/>
  <c r="BJ30" i="1" s="1"/>
  <c r="BB30" i="1"/>
  <c r="BC30" i="1" s="1"/>
  <c r="BE30" i="1" s="1"/>
  <c r="AW30" i="1"/>
  <c r="AX30" i="1" s="1"/>
  <c r="AZ30" i="1" s="1"/>
  <c r="AR30" i="1"/>
  <c r="AS30" i="1" s="1"/>
  <c r="AU30" i="1" s="1"/>
  <c r="AM30" i="1"/>
  <c r="AN30" i="1" s="1"/>
  <c r="AP30" i="1" s="1"/>
  <c r="AH30" i="1"/>
  <c r="AI30" i="1" s="1"/>
  <c r="AK30" i="1" s="1"/>
  <c r="AC30" i="1"/>
  <c r="AD30" i="1" s="1"/>
  <c r="AF30" i="1" s="1"/>
  <c r="X30" i="1"/>
  <c r="Y30" i="1" s="1"/>
  <c r="AA30" i="1" s="1"/>
  <c r="S30" i="1"/>
  <c r="T30" i="1" s="1"/>
  <c r="V30" i="1" s="1"/>
  <c r="N30" i="1"/>
  <c r="O30" i="1" s="1"/>
  <c r="Q30" i="1" s="1"/>
  <c r="I30" i="1"/>
  <c r="J30" i="1" s="1"/>
  <c r="L30" i="1" s="1"/>
  <c r="BG29" i="1"/>
  <c r="BH29" i="1" s="1"/>
  <c r="BJ29" i="1" s="1"/>
  <c r="BB29" i="1"/>
  <c r="BC29" i="1" s="1"/>
  <c r="BE29" i="1" s="1"/>
  <c r="AW29" i="1"/>
  <c r="AX29" i="1" s="1"/>
  <c r="AZ29" i="1" s="1"/>
  <c r="AR29" i="1"/>
  <c r="AS29" i="1" s="1"/>
  <c r="AU29" i="1" s="1"/>
  <c r="AM29" i="1"/>
  <c r="AN29" i="1" s="1"/>
  <c r="AP29" i="1" s="1"/>
  <c r="AH29" i="1"/>
  <c r="AI29" i="1" s="1"/>
  <c r="AK29" i="1" s="1"/>
  <c r="AC29" i="1"/>
  <c r="AD29" i="1" s="1"/>
  <c r="AF29" i="1" s="1"/>
  <c r="X29" i="1"/>
  <c r="Y29" i="1" s="1"/>
  <c r="AA29" i="1" s="1"/>
  <c r="S29" i="1"/>
  <c r="T29" i="1" s="1"/>
  <c r="V29" i="1" s="1"/>
  <c r="N29" i="1"/>
  <c r="O29" i="1" s="1"/>
  <c r="Q29" i="1" s="1"/>
  <c r="I29" i="1"/>
  <c r="J29" i="1" s="1"/>
  <c r="L29" i="1" s="1"/>
  <c r="BG28" i="1"/>
  <c r="BH28" i="1" s="1"/>
  <c r="BJ28" i="1" s="1"/>
  <c r="BB28" i="1"/>
  <c r="BC28" i="1" s="1"/>
  <c r="BE28" i="1" s="1"/>
  <c r="AW28" i="1"/>
  <c r="AX28" i="1" s="1"/>
  <c r="AZ28" i="1" s="1"/>
  <c r="AR28" i="1"/>
  <c r="AS28" i="1" s="1"/>
  <c r="AU28" i="1" s="1"/>
  <c r="AM28" i="1"/>
  <c r="AN28" i="1" s="1"/>
  <c r="AP28" i="1" s="1"/>
  <c r="AH28" i="1"/>
  <c r="AI28" i="1" s="1"/>
  <c r="AK28" i="1" s="1"/>
  <c r="AC28" i="1"/>
  <c r="AD28" i="1" s="1"/>
  <c r="AF28" i="1" s="1"/>
  <c r="X28" i="1"/>
  <c r="Y28" i="1" s="1"/>
  <c r="AA28" i="1" s="1"/>
  <c r="S28" i="1"/>
  <c r="T28" i="1" s="1"/>
  <c r="V28" i="1" s="1"/>
  <c r="N28" i="1"/>
  <c r="O28" i="1" s="1"/>
  <c r="Q28" i="1" s="1"/>
  <c r="I28" i="1"/>
  <c r="J28" i="1" s="1"/>
  <c r="L28" i="1" s="1"/>
  <c r="BG27" i="1"/>
  <c r="BH27" i="1" s="1"/>
  <c r="BJ27" i="1" s="1"/>
  <c r="BB27" i="1"/>
  <c r="BC27" i="1" s="1"/>
  <c r="BE27" i="1" s="1"/>
  <c r="AW27" i="1"/>
  <c r="AX27" i="1" s="1"/>
  <c r="AZ27" i="1" s="1"/>
  <c r="AR27" i="1"/>
  <c r="AS27" i="1" s="1"/>
  <c r="AU27" i="1" s="1"/>
  <c r="AM27" i="1"/>
  <c r="AN27" i="1" s="1"/>
  <c r="AP27" i="1" s="1"/>
  <c r="AH27" i="1"/>
  <c r="AI27" i="1" s="1"/>
  <c r="AK27" i="1" s="1"/>
  <c r="AC27" i="1"/>
  <c r="AD27" i="1" s="1"/>
  <c r="AF27" i="1" s="1"/>
  <c r="X27" i="1"/>
  <c r="Y27" i="1" s="1"/>
  <c r="AA27" i="1" s="1"/>
  <c r="S27" i="1"/>
  <c r="T27" i="1" s="1"/>
  <c r="V27" i="1" s="1"/>
  <c r="N27" i="1"/>
  <c r="O27" i="1" s="1"/>
  <c r="Q27" i="1" s="1"/>
  <c r="I27" i="1"/>
  <c r="J27" i="1" s="1"/>
  <c r="L27" i="1" s="1"/>
  <c r="BG26" i="1"/>
  <c r="BH26" i="1" s="1"/>
  <c r="BJ26" i="1" s="1"/>
  <c r="BB26" i="1"/>
  <c r="BC26" i="1" s="1"/>
  <c r="BE26" i="1" s="1"/>
  <c r="AW26" i="1"/>
  <c r="AX26" i="1" s="1"/>
  <c r="AZ26" i="1" s="1"/>
  <c r="AR26" i="1"/>
  <c r="AS26" i="1" s="1"/>
  <c r="AU26" i="1" s="1"/>
  <c r="AM26" i="1"/>
  <c r="AN26" i="1" s="1"/>
  <c r="AP26" i="1" s="1"/>
  <c r="AH26" i="1"/>
  <c r="AI26" i="1" s="1"/>
  <c r="AK26" i="1" s="1"/>
  <c r="AC26" i="1"/>
  <c r="AD26" i="1" s="1"/>
  <c r="AF26" i="1" s="1"/>
  <c r="X26" i="1"/>
  <c r="Y26" i="1" s="1"/>
  <c r="AA26" i="1" s="1"/>
  <c r="S26" i="1"/>
  <c r="T26" i="1" s="1"/>
  <c r="V26" i="1" s="1"/>
  <c r="N26" i="1"/>
  <c r="O26" i="1" s="1"/>
  <c r="Q26" i="1" s="1"/>
  <c r="I26" i="1"/>
  <c r="J26" i="1" s="1"/>
  <c r="L26" i="1" s="1"/>
  <c r="BG25" i="1"/>
  <c r="BH25" i="1" s="1"/>
  <c r="BJ25" i="1" s="1"/>
  <c r="BB25" i="1"/>
  <c r="BC25" i="1" s="1"/>
  <c r="BE25" i="1" s="1"/>
  <c r="AW25" i="1"/>
  <c r="AX25" i="1" s="1"/>
  <c r="AZ25" i="1" s="1"/>
  <c r="AR25" i="1"/>
  <c r="AS25" i="1" s="1"/>
  <c r="AU25" i="1" s="1"/>
  <c r="AM25" i="1"/>
  <c r="AN25" i="1" s="1"/>
  <c r="AP25" i="1" s="1"/>
  <c r="AH25" i="1"/>
  <c r="AI25" i="1" s="1"/>
  <c r="AK25" i="1" s="1"/>
  <c r="AC25" i="1"/>
  <c r="AD25" i="1" s="1"/>
  <c r="AF25" i="1" s="1"/>
  <c r="X25" i="1"/>
  <c r="Y25" i="1" s="1"/>
  <c r="AA25" i="1" s="1"/>
  <c r="S25" i="1"/>
  <c r="T25" i="1" s="1"/>
  <c r="V25" i="1" s="1"/>
  <c r="N25" i="1"/>
  <c r="O25" i="1" s="1"/>
  <c r="Q25" i="1" s="1"/>
  <c r="I25" i="1"/>
  <c r="J25" i="1" s="1"/>
  <c r="L25" i="1" s="1"/>
  <c r="BG24" i="1"/>
  <c r="BH24" i="1" s="1"/>
  <c r="BJ24" i="1" s="1"/>
  <c r="BB24" i="1"/>
  <c r="BC24" i="1" s="1"/>
  <c r="BE24" i="1" s="1"/>
  <c r="AW24" i="1"/>
  <c r="AX24" i="1" s="1"/>
  <c r="AZ24" i="1" s="1"/>
  <c r="AR24" i="1"/>
  <c r="AS24" i="1" s="1"/>
  <c r="AU24" i="1" s="1"/>
  <c r="AM24" i="1"/>
  <c r="AN24" i="1" s="1"/>
  <c r="AP24" i="1" s="1"/>
  <c r="AH24" i="1"/>
  <c r="AI24" i="1" s="1"/>
  <c r="AK24" i="1" s="1"/>
  <c r="AC24" i="1"/>
  <c r="AD24" i="1" s="1"/>
  <c r="AF24" i="1" s="1"/>
  <c r="X24" i="1"/>
  <c r="Y24" i="1" s="1"/>
  <c r="AA24" i="1" s="1"/>
  <c r="S24" i="1"/>
  <c r="T24" i="1" s="1"/>
  <c r="V24" i="1" s="1"/>
  <c r="N24" i="1"/>
  <c r="O24" i="1" s="1"/>
  <c r="Q24" i="1" s="1"/>
  <c r="I24" i="1"/>
  <c r="J24" i="1" s="1"/>
  <c r="L24" i="1" s="1"/>
  <c r="BG23" i="1"/>
  <c r="BH23" i="1" s="1"/>
  <c r="BJ23" i="1" s="1"/>
  <c r="BB23" i="1"/>
  <c r="BC23" i="1" s="1"/>
  <c r="BE23" i="1" s="1"/>
  <c r="AW23" i="1"/>
  <c r="AX23" i="1" s="1"/>
  <c r="AZ23" i="1" s="1"/>
  <c r="AR23" i="1"/>
  <c r="AS23" i="1" s="1"/>
  <c r="AU23" i="1" s="1"/>
  <c r="AM23" i="1"/>
  <c r="AN23" i="1" s="1"/>
  <c r="AP23" i="1" s="1"/>
  <c r="AH23" i="1"/>
  <c r="AI23" i="1" s="1"/>
  <c r="AK23" i="1" s="1"/>
  <c r="AC23" i="1"/>
  <c r="AD23" i="1" s="1"/>
  <c r="AF23" i="1" s="1"/>
  <c r="X23" i="1"/>
  <c r="Y23" i="1" s="1"/>
  <c r="AA23" i="1" s="1"/>
  <c r="S23" i="1"/>
  <c r="T23" i="1" s="1"/>
  <c r="V23" i="1" s="1"/>
  <c r="N23" i="1"/>
  <c r="O23" i="1" s="1"/>
  <c r="Q23" i="1" s="1"/>
  <c r="I23" i="1"/>
  <c r="J23" i="1" s="1"/>
  <c r="L23" i="1" s="1"/>
  <c r="BG22" i="1"/>
  <c r="BH22" i="1" s="1"/>
  <c r="BJ22" i="1" s="1"/>
  <c r="BB22" i="1"/>
  <c r="BC22" i="1" s="1"/>
  <c r="BE22" i="1" s="1"/>
  <c r="AW22" i="1"/>
  <c r="AX22" i="1" s="1"/>
  <c r="AZ22" i="1" s="1"/>
  <c r="AR22" i="1"/>
  <c r="AS22" i="1" s="1"/>
  <c r="AU22" i="1" s="1"/>
  <c r="AM22" i="1"/>
  <c r="AN22" i="1" s="1"/>
  <c r="AP22" i="1" s="1"/>
  <c r="AH22" i="1"/>
  <c r="AI22" i="1" s="1"/>
  <c r="AK22" i="1" s="1"/>
  <c r="AC22" i="1"/>
  <c r="AD22" i="1" s="1"/>
  <c r="AF22" i="1" s="1"/>
  <c r="X22" i="1"/>
  <c r="Y22" i="1" s="1"/>
  <c r="AA22" i="1" s="1"/>
  <c r="S22" i="1"/>
  <c r="T22" i="1" s="1"/>
  <c r="V22" i="1" s="1"/>
  <c r="N22" i="1"/>
  <c r="O22" i="1" s="1"/>
  <c r="Q22" i="1" s="1"/>
  <c r="I22" i="1"/>
  <c r="J22" i="1" s="1"/>
  <c r="L22" i="1" s="1"/>
  <c r="BG21" i="1"/>
  <c r="BH21" i="1" s="1"/>
  <c r="BJ21" i="1" s="1"/>
  <c r="BB21" i="1"/>
  <c r="BC21" i="1" s="1"/>
  <c r="BE21" i="1" s="1"/>
  <c r="AW21" i="1"/>
  <c r="AX21" i="1" s="1"/>
  <c r="AZ21" i="1" s="1"/>
  <c r="AR21" i="1"/>
  <c r="AS21" i="1" s="1"/>
  <c r="AU21" i="1" s="1"/>
  <c r="AM21" i="1"/>
  <c r="AN21" i="1" s="1"/>
  <c r="AP21" i="1" s="1"/>
  <c r="AH21" i="1"/>
  <c r="AI21" i="1" s="1"/>
  <c r="AK21" i="1" s="1"/>
  <c r="AC21" i="1"/>
  <c r="AD21" i="1" s="1"/>
  <c r="AF21" i="1" s="1"/>
  <c r="X21" i="1"/>
  <c r="Y21" i="1" s="1"/>
  <c r="AA21" i="1" s="1"/>
  <c r="S21" i="1"/>
  <c r="T21" i="1" s="1"/>
  <c r="V21" i="1" s="1"/>
  <c r="N21" i="1"/>
  <c r="O21" i="1" s="1"/>
  <c r="Q21" i="1" s="1"/>
  <c r="I21" i="1"/>
  <c r="J21" i="1" s="1"/>
  <c r="L21" i="1" s="1"/>
  <c r="BG20" i="1"/>
  <c r="BH20" i="1" s="1"/>
  <c r="BJ20" i="1" s="1"/>
  <c r="BB20" i="1"/>
  <c r="BC20" i="1" s="1"/>
  <c r="BE20" i="1" s="1"/>
  <c r="AW20" i="1"/>
  <c r="AX20" i="1" s="1"/>
  <c r="AZ20" i="1" s="1"/>
  <c r="AR20" i="1"/>
  <c r="AS20" i="1" s="1"/>
  <c r="AU20" i="1" s="1"/>
  <c r="AM20" i="1"/>
  <c r="AN20" i="1" s="1"/>
  <c r="AP20" i="1" s="1"/>
  <c r="AH20" i="1"/>
  <c r="AI20" i="1" s="1"/>
  <c r="AK20" i="1" s="1"/>
  <c r="AC20" i="1"/>
  <c r="AD20" i="1" s="1"/>
  <c r="AF20" i="1" s="1"/>
  <c r="X20" i="1"/>
  <c r="Y20" i="1" s="1"/>
  <c r="AA20" i="1" s="1"/>
  <c r="S20" i="1"/>
  <c r="T20" i="1" s="1"/>
  <c r="V20" i="1" s="1"/>
  <c r="N20" i="1"/>
  <c r="O20" i="1" s="1"/>
  <c r="Q20" i="1" s="1"/>
  <c r="I20" i="1"/>
  <c r="J20" i="1" s="1"/>
  <c r="L20" i="1" s="1"/>
  <c r="BG19" i="1"/>
  <c r="BH19" i="1" s="1"/>
  <c r="BJ19" i="1" s="1"/>
  <c r="BB19" i="1"/>
  <c r="BC19" i="1" s="1"/>
  <c r="BE19" i="1" s="1"/>
  <c r="AW19" i="1"/>
  <c r="AX19" i="1" s="1"/>
  <c r="AZ19" i="1" s="1"/>
  <c r="AR19" i="1"/>
  <c r="AS19" i="1" s="1"/>
  <c r="AU19" i="1" s="1"/>
  <c r="AM19" i="1"/>
  <c r="AN19" i="1" s="1"/>
  <c r="AP19" i="1" s="1"/>
  <c r="AH19" i="1"/>
  <c r="AI19" i="1" s="1"/>
  <c r="AK19" i="1" s="1"/>
  <c r="AC19" i="1"/>
  <c r="AD19" i="1" s="1"/>
  <c r="AF19" i="1" s="1"/>
  <c r="X19" i="1"/>
  <c r="Y19" i="1" s="1"/>
  <c r="AA19" i="1" s="1"/>
  <c r="S19" i="1"/>
  <c r="T19" i="1" s="1"/>
  <c r="V19" i="1" s="1"/>
  <c r="N19" i="1"/>
  <c r="O19" i="1" s="1"/>
  <c r="Q19" i="1" s="1"/>
  <c r="I19" i="1"/>
  <c r="J19" i="1" s="1"/>
  <c r="L19" i="1" s="1"/>
  <c r="BG18" i="1"/>
  <c r="BH18" i="1" s="1"/>
  <c r="BJ18" i="1" s="1"/>
  <c r="BB18" i="1"/>
  <c r="BC18" i="1" s="1"/>
  <c r="BE18" i="1" s="1"/>
  <c r="AW18" i="1"/>
  <c r="AX18" i="1" s="1"/>
  <c r="AZ18" i="1" s="1"/>
  <c r="AR18" i="1"/>
  <c r="AS18" i="1" s="1"/>
  <c r="AU18" i="1" s="1"/>
  <c r="AM18" i="1"/>
  <c r="AN18" i="1" s="1"/>
  <c r="AP18" i="1" s="1"/>
  <c r="AH18" i="1"/>
  <c r="AI18" i="1" s="1"/>
  <c r="AK18" i="1" s="1"/>
  <c r="AC18" i="1"/>
  <c r="AD18" i="1" s="1"/>
  <c r="AF18" i="1" s="1"/>
  <c r="X18" i="1"/>
  <c r="Y18" i="1" s="1"/>
  <c r="AA18" i="1" s="1"/>
  <c r="S18" i="1"/>
  <c r="T18" i="1" s="1"/>
  <c r="V18" i="1" s="1"/>
  <c r="N18" i="1"/>
  <c r="O18" i="1" s="1"/>
  <c r="Q18" i="1" s="1"/>
  <c r="I18" i="1"/>
  <c r="J18" i="1" s="1"/>
  <c r="L18" i="1" s="1"/>
  <c r="BG17" i="1"/>
  <c r="BH17" i="1" s="1"/>
  <c r="BJ17" i="1" s="1"/>
  <c r="BB17" i="1"/>
  <c r="BC17" i="1" s="1"/>
  <c r="BE17" i="1" s="1"/>
  <c r="AW17" i="1"/>
  <c r="AX17" i="1" s="1"/>
  <c r="AZ17" i="1" s="1"/>
  <c r="AR17" i="1"/>
  <c r="AS17" i="1" s="1"/>
  <c r="AU17" i="1" s="1"/>
  <c r="AM17" i="1"/>
  <c r="AN17" i="1" s="1"/>
  <c r="AP17" i="1" s="1"/>
  <c r="AH17" i="1"/>
  <c r="AI17" i="1" s="1"/>
  <c r="AK17" i="1" s="1"/>
  <c r="AC17" i="1"/>
  <c r="AD17" i="1" s="1"/>
  <c r="AF17" i="1" s="1"/>
  <c r="X17" i="1"/>
  <c r="Y17" i="1" s="1"/>
  <c r="AA17" i="1" s="1"/>
  <c r="S17" i="1"/>
  <c r="T17" i="1" s="1"/>
  <c r="V17" i="1" s="1"/>
  <c r="N17" i="1"/>
  <c r="O17" i="1" s="1"/>
  <c r="Q17" i="1" s="1"/>
  <c r="I17" i="1"/>
  <c r="J17" i="1" s="1"/>
  <c r="L17" i="1" s="1"/>
  <c r="BG16" i="1"/>
  <c r="BH16" i="1" s="1"/>
  <c r="BJ16" i="1" s="1"/>
  <c r="BB16" i="1"/>
  <c r="BC16" i="1" s="1"/>
  <c r="BE16" i="1" s="1"/>
  <c r="AW16" i="1"/>
  <c r="AX16" i="1" s="1"/>
  <c r="AZ16" i="1" s="1"/>
  <c r="AR16" i="1"/>
  <c r="AS16" i="1" s="1"/>
  <c r="AU16" i="1" s="1"/>
  <c r="AM16" i="1"/>
  <c r="AN16" i="1" s="1"/>
  <c r="AP16" i="1" s="1"/>
  <c r="AH16" i="1"/>
  <c r="AI16" i="1" s="1"/>
  <c r="AK16" i="1" s="1"/>
  <c r="AC16" i="1"/>
  <c r="AD16" i="1" s="1"/>
  <c r="AF16" i="1" s="1"/>
  <c r="X16" i="1"/>
  <c r="Y16" i="1" s="1"/>
  <c r="AA16" i="1" s="1"/>
  <c r="S16" i="1"/>
  <c r="T16" i="1" s="1"/>
  <c r="V16" i="1" s="1"/>
  <c r="N16" i="1"/>
  <c r="O16" i="1" s="1"/>
  <c r="Q16" i="1" s="1"/>
  <c r="I16" i="1"/>
  <c r="J16" i="1" s="1"/>
  <c r="L16" i="1" s="1"/>
  <c r="BG15" i="1"/>
  <c r="BH15" i="1" s="1"/>
  <c r="BJ15" i="1" s="1"/>
  <c r="BB15" i="1"/>
  <c r="BC15" i="1" s="1"/>
  <c r="BE15" i="1" s="1"/>
  <c r="AW15" i="1"/>
  <c r="AX15" i="1" s="1"/>
  <c r="AZ15" i="1" s="1"/>
  <c r="AR15" i="1"/>
  <c r="AS15" i="1" s="1"/>
  <c r="AU15" i="1" s="1"/>
  <c r="AM15" i="1"/>
  <c r="AN15" i="1" s="1"/>
  <c r="AP15" i="1" s="1"/>
  <c r="AH15" i="1"/>
  <c r="AI15" i="1" s="1"/>
  <c r="AK15" i="1" s="1"/>
  <c r="AC15" i="1"/>
  <c r="AD15" i="1" s="1"/>
  <c r="AF15" i="1" s="1"/>
  <c r="X15" i="1"/>
  <c r="Y15" i="1" s="1"/>
  <c r="AA15" i="1" s="1"/>
  <c r="S15" i="1"/>
  <c r="T15" i="1" s="1"/>
  <c r="V15" i="1" s="1"/>
  <c r="N15" i="1"/>
  <c r="O15" i="1" s="1"/>
  <c r="Q15" i="1" s="1"/>
  <c r="I15" i="1"/>
  <c r="J15" i="1" s="1"/>
  <c r="L15" i="1" s="1"/>
  <c r="BG14" i="1"/>
  <c r="BH14" i="1" s="1"/>
  <c r="BJ14" i="1" s="1"/>
  <c r="BB14" i="1"/>
  <c r="BC14" i="1" s="1"/>
  <c r="BE14" i="1" s="1"/>
  <c r="AW14" i="1"/>
  <c r="AX14" i="1" s="1"/>
  <c r="AZ14" i="1" s="1"/>
  <c r="AR14" i="1"/>
  <c r="AS14" i="1" s="1"/>
  <c r="AU14" i="1" s="1"/>
  <c r="AM14" i="1"/>
  <c r="AN14" i="1" s="1"/>
  <c r="AP14" i="1" s="1"/>
  <c r="AH14" i="1"/>
  <c r="AI14" i="1" s="1"/>
  <c r="AK14" i="1" s="1"/>
  <c r="AC14" i="1"/>
  <c r="AD14" i="1" s="1"/>
  <c r="AF14" i="1" s="1"/>
  <c r="X14" i="1"/>
  <c r="Y14" i="1" s="1"/>
  <c r="AA14" i="1" s="1"/>
  <c r="S14" i="1"/>
  <c r="T14" i="1" s="1"/>
  <c r="V14" i="1" s="1"/>
  <c r="N14" i="1"/>
  <c r="O14" i="1" s="1"/>
  <c r="Q14" i="1" s="1"/>
  <c r="I14" i="1"/>
  <c r="J14" i="1" s="1"/>
  <c r="L14" i="1" s="1"/>
  <c r="BG13" i="1"/>
  <c r="BH13" i="1" s="1"/>
  <c r="BJ13" i="1" s="1"/>
  <c r="BB13" i="1"/>
  <c r="BC13" i="1" s="1"/>
  <c r="BE13" i="1" s="1"/>
  <c r="AW13" i="1"/>
  <c r="AX13" i="1" s="1"/>
  <c r="AZ13" i="1" s="1"/>
  <c r="AR13" i="1"/>
  <c r="AS13" i="1" s="1"/>
  <c r="AU13" i="1" s="1"/>
  <c r="AM13" i="1"/>
  <c r="AN13" i="1" s="1"/>
  <c r="AP13" i="1" s="1"/>
  <c r="AH13" i="1"/>
  <c r="AI13" i="1" s="1"/>
  <c r="AK13" i="1" s="1"/>
  <c r="AC13" i="1"/>
  <c r="AD13" i="1" s="1"/>
  <c r="AF13" i="1" s="1"/>
  <c r="X13" i="1"/>
  <c r="Y13" i="1" s="1"/>
  <c r="AA13" i="1" s="1"/>
  <c r="S13" i="1"/>
  <c r="T13" i="1" s="1"/>
  <c r="V13" i="1" s="1"/>
  <c r="N13" i="1"/>
  <c r="O13" i="1" s="1"/>
  <c r="Q13" i="1" s="1"/>
  <c r="I13" i="1"/>
  <c r="J13" i="1" s="1"/>
  <c r="L13" i="1" s="1"/>
  <c r="BG12" i="1"/>
  <c r="BH12" i="1" s="1"/>
  <c r="BJ12" i="1" s="1"/>
  <c r="BB12" i="1"/>
  <c r="BC12" i="1" s="1"/>
  <c r="BE12" i="1" s="1"/>
  <c r="AW12" i="1"/>
  <c r="AX12" i="1" s="1"/>
  <c r="AZ12" i="1" s="1"/>
  <c r="AR12" i="1"/>
  <c r="AS12" i="1" s="1"/>
  <c r="AU12" i="1" s="1"/>
  <c r="AM12" i="1"/>
  <c r="AN12" i="1" s="1"/>
  <c r="AP12" i="1" s="1"/>
  <c r="AH12" i="1"/>
  <c r="AI12" i="1" s="1"/>
  <c r="AK12" i="1" s="1"/>
  <c r="AC12" i="1"/>
  <c r="AD12" i="1" s="1"/>
  <c r="AF12" i="1" s="1"/>
  <c r="X12" i="1"/>
  <c r="Y12" i="1" s="1"/>
  <c r="AA12" i="1" s="1"/>
  <c r="S12" i="1"/>
  <c r="T12" i="1" s="1"/>
  <c r="V12" i="1" s="1"/>
  <c r="N12" i="1"/>
  <c r="O12" i="1" s="1"/>
  <c r="Q12" i="1" s="1"/>
  <c r="I12" i="1"/>
  <c r="J12" i="1" s="1"/>
  <c r="L12" i="1" s="1"/>
  <c r="BG11" i="1"/>
  <c r="BH11" i="1" s="1"/>
  <c r="BJ11" i="1" s="1"/>
  <c r="BB11" i="1"/>
  <c r="BC11" i="1" s="1"/>
  <c r="BE11" i="1" s="1"/>
  <c r="AW11" i="1"/>
  <c r="AX11" i="1" s="1"/>
  <c r="AZ11" i="1" s="1"/>
  <c r="AR11" i="1"/>
  <c r="AS11" i="1" s="1"/>
  <c r="AU11" i="1" s="1"/>
  <c r="AM11" i="1"/>
  <c r="AN11" i="1" s="1"/>
  <c r="AP11" i="1" s="1"/>
  <c r="AH11" i="1"/>
  <c r="AI11" i="1" s="1"/>
  <c r="AK11" i="1" s="1"/>
  <c r="AC11" i="1"/>
  <c r="AD11" i="1" s="1"/>
  <c r="AF11" i="1" s="1"/>
  <c r="X11" i="1"/>
  <c r="Y11" i="1" s="1"/>
  <c r="AA11" i="1" s="1"/>
  <c r="S11" i="1"/>
  <c r="T11" i="1" s="1"/>
  <c r="V11" i="1" s="1"/>
  <c r="N11" i="1"/>
  <c r="O11" i="1" s="1"/>
  <c r="Q11" i="1" s="1"/>
  <c r="I11" i="1"/>
  <c r="J11" i="1" s="1"/>
  <c r="L11" i="1" s="1"/>
  <c r="BG10" i="1"/>
  <c r="BH10" i="1" s="1"/>
  <c r="BJ10" i="1" s="1"/>
  <c r="BB10" i="1"/>
  <c r="BC10" i="1" s="1"/>
  <c r="BE10" i="1" s="1"/>
  <c r="AW10" i="1"/>
  <c r="AX10" i="1" s="1"/>
  <c r="AZ10" i="1" s="1"/>
  <c r="AR10" i="1"/>
  <c r="AS10" i="1" s="1"/>
  <c r="AU10" i="1" s="1"/>
  <c r="AM10" i="1"/>
  <c r="AN10" i="1" s="1"/>
  <c r="AP10" i="1" s="1"/>
  <c r="AH10" i="1"/>
  <c r="AI10" i="1" s="1"/>
  <c r="AK10" i="1" s="1"/>
  <c r="AC10" i="1"/>
  <c r="AD10" i="1" s="1"/>
  <c r="AF10" i="1" s="1"/>
  <c r="X10" i="1"/>
  <c r="Y10" i="1" s="1"/>
  <c r="AA10" i="1" s="1"/>
  <c r="S10" i="1"/>
  <c r="T10" i="1" s="1"/>
  <c r="V10" i="1" s="1"/>
  <c r="N10" i="1"/>
  <c r="O10" i="1" s="1"/>
  <c r="Q10" i="1" s="1"/>
  <c r="I10" i="1"/>
  <c r="J10" i="1" s="1"/>
  <c r="L10" i="1" s="1"/>
  <c r="BG9" i="1"/>
  <c r="BH9" i="1" s="1"/>
  <c r="BJ9" i="1" s="1"/>
  <c r="BB9" i="1"/>
  <c r="BC9" i="1" s="1"/>
  <c r="BE9" i="1" s="1"/>
  <c r="AW9" i="1"/>
  <c r="AX9" i="1" s="1"/>
  <c r="AZ9" i="1" s="1"/>
  <c r="AR9" i="1"/>
  <c r="AS9" i="1" s="1"/>
  <c r="AU9" i="1" s="1"/>
  <c r="AM9" i="1"/>
  <c r="AN9" i="1" s="1"/>
  <c r="AP9" i="1" s="1"/>
  <c r="AH9" i="1"/>
  <c r="AI9" i="1" s="1"/>
  <c r="AK9" i="1" s="1"/>
  <c r="AC9" i="1"/>
  <c r="AD9" i="1" s="1"/>
  <c r="AF9" i="1" s="1"/>
  <c r="X9" i="1"/>
  <c r="Y9" i="1" s="1"/>
  <c r="AA9" i="1" s="1"/>
  <c r="S9" i="1"/>
  <c r="T9" i="1" s="1"/>
  <c r="V9" i="1" s="1"/>
  <c r="N9" i="1"/>
  <c r="O9" i="1" s="1"/>
  <c r="Q9" i="1" s="1"/>
  <c r="I9" i="1"/>
  <c r="J9" i="1" s="1"/>
  <c r="L9" i="1" s="1"/>
  <c r="BG8" i="1"/>
  <c r="BH8" i="1" s="1"/>
  <c r="BJ8" i="1" s="1"/>
  <c r="BB8" i="1"/>
  <c r="BC8" i="1" s="1"/>
  <c r="BE8" i="1" s="1"/>
  <c r="AW8" i="1"/>
  <c r="AX8" i="1" s="1"/>
  <c r="AZ8" i="1" s="1"/>
  <c r="AR8" i="1"/>
  <c r="AS8" i="1" s="1"/>
  <c r="AU8" i="1" s="1"/>
  <c r="AM8" i="1"/>
  <c r="AN8" i="1" s="1"/>
  <c r="AP8" i="1" s="1"/>
  <c r="AH8" i="1"/>
  <c r="AI8" i="1" s="1"/>
  <c r="AK8" i="1" s="1"/>
  <c r="AC8" i="1"/>
  <c r="AD8" i="1" s="1"/>
  <c r="AF8" i="1" s="1"/>
  <c r="X8" i="1"/>
  <c r="Y8" i="1" s="1"/>
  <c r="AA8" i="1" s="1"/>
  <c r="S8" i="1"/>
  <c r="T8" i="1" s="1"/>
  <c r="V8" i="1" s="1"/>
  <c r="N8" i="1"/>
  <c r="O8" i="1" s="1"/>
  <c r="Q8" i="1" s="1"/>
  <c r="I8" i="1"/>
  <c r="J8" i="1" s="1"/>
  <c r="L8" i="1" s="1"/>
  <c r="BG7" i="1"/>
  <c r="BH7" i="1" s="1"/>
  <c r="BJ7" i="1" s="1"/>
  <c r="BB7" i="1"/>
  <c r="BC7" i="1" s="1"/>
  <c r="BE7" i="1" s="1"/>
  <c r="AW7" i="1"/>
  <c r="AX7" i="1" s="1"/>
  <c r="AZ7" i="1" s="1"/>
  <c r="AR7" i="1"/>
  <c r="AS7" i="1" s="1"/>
  <c r="AU7" i="1" s="1"/>
  <c r="AM7" i="1"/>
  <c r="AN7" i="1" s="1"/>
  <c r="AP7" i="1" s="1"/>
  <c r="AH7" i="1"/>
  <c r="AI7" i="1" s="1"/>
  <c r="AK7" i="1" s="1"/>
  <c r="AC7" i="1"/>
  <c r="AD7" i="1" s="1"/>
  <c r="AF7" i="1" s="1"/>
  <c r="X7" i="1"/>
  <c r="Y7" i="1" s="1"/>
  <c r="AA7" i="1" s="1"/>
  <c r="S7" i="1"/>
  <c r="T7" i="1" s="1"/>
  <c r="V7" i="1" s="1"/>
  <c r="N7" i="1"/>
  <c r="O7" i="1" s="1"/>
  <c r="Q7" i="1" s="1"/>
  <c r="I7" i="1"/>
  <c r="J7" i="1" s="1"/>
  <c r="L7" i="1" s="1"/>
  <c r="BG6" i="1"/>
  <c r="BH6" i="1" s="1"/>
  <c r="BJ6" i="1" s="1"/>
  <c r="BB6" i="1"/>
  <c r="BC6" i="1" s="1"/>
  <c r="BE6" i="1" s="1"/>
  <c r="AW6" i="1"/>
  <c r="AX6" i="1" s="1"/>
  <c r="AZ6" i="1" s="1"/>
  <c r="AR6" i="1"/>
  <c r="AS6" i="1" s="1"/>
  <c r="AU6" i="1" s="1"/>
  <c r="AM6" i="1"/>
  <c r="AN6" i="1" s="1"/>
  <c r="AP6" i="1" s="1"/>
  <c r="AH6" i="1"/>
  <c r="AI6" i="1" s="1"/>
  <c r="AK6" i="1" s="1"/>
  <c r="AC6" i="1"/>
  <c r="AD6" i="1" s="1"/>
  <c r="AF6" i="1" s="1"/>
  <c r="X6" i="1"/>
  <c r="Y6" i="1" s="1"/>
  <c r="AA6" i="1" s="1"/>
  <c r="S6" i="1"/>
  <c r="T6" i="1" s="1"/>
  <c r="V6" i="1" s="1"/>
  <c r="N6" i="1"/>
  <c r="O6" i="1" s="1"/>
  <c r="Q6" i="1" s="1"/>
  <c r="I6" i="1"/>
  <c r="J6" i="1" s="1"/>
  <c r="L6" i="1" s="1"/>
  <c r="BG5" i="1"/>
  <c r="BH5" i="1" s="1"/>
  <c r="BJ5" i="1" s="1"/>
  <c r="BB5" i="1"/>
  <c r="BC5" i="1" s="1"/>
  <c r="BE5" i="1" s="1"/>
  <c r="AW5" i="1"/>
  <c r="AX5" i="1" s="1"/>
  <c r="AZ5" i="1" s="1"/>
  <c r="AR5" i="1"/>
  <c r="AS5" i="1" s="1"/>
  <c r="AU5" i="1" s="1"/>
  <c r="AM5" i="1"/>
  <c r="AN5" i="1" s="1"/>
  <c r="AP5" i="1" s="1"/>
  <c r="AH5" i="1"/>
  <c r="AI5" i="1" s="1"/>
  <c r="AK5" i="1" s="1"/>
  <c r="AC5" i="1"/>
  <c r="AD5" i="1" s="1"/>
  <c r="AF5" i="1" s="1"/>
  <c r="X5" i="1"/>
  <c r="Y5" i="1" s="1"/>
  <c r="AA5" i="1" s="1"/>
  <c r="S5" i="1"/>
  <c r="T5" i="1" s="1"/>
  <c r="V5" i="1" s="1"/>
  <c r="N5" i="1"/>
  <c r="O5" i="1" s="1"/>
  <c r="Q5" i="1" s="1"/>
  <c r="I5" i="1"/>
  <c r="J5" i="1" s="1"/>
  <c r="L5" i="1" s="1"/>
  <c r="BG4" i="1"/>
  <c r="BH4" i="1" s="1"/>
  <c r="BJ4" i="1" s="1"/>
  <c r="BB4" i="1"/>
  <c r="BC4" i="1" s="1"/>
  <c r="BE4" i="1" s="1"/>
  <c r="AW4" i="1"/>
  <c r="AX4" i="1" s="1"/>
  <c r="AZ4" i="1" s="1"/>
  <c r="AR4" i="1"/>
  <c r="AS4" i="1" s="1"/>
  <c r="AU4" i="1" s="1"/>
  <c r="AM4" i="1"/>
  <c r="AN4" i="1" s="1"/>
  <c r="AP4" i="1" s="1"/>
  <c r="AH4" i="1"/>
  <c r="AI4" i="1" s="1"/>
  <c r="AK4" i="1" s="1"/>
  <c r="AC4" i="1"/>
  <c r="AD4" i="1" s="1"/>
  <c r="AF4" i="1" s="1"/>
  <c r="X4" i="1"/>
  <c r="Y4" i="1" s="1"/>
  <c r="AA4" i="1" s="1"/>
  <c r="S4" i="1"/>
  <c r="T4" i="1" s="1"/>
  <c r="V4" i="1" s="1"/>
  <c r="N4" i="1"/>
  <c r="O4" i="1" s="1"/>
  <c r="Q4" i="1" s="1"/>
  <c r="I4" i="1"/>
  <c r="J4" i="1" s="1"/>
  <c r="L4" i="1" s="1"/>
  <c r="BG3" i="1"/>
  <c r="BH3" i="1" s="1"/>
  <c r="BJ3" i="1" s="1"/>
  <c r="BB3" i="1"/>
  <c r="BC3" i="1" s="1"/>
  <c r="BE3" i="1" s="1"/>
  <c r="AW3" i="1"/>
  <c r="AX3" i="1" s="1"/>
  <c r="AZ3" i="1" s="1"/>
  <c r="AR3" i="1"/>
  <c r="AS3" i="1" s="1"/>
  <c r="AU3" i="1" s="1"/>
  <c r="AM3" i="1"/>
  <c r="AN3" i="1" s="1"/>
  <c r="AP3" i="1" s="1"/>
  <c r="AH3" i="1"/>
  <c r="AI3" i="1" s="1"/>
  <c r="AK3" i="1" s="1"/>
  <c r="AC3" i="1"/>
  <c r="AD3" i="1" s="1"/>
  <c r="AF3" i="1" s="1"/>
  <c r="X3" i="1"/>
  <c r="Y3" i="1" s="1"/>
  <c r="AA3" i="1" s="1"/>
  <c r="S3" i="1"/>
  <c r="T3" i="1" s="1"/>
  <c r="V3" i="1" s="1"/>
  <c r="N3" i="1"/>
  <c r="O3" i="1" s="1"/>
  <c r="Q3" i="1" s="1"/>
  <c r="I3" i="1"/>
  <c r="J3" i="1" s="1"/>
  <c r="L3" i="1" s="1"/>
  <c r="DV51" i="1" l="1"/>
  <c r="DV15" i="1"/>
  <c r="DV50" i="1"/>
  <c r="DV32" i="1"/>
  <c r="DV14" i="1"/>
  <c r="DW49" i="1"/>
  <c r="DW31" i="1"/>
  <c r="DW13" i="1"/>
  <c r="DV48" i="1"/>
  <c r="DV39" i="1"/>
  <c r="DV30" i="1"/>
  <c r="DV21" i="1"/>
  <c r="DV12" i="1"/>
  <c r="DW33" i="1"/>
  <c r="DW47" i="1"/>
  <c r="DW38" i="1"/>
  <c r="DW29" i="1"/>
  <c r="DW20" i="1"/>
  <c r="DW11" i="1"/>
</calcChain>
</file>

<file path=xl/sharedStrings.xml><?xml version="1.0" encoding="utf-8"?>
<sst xmlns="http://schemas.openxmlformats.org/spreadsheetml/2006/main" count="347" uniqueCount="199">
  <si>
    <t>NO</t>
  </si>
  <si>
    <t>NAMA MAHASISWA</t>
  </si>
  <si>
    <t>NIM</t>
  </si>
  <si>
    <t>Falsafah Dan Teori Keperawatan</t>
  </si>
  <si>
    <t>Sistem Informasi Keperawatan</t>
  </si>
  <si>
    <t>Keperawatan Menjelang Ajal Dan Paliatif</t>
  </si>
  <si>
    <t>Kesehatan Matra Laut</t>
  </si>
  <si>
    <t>Toefl And IELTS Preparation Of Nursing Journal</t>
  </si>
  <si>
    <t>Keperawatan Kesehatan Reproduksi</t>
  </si>
  <si>
    <t>KEPERAWATAN DEWASA 1(SISTEM KARDIOVASKULER, RESPIRASI, HEMATOLOGI, ENDOKRIN, PENCERNAAN DAN PERKEMIHAN)</t>
  </si>
  <si>
    <t>KEPERAWATAN ANAK</t>
  </si>
  <si>
    <t>METODOLOGI PENELITIAN</t>
  </si>
  <si>
    <t>BIOSTATISTIK</t>
  </si>
  <si>
    <t>ASUHAN KEPERAWATAN PENYAKIT TROPIS DAN DEGENERATIF.</t>
  </si>
  <si>
    <t>IPS</t>
  </si>
  <si>
    <t>IPK</t>
  </si>
  <si>
    <t>Nilai</t>
  </si>
  <si>
    <t>LMB</t>
  </si>
  <si>
    <t>MUTU</t>
  </si>
  <si>
    <t>SKS</t>
  </si>
  <si>
    <t>JML</t>
  </si>
  <si>
    <t>ABANG SUHERMANTRI</t>
  </si>
  <si>
    <t>Abdul Karim</t>
  </si>
  <si>
    <t>Ana Kurnia Putri</t>
  </si>
  <si>
    <t>Andi Wilya Astuti</t>
  </si>
  <si>
    <t>Arfina Riyanti</t>
  </si>
  <si>
    <t>Asmawida</t>
  </si>
  <si>
    <t>Citra Rachmanda Putri</t>
  </si>
  <si>
    <t>Endah Pujiastuti</t>
  </si>
  <si>
    <t>Erni Yuliyanti</t>
  </si>
  <si>
    <t>Fahruddin</t>
  </si>
  <si>
    <t>Gotti Martein Abdinusa Batubara</t>
  </si>
  <si>
    <t>Ila Sutrawati</t>
  </si>
  <si>
    <t>Ilham Sujandi</t>
  </si>
  <si>
    <t>Istihanah</t>
  </si>
  <si>
    <t>Izanawati</t>
  </si>
  <si>
    <t>Jusrian Syah Utama</t>
  </si>
  <si>
    <t>Kamelia</t>
  </si>
  <si>
    <t>Katarina</t>
  </si>
  <si>
    <t>KUSMARSARI</t>
  </si>
  <si>
    <t>Luat Marsatti Lukas Pasaribu</t>
  </si>
  <si>
    <t>M. Sawalludinillah</t>
  </si>
  <si>
    <t>Maylani Widiastuti</t>
  </si>
  <si>
    <t>Muhammad Nur</t>
  </si>
  <si>
    <t>Mutia Farida</t>
  </si>
  <si>
    <t>Novi Yarni</t>
  </si>
  <si>
    <t>Nurina Purnamasary</t>
  </si>
  <si>
    <t>Nurizal</t>
  </si>
  <si>
    <t>Nurul Shabrina</t>
  </si>
  <si>
    <t>Oki Alda</t>
  </si>
  <si>
    <t>Oky Ristiadi</t>
  </si>
  <si>
    <t>Rakhmatika Sari</t>
  </si>
  <si>
    <t>Rekmawati</t>
  </si>
  <si>
    <t>Rival Dinata</t>
  </si>
  <si>
    <t>Rusmiati</t>
  </si>
  <si>
    <t>Sri Oktavera</t>
  </si>
  <si>
    <t>Sulastri</t>
  </si>
  <si>
    <t>Sunyoto Wahyu Utomo</t>
  </si>
  <si>
    <t>Susbetri Yeni</t>
  </si>
  <si>
    <t>Syarifah Shoumy</t>
  </si>
  <si>
    <t>Wan Asmiarti</t>
  </si>
  <si>
    <t>Wan Nuraini</t>
  </si>
  <si>
    <t>Wan Rahmadalisa</t>
  </si>
  <si>
    <t>Widia Jannatul Amani</t>
  </si>
  <si>
    <t>Wirdani Selian</t>
  </si>
  <si>
    <t>Yanti</t>
  </si>
  <si>
    <t>Yeni Susilawati</t>
  </si>
  <si>
    <t>Yenti Adriani</t>
  </si>
  <si>
    <t>Yosy Maisyah</t>
  </si>
  <si>
    <t>Yusmira</t>
  </si>
  <si>
    <t>Yessi Apria Novita</t>
  </si>
  <si>
    <t>Zaleha</t>
  </si>
  <si>
    <t>Tempat Lahir</t>
  </si>
  <si>
    <t>Tanggal Lahir</t>
  </si>
  <si>
    <t>No Transkip</t>
  </si>
  <si>
    <t>Tanggal Lulus</t>
  </si>
  <si>
    <t>Ela</t>
  </si>
  <si>
    <t>KEPERAWATAN PSIKIATRI</t>
  </si>
  <si>
    <t>PERAWATAN LUKA MODERN</t>
  </si>
  <si>
    <t>KEPERAWATAN AGREGAT KOMUNITAS</t>
  </si>
  <si>
    <t>KEPERAWATAN DEWASA 2 (SISTEM IMUNOLOGI, MUSKULOSKELETAL, INTEGUMEN, PERSEPSI SENSORI DAN PERSARAFAN)</t>
  </si>
  <si>
    <t>KEPERAWATAN KELUARGA</t>
  </si>
  <si>
    <t>KEPERAWATAN KRITIS</t>
  </si>
  <si>
    <t>KEPERAWATAN GERONTIK</t>
  </si>
  <si>
    <t>KEPERAWATAN BENCANA</t>
  </si>
  <si>
    <t>KEWIRAUSAHAAN DALAM KEPERAWATAN</t>
  </si>
  <si>
    <t>MANAJEMEN KEPERAWATAN</t>
  </si>
  <si>
    <t>SKRIPSI</t>
  </si>
  <si>
    <t>SMT 2</t>
  </si>
  <si>
    <t>TN</t>
  </si>
  <si>
    <t>TB</t>
  </si>
  <si>
    <t>N2</t>
  </si>
  <si>
    <t>B2</t>
  </si>
  <si>
    <t>Badau</t>
  </si>
  <si>
    <t>30 Maret 1983</t>
  </si>
  <si>
    <t>Sedanau</t>
  </si>
  <si>
    <t>07 Mei 1987</t>
  </si>
  <si>
    <t>Durai</t>
  </si>
  <si>
    <t>04 Februari 1986</t>
  </si>
  <si>
    <t>Padang Kurak</t>
  </si>
  <si>
    <t>07 Juli 1986</t>
  </si>
  <si>
    <t xml:space="preserve"> 24 September 1986</t>
  </si>
  <si>
    <t>Cemaga</t>
  </si>
  <si>
    <t xml:space="preserve">Rantaubais, </t>
  </si>
  <si>
    <t>02 Juli 1984</t>
  </si>
  <si>
    <t>Pekanbaru</t>
  </si>
  <si>
    <t>28 Oktober 1981</t>
  </si>
  <si>
    <t>09 Juni 1989</t>
  </si>
  <si>
    <t>Air Lengit</t>
  </si>
  <si>
    <t>Jatiwangi</t>
  </si>
  <si>
    <t xml:space="preserve"> 22 Juli 1984</t>
  </si>
  <si>
    <t>07 Juli 1987</t>
  </si>
  <si>
    <t>06 Mei 1986</t>
  </si>
  <si>
    <t>Tanjungpinang</t>
  </si>
  <si>
    <t xml:space="preserve"> 12 April 1083</t>
  </si>
  <si>
    <t>Kijang</t>
  </si>
  <si>
    <t>Subi</t>
  </si>
  <si>
    <t xml:space="preserve"> 09 September 1983</t>
  </si>
  <si>
    <t>06 Juli 1993</t>
  </si>
  <si>
    <t>Midai</t>
  </si>
  <si>
    <t>24 Juli 1979</t>
  </si>
  <si>
    <t>Letung</t>
  </si>
  <si>
    <t>14 Oktober 1981</t>
  </si>
  <si>
    <t>Dabo Singkep</t>
  </si>
  <si>
    <t>20 Mei 1984</t>
  </si>
  <si>
    <t>Ranai</t>
  </si>
  <si>
    <t>23 Februari 1989</t>
  </si>
  <si>
    <t>07 April 1992</t>
  </si>
  <si>
    <t>Pemangkat</t>
  </si>
  <si>
    <t xml:space="preserve"> 10 Oktober 1984</t>
  </si>
  <si>
    <t>Kelarik</t>
  </si>
  <si>
    <t xml:space="preserve"> 19 September 1979</t>
  </si>
  <si>
    <t>Bawan</t>
  </si>
  <si>
    <t>15 Juni 1980</t>
  </si>
  <si>
    <t>Tambelan</t>
  </si>
  <si>
    <t>24 Desember 1988</t>
  </si>
  <si>
    <t>Malang</t>
  </si>
  <si>
    <t>01 Juli 1980</t>
  </si>
  <si>
    <t>Serasan</t>
  </si>
  <si>
    <t>07 Oktober 1988</t>
  </si>
  <si>
    <t>28 September 1979</t>
  </si>
  <si>
    <t>10 Juni 1984</t>
  </si>
  <si>
    <t>21 Februari 1980</t>
  </si>
  <si>
    <t>06 Mei 1988</t>
  </si>
  <si>
    <t>Tanjung Kumbik</t>
  </si>
  <si>
    <t>09 Juli 1989</t>
  </si>
  <si>
    <t>15 Oktober 1981</t>
  </si>
  <si>
    <t xml:space="preserve"> 02 Desember 2000</t>
  </si>
  <si>
    <t>11 Januari 1978</t>
  </si>
  <si>
    <t>06 Oktober 2025</t>
  </si>
  <si>
    <t>Predikat</t>
  </si>
  <si>
    <t>Predikat inggris</t>
  </si>
  <si>
    <t>Judul</t>
  </si>
  <si>
    <t>Pengaruh Pemberian Makanan Tambahan (PMT) Telur Ayam Broiler Terhadap Berat Badan Balita Yang Mengalami Stunting Di Wilayah Kerja Puskesmas Serasan Kabupaten Natuna</t>
  </si>
  <si>
    <t>Pengaruh Motivational Interviewing (Mi) Terhadap Tingkat Kecemasan Pasien Preoperatif Elektif Anestesi Lokal Di RSUD Raja Ahmad Tabib</t>
  </si>
  <si>
    <t>Hubungan Penegetahuan Masyarakat Tentang Diet Hipertensi Terhadap Kepatuhan Diet Di Desa Tanjung Pala Wilayah Kerja UPTD Puskesmas Pulau Laut Kecamatan Pulau Laut Kabupaten Natuna Tahun 2025</t>
  </si>
  <si>
    <t>Faktor-Faktor Risiko Yang Berhubungan Dengan Terjadinya Relaps Malaria Di Kelurahan Kampung Bugis</t>
  </si>
  <si>
    <t>Hubungan Pola Makan Dan Aktivitas Fisik Dengan Kejadian Penyakit Jantung Koroner Di Klinik Jantung Rsud Raja Ahmad Tabib Kota Tanjungpinang Provinsi Kepulauan Riau</t>
  </si>
  <si>
    <t>Hubungan Tingkat Pengetahuan Tentang Hipertensi Dengan Perilaku Pencegahan Komplikasi Hipertensi Di Pelabuhan Wilayah Kerja Bkk Kelas I Tanjungpinang</t>
  </si>
  <si>
    <t>Faktor-Faktor Yang Berhubungan Dengan Penyalahgunaan Narkotika Pada Warga Binaan Pemasyarakatan Rumah Tahanan Negara Kelas I Tanjungpinang</t>
  </si>
  <si>
    <t>Faktor-Faktor Yang Berhubungan Dengan Kejadian Kek Pada Ibu Hamil Diwilayah Kerja Puskesmas Pulau Serasan</t>
  </si>
  <si>
    <t>Pengaruh Mobilisasi Dini Terhadap Waktu Penyembuhan Luka Fase Inflamasi Pasien Pasca Operasi Diruang Rawat Inap Bedah Rsud Kota Tanjungpinang</t>
  </si>
  <si>
    <t>Hubungan Konsumsi Makanan Berisiko Dengan Kejadian Tonsilitis Pada Anak Usia Sekolah Di Rsud Natuna</t>
  </si>
  <si>
    <t>Hubungan Dukungan Keluarga Dengan Kepatuhan Pasien Minum Obat Tuberkulosis Paru di Puskesmas Melayu Kota Piring Tanjungpinang</t>
  </si>
  <si>
    <t>PENGARUH SENAM KAKI DIABETIK TERHADAP NILAI ANKLE BRACHIAL INDEX (ABI) PADA PASIEN DIABETES MELITUS DI WILAYAH KERJA PUSKESMAS SUBI</t>
  </si>
  <si>
    <t>FAKTOR-FAKTOR YANG MEMPENGARUHI KUALITAS PELAYANAN KESEHATAN TERHADAP KEPUASAN PASIEN RAWAT JALAN DI UPTD PUSKESMAS SEDANAU</t>
  </si>
  <si>
    <t>HUBUNGAN PERILAKU PENCEGAHAN DENGAN KEJADIAN HIV/AIDS PADA WANITA PEKERJA SEKS KOMERSIL DI RANAI</t>
  </si>
  <si>
    <t>HUBUNGAN SELF MANAGEMENT DENGAN TEKANAN DARAH PADA PASIEN HIPERTENSI DI WILAYAH KERJA PUSKESMAS RANAI</t>
  </si>
  <si>
    <t>FAKTOR-FAKTOR YANG MEMPENGARUHI KEPUASAN PASIEN TERHADAP KUALITAS PELAYANAN DI PUSKESMAS BATUBI JAYA KABUPATEN NATUNA</t>
  </si>
  <si>
    <t>Hubungan Response Time Dengan Anxiety Level Pada Pasien IGD DI RSUD Natuna</t>
  </si>
  <si>
    <t>HUBUNGAN MOTIVASI KERJA DAN DANA BOK DENGAN KINERJA PUSKESMAS DI UPTD PUSKESMAS SEDANAU</t>
  </si>
  <si>
    <t>Hubungan Dukungan Keluarga dan Self Efficacy dengan Kepatuhan Minum Obat pada Penderita Tuberkulosis Paru di UPTD Puskesmas Ranai</t>
  </si>
  <si>
    <t>Hubungan Lama Perawatan dan Dukungan Keluarga dengan Tingkat Kecemasan Orangtua Bayi Tahun 2025</t>
  </si>
  <si>
    <t>Pengaruh Program Motivasi Kerja Terhadap Kinerja Pegawai di UPTD Puskesmas Subi</t>
  </si>
  <si>
    <t>Pengaruh Program Cerdik Terhadap Tekanan Darah Penderita Hipertensi di Puskesmas Midai</t>
  </si>
  <si>
    <t>STUDI FENOMENOLOGI :FENOMENA DAN PENGALAMAN KELUARGA DALAM MERAWAT PASIEN PASUNG DENGAN PENYAKIT SCHIZOFRENIA DI WILAYAH MASYARAKAT PESISIR NATUNA</t>
  </si>
  <si>
    <t>Hubungan Sosial Budaya dengan Upaya pencegahan penularan penyakit TB Paru di Puskesmas Serasan Timur Kabupaten Natuna</t>
  </si>
  <si>
    <t>HUBUNGAN PENGETAHUAN DAN PERILAKU HIDUP SEHAT DENGAN KEJADIAN GASTRITIS DI RAWAT JALAN RSUD NATUNA</t>
  </si>
  <si>
    <t>Pengaruh intradialitik exercise terhadap fatigue pada pasien gagal ginjal kronik yang menjalani terapi hemodialisa di rsud natuna</t>
  </si>
  <si>
    <t>PENGARUH PENDIDIKAN KESEHATAN MENGGUNAKAN VIDIO TERHADAP KECEMASAN IBU PRE OPERASI SECTIO CAESAREA DI RUMAH SAKIT UMUM DAERAH NATUNA</t>
  </si>
  <si>
    <t>HUBUNGAN LAMA MENDERITA DENGAN KUALITAS HIDUP PASIEN DIABETES MELITUS TIPE II DI RAWAT INAP RSUD NATUNA</t>
  </si>
  <si>
    <t>HUBUNGAN PERAN SERTA KADER LANSIA DAN DUKUNGAN KELUARGA TERHADAP KUNJUNGAN LANSIA KE POSYANDU LANSIA DI WILAYAH KERJA UPTD PUSKESMAS SEDANAU TAHUN 2025</t>
  </si>
  <si>
    <t>PENGARUH PEMAKAIAN BLANKET WARMER TERHADAP HIPOTERMIA PASCA OPERASI DI RECOVERY ROOM RUMAH SAKIT UMUM DAERAH NATUNA</t>
  </si>
  <si>
    <t>Faktor-faktor yang berhubungan dengan kejadian ISPA pada Balita di wilayah Puskesmas Bunguran Tengah</t>
  </si>
  <si>
    <t>Pengaruh persiapan kulit praoperasi menggunakan klorheksidin 0,5% terhadap proses penyembuhan luka fase inflamasi pada pasien pasca-laparatomi di RSUD Natuna</t>
  </si>
  <si>
    <t xml:space="preserve">Pengaruh edukasi pola hidup sehat pada remaja terhadap tingkat pengetahuan pencegahan Dini hipertensi di kecamatan pulau laut </t>
  </si>
  <si>
    <t>Hubungan Literasi Kesehatan dan Self Efficacy dengan Kepatuhan Minum Tablet Tambah Darah pada Remaja Putri di SLTA Bunguran Barat Wilayah Kerja Puskesmas Sedanau</t>
  </si>
  <si>
    <t xml:space="preserve">Hubungan Ansietas dengan Fatigue pada Pasien Chronic Kidney Disease (CKD) Stadium V yang Menjalani Hemodialisis di RSUD Natuna </t>
  </si>
  <si>
    <t>HUBUNGAN PERAN KELUARGA DENGAN KEPATUHAN MINUM OBAT PADA LANSIA HIPERTENSI DI KELURAHAN RANAI KOTA</t>
  </si>
  <si>
    <t>Hubungan Life Style Dengan Resiko Terjadinya Hipertensi Pada Remaja di Wilayah Kerja Puskesmas Ranai</t>
  </si>
  <si>
    <t>FAKTOR-FAKTOR YANG BERHUBUNGAN DENGAN KUNJUNGAN BALITA KE POSYANDU DI WILAYAH KERJA PUSKESMAS RANAI</t>
  </si>
  <si>
    <t>Hubungan Kehadiran Orang Tua dengan Kecemasan Anak Saat Pemberian Obat Intravena Line di Ruang Rawat Inap Anak RSUD Natuna</t>
  </si>
  <si>
    <t xml:space="preserve">HUBUNGAN KEPATUHAN MINUM OBAT DENGAN KEKAMBUHAN PADA PASIEN SKIZOFRENIA
DI WILAYAH KABUPATEN NATUNA
TAHUN 2025
</t>
  </si>
  <si>
    <t>Hubungan Dukungan Keluarga Dengan Kualitas Hidup Pasien Gagal Ginjal Kronik (Stadium V) yang Menjalani Hemodialisa di RSUD Natuna</t>
  </si>
  <si>
    <t>HUBUNGAN PENGETAHUAN IBU DENGAN KEPATUHAN KELENGKAPAN IMUNISASI LANJUTAN PADA BALITA DI WILAYAH KERJA PUSKESMAS RANAI KECAMATAN BUNGURAN TIMUR KABUPATEN NATUNA</t>
  </si>
  <si>
    <t>HUBUNGAN KECEMASAN DENGAN KEJADIAN HIPERTENSI PADA LANSIA PEREMPUAN DI WILAYAH KERJA UPTD PUSKESMAS SEDANAU</t>
  </si>
  <si>
    <t>SMT1</t>
  </si>
  <si>
    <t>N1</t>
  </si>
  <si>
    <t>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</si>
</sst>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0"/>
      <color rgb="FF434343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BDEEA-51B9-444E-8343-089DD6E8FAC7}">
  <dimension ref="A1:DX54"/>
  <sheetViews>
    <sheetView tabSelected="1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G8" sqref="G8"/>
    </sheetView>
  </sheetViews>
  <sheetFormatPr defaultRowHeight="15" x14ac:dyDescent="0.25"/>
  <cols>
    <col min="1" max="1" width="3.7109375" style="4" bestFit="1" customWidth="1"/>
    <col min="2" max="2" width="29" style="4" bestFit="1" customWidth="1"/>
    <col min="3" max="4" width="20.28515625" style="4" customWidth="1"/>
    <col min="5" max="5" width="20.28515625" style="9" customWidth="1"/>
    <col min="6" max="7" width="20.28515625" style="4" customWidth="1"/>
    <col min="8" max="12" width="10" style="4" customWidth="1"/>
    <col min="13" max="22" width="10.140625" style="4" customWidth="1"/>
    <col min="23" max="27" width="10.85546875" style="4" customWidth="1"/>
    <col min="28" max="37" width="10.140625" style="4" customWidth="1"/>
    <col min="38" max="42" width="10" style="4" customWidth="1"/>
    <col min="43" max="47" width="9.85546875" style="4" customWidth="1"/>
    <col min="48" max="52" width="10" style="4" customWidth="1"/>
    <col min="53" max="57" width="10.140625" style="4" customWidth="1"/>
    <col min="58" max="63" width="9" style="4" customWidth="1"/>
    <col min="64" max="64" width="8.5703125" style="4" customWidth="1"/>
    <col min="65" max="65" width="7.28515625" style="4" customWidth="1"/>
    <col min="66" max="66" width="7.7109375" style="4" customWidth="1"/>
    <col min="67" max="67" width="10.85546875" style="4" customWidth="1"/>
    <col min="68" max="117" width="9.140625" style="4"/>
    <col min="118" max="118" width="9.140625" style="21"/>
    <col min="119" max="119" width="9.140625" style="22"/>
    <col min="120" max="125" width="9.140625" style="4"/>
    <col min="126" max="126" width="18.28515625" style="4" customWidth="1"/>
    <col min="127" max="127" width="18.140625" style="4" customWidth="1"/>
    <col min="128" max="128" width="27.42578125" style="4" customWidth="1"/>
    <col min="129" max="16384" width="9.140625" style="4"/>
  </cols>
  <sheetData>
    <row r="1" spans="1:128" x14ac:dyDescent="0.25">
      <c r="A1" s="24" t="s">
        <v>0</v>
      </c>
      <c r="B1" s="24" t="s">
        <v>1</v>
      </c>
      <c r="C1" s="24" t="s">
        <v>2</v>
      </c>
      <c r="D1" s="24" t="s">
        <v>72</v>
      </c>
      <c r="E1" s="26" t="s">
        <v>73</v>
      </c>
      <c r="F1" s="24" t="s">
        <v>75</v>
      </c>
      <c r="G1" s="24" t="s">
        <v>74</v>
      </c>
      <c r="H1" s="25" t="s">
        <v>3</v>
      </c>
      <c r="I1" s="25"/>
      <c r="J1" s="25"/>
      <c r="K1" s="25"/>
      <c r="L1" s="25"/>
      <c r="M1" s="25" t="s">
        <v>4</v>
      </c>
      <c r="N1" s="25"/>
      <c r="O1" s="25"/>
      <c r="P1" s="25"/>
      <c r="Q1" s="25"/>
      <c r="R1" s="25" t="s">
        <v>5</v>
      </c>
      <c r="S1" s="25"/>
      <c r="T1" s="25"/>
      <c r="U1" s="25"/>
      <c r="V1" s="25"/>
      <c r="W1" s="25" t="s">
        <v>6</v>
      </c>
      <c r="X1" s="25"/>
      <c r="Y1" s="25"/>
      <c r="Z1" s="25"/>
      <c r="AA1" s="25"/>
      <c r="AB1" s="25" t="s">
        <v>7</v>
      </c>
      <c r="AC1" s="25"/>
      <c r="AD1" s="25"/>
      <c r="AE1" s="25"/>
      <c r="AF1" s="25"/>
      <c r="AG1" s="25" t="s">
        <v>8</v>
      </c>
      <c r="AH1" s="25"/>
      <c r="AI1" s="25"/>
      <c r="AJ1" s="25"/>
      <c r="AK1" s="25"/>
      <c r="AL1" s="25" t="s">
        <v>9</v>
      </c>
      <c r="AM1" s="25"/>
      <c r="AN1" s="25"/>
      <c r="AO1" s="25"/>
      <c r="AP1" s="25"/>
      <c r="AQ1" s="25" t="s">
        <v>10</v>
      </c>
      <c r="AR1" s="25"/>
      <c r="AS1" s="25"/>
      <c r="AT1" s="25"/>
      <c r="AU1" s="25"/>
      <c r="AV1" s="25" t="s">
        <v>11</v>
      </c>
      <c r="AW1" s="25"/>
      <c r="AX1" s="25"/>
      <c r="AY1" s="25"/>
      <c r="AZ1" s="25"/>
      <c r="BA1" s="25" t="s">
        <v>12</v>
      </c>
      <c r="BB1" s="25"/>
      <c r="BC1" s="25"/>
      <c r="BD1" s="25"/>
      <c r="BE1" s="25"/>
      <c r="BF1" s="25" t="s">
        <v>13</v>
      </c>
      <c r="BG1" s="25"/>
      <c r="BH1" s="25"/>
      <c r="BI1" s="25"/>
      <c r="BJ1" s="25"/>
      <c r="BK1" s="25" t="s">
        <v>77</v>
      </c>
      <c r="BL1" s="25"/>
      <c r="BM1" s="25"/>
      <c r="BN1" s="25"/>
      <c r="BO1" s="25"/>
      <c r="BP1" s="25" t="s">
        <v>78</v>
      </c>
      <c r="BQ1" s="25"/>
      <c r="BR1" s="25"/>
      <c r="BS1" s="25"/>
      <c r="BT1" s="25"/>
      <c r="BU1" s="25" t="s">
        <v>79</v>
      </c>
      <c r="BV1" s="25"/>
      <c r="BW1" s="25"/>
      <c r="BX1" s="25"/>
      <c r="BY1" s="25"/>
      <c r="BZ1" s="25" t="s">
        <v>80</v>
      </c>
      <c r="CA1" s="25"/>
      <c r="CB1" s="25"/>
      <c r="CC1" s="25"/>
      <c r="CD1" s="25"/>
      <c r="CE1" s="25" t="s">
        <v>81</v>
      </c>
      <c r="CF1" s="25"/>
      <c r="CG1" s="25"/>
      <c r="CH1" s="25"/>
      <c r="CI1" s="25"/>
      <c r="CJ1" s="25" t="s">
        <v>82</v>
      </c>
      <c r="CK1" s="25"/>
      <c r="CL1" s="25"/>
      <c r="CM1" s="25"/>
      <c r="CN1" s="25"/>
      <c r="CO1" s="25" t="s">
        <v>83</v>
      </c>
      <c r="CP1" s="25"/>
      <c r="CQ1" s="25"/>
      <c r="CR1" s="25"/>
      <c r="CS1" s="25"/>
      <c r="CT1" s="25" t="s">
        <v>84</v>
      </c>
      <c r="CU1" s="25"/>
      <c r="CV1" s="25"/>
      <c r="CW1" s="25"/>
      <c r="CX1" s="25"/>
      <c r="CY1" s="25" t="s">
        <v>85</v>
      </c>
      <c r="CZ1" s="25"/>
      <c r="DA1" s="25"/>
      <c r="DB1" s="25"/>
      <c r="DC1" s="25"/>
      <c r="DD1" s="25" t="s">
        <v>86</v>
      </c>
      <c r="DE1" s="25"/>
      <c r="DF1" s="25"/>
      <c r="DG1" s="25"/>
      <c r="DH1" s="25"/>
      <c r="DI1" s="25" t="s">
        <v>87</v>
      </c>
      <c r="DJ1" s="25"/>
      <c r="DK1" s="25"/>
      <c r="DL1" s="25"/>
      <c r="DM1" s="25"/>
      <c r="DN1" s="27" t="s">
        <v>196</v>
      </c>
      <c r="DO1" s="27"/>
      <c r="DP1" s="24" t="s">
        <v>88</v>
      </c>
      <c r="DQ1" s="24"/>
      <c r="DR1" s="32" t="s">
        <v>89</v>
      </c>
      <c r="DS1" s="24" t="s">
        <v>90</v>
      </c>
      <c r="DT1" s="24" t="s">
        <v>14</v>
      </c>
      <c r="DU1" s="28" t="s">
        <v>15</v>
      </c>
      <c r="DV1" s="29" t="s">
        <v>150</v>
      </c>
      <c r="DW1" s="29" t="s">
        <v>151</v>
      </c>
      <c r="DX1" s="29" t="s">
        <v>152</v>
      </c>
    </row>
    <row r="2" spans="1:128" x14ac:dyDescent="0.25">
      <c r="A2" s="24"/>
      <c r="B2" s="24"/>
      <c r="C2" s="24"/>
      <c r="D2" s="24"/>
      <c r="E2" s="26"/>
      <c r="F2" s="24"/>
      <c r="G2" s="24"/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16</v>
      </c>
      <c r="X2" s="1" t="s">
        <v>17</v>
      </c>
      <c r="Y2" s="1" t="s">
        <v>18</v>
      </c>
      <c r="Z2" s="1" t="s">
        <v>19</v>
      </c>
      <c r="AA2" s="1" t="s">
        <v>20</v>
      </c>
      <c r="AB2" s="1" t="s">
        <v>16</v>
      </c>
      <c r="AC2" s="1" t="s">
        <v>17</v>
      </c>
      <c r="AD2" s="1" t="s">
        <v>18</v>
      </c>
      <c r="AE2" s="1" t="s">
        <v>19</v>
      </c>
      <c r="AF2" s="1" t="s">
        <v>20</v>
      </c>
      <c r="AG2" s="1" t="s">
        <v>16</v>
      </c>
      <c r="AH2" s="1" t="s">
        <v>17</v>
      </c>
      <c r="AI2" s="1" t="s">
        <v>18</v>
      </c>
      <c r="AJ2" s="1" t="s">
        <v>19</v>
      </c>
      <c r="AK2" s="1" t="s">
        <v>20</v>
      </c>
      <c r="AL2" s="1" t="s">
        <v>16</v>
      </c>
      <c r="AM2" s="1" t="s">
        <v>17</v>
      </c>
      <c r="AN2" s="1" t="s">
        <v>18</v>
      </c>
      <c r="AO2" s="1" t="s">
        <v>19</v>
      </c>
      <c r="AP2" s="1" t="s">
        <v>20</v>
      </c>
      <c r="AQ2" s="1" t="s">
        <v>16</v>
      </c>
      <c r="AR2" s="1" t="s">
        <v>17</v>
      </c>
      <c r="AS2" s="1" t="s">
        <v>18</v>
      </c>
      <c r="AT2" s="1" t="s">
        <v>19</v>
      </c>
      <c r="AU2" s="1" t="s">
        <v>20</v>
      </c>
      <c r="AV2" s="1" t="s">
        <v>16</v>
      </c>
      <c r="AW2" s="1" t="s">
        <v>17</v>
      </c>
      <c r="AX2" s="1" t="s">
        <v>18</v>
      </c>
      <c r="AY2" s="1" t="s">
        <v>19</v>
      </c>
      <c r="AZ2" s="1" t="s">
        <v>20</v>
      </c>
      <c r="BA2" s="1" t="s">
        <v>16</v>
      </c>
      <c r="BB2" s="1" t="s">
        <v>17</v>
      </c>
      <c r="BC2" s="1" t="s">
        <v>18</v>
      </c>
      <c r="BD2" s="1" t="s">
        <v>19</v>
      </c>
      <c r="BE2" s="1" t="s">
        <v>20</v>
      </c>
      <c r="BF2" s="1" t="s">
        <v>16</v>
      </c>
      <c r="BG2" s="1" t="s">
        <v>17</v>
      </c>
      <c r="BH2" s="1" t="s">
        <v>18</v>
      </c>
      <c r="BI2" s="1" t="s">
        <v>19</v>
      </c>
      <c r="BJ2" s="1" t="s">
        <v>20</v>
      </c>
      <c r="BK2" s="1" t="s">
        <v>16</v>
      </c>
      <c r="BL2" s="1" t="s">
        <v>17</v>
      </c>
      <c r="BM2" s="1" t="s">
        <v>18</v>
      </c>
      <c r="BN2" s="1" t="s">
        <v>19</v>
      </c>
      <c r="BO2" s="1" t="s">
        <v>20</v>
      </c>
      <c r="BP2" s="1" t="s">
        <v>16</v>
      </c>
      <c r="BQ2" s="1" t="s">
        <v>17</v>
      </c>
      <c r="BR2" s="1" t="s">
        <v>18</v>
      </c>
      <c r="BS2" s="1" t="s">
        <v>19</v>
      </c>
      <c r="BT2" s="1" t="s">
        <v>20</v>
      </c>
      <c r="BU2" s="1" t="s">
        <v>16</v>
      </c>
      <c r="BV2" s="1" t="s">
        <v>17</v>
      </c>
      <c r="BW2" s="1" t="s">
        <v>18</v>
      </c>
      <c r="BX2" s="1" t="s">
        <v>19</v>
      </c>
      <c r="BY2" s="1" t="s">
        <v>20</v>
      </c>
      <c r="BZ2" s="1" t="s">
        <v>16</v>
      </c>
      <c r="CA2" s="1" t="s">
        <v>17</v>
      </c>
      <c r="CB2" s="1" t="s">
        <v>18</v>
      </c>
      <c r="CC2" s="1" t="s">
        <v>19</v>
      </c>
      <c r="CD2" s="1" t="s">
        <v>20</v>
      </c>
      <c r="CE2" s="1" t="s">
        <v>16</v>
      </c>
      <c r="CF2" s="1" t="s">
        <v>17</v>
      </c>
      <c r="CG2" s="1" t="s">
        <v>18</v>
      </c>
      <c r="CH2" s="1" t="s">
        <v>19</v>
      </c>
      <c r="CI2" s="1" t="s">
        <v>20</v>
      </c>
      <c r="CJ2" s="1" t="s">
        <v>16</v>
      </c>
      <c r="CK2" s="1" t="s">
        <v>17</v>
      </c>
      <c r="CL2" s="1" t="s">
        <v>18</v>
      </c>
      <c r="CM2" s="1" t="s">
        <v>19</v>
      </c>
      <c r="CN2" s="1" t="s">
        <v>20</v>
      </c>
      <c r="CO2" s="1" t="s">
        <v>16</v>
      </c>
      <c r="CP2" s="1" t="s">
        <v>17</v>
      </c>
      <c r="CQ2" s="1" t="s">
        <v>18</v>
      </c>
      <c r="CR2" s="1" t="s">
        <v>19</v>
      </c>
      <c r="CS2" s="1" t="s">
        <v>20</v>
      </c>
      <c r="CT2" s="1" t="s">
        <v>16</v>
      </c>
      <c r="CU2" s="1" t="s">
        <v>17</v>
      </c>
      <c r="CV2" s="1" t="s">
        <v>18</v>
      </c>
      <c r="CW2" s="1" t="s">
        <v>19</v>
      </c>
      <c r="CX2" s="1" t="s">
        <v>20</v>
      </c>
      <c r="CY2" s="1" t="s">
        <v>16</v>
      </c>
      <c r="CZ2" s="1" t="s">
        <v>17</v>
      </c>
      <c r="DA2" s="1" t="s">
        <v>18</v>
      </c>
      <c r="DB2" s="1" t="s">
        <v>19</v>
      </c>
      <c r="DC2" s="1" t="s">
        <v>20</v>
      </c>
      <c r="DD2" s="1" t="s">
        <v>16</v>
      </c>
      <c r="DE2" s="1" t="s">
        <v>17</v>
      </c>
      <c r="DF2" s="1" t="s">
        <v>18</v>
      </c>
      <c r="DG2" s="1" t="s">
        <v>19</v>
      </c>
      <c r="DH2" s="1" t="s">
        <v>20</v>
      </c>
      <c r="DI2" s="1" t="s">
        <v>16</v>
      </c>
      <c r="DJ2" s="1" t="s">
        <v>17</v>
      </c>
      <c r="DK2" s="1" t="s">
        <v>18</v>
      </c>
      <c r="DL2" s="1" t="s">
        <v>19</v>
      </c>
      <c r="DM2" s="1" t="s">
        <v>20</v>
      </c>
      <c r="DN2" s="11" t="s">
        <v>197</v>
      </c>
      <c r="DO2" s="20" t="s">
        <v>198</v>
      </c>
      <c r="DP2" s="1" t="s">
        <v>91</v>
      </c>
      <c r="DQ2" s="1" t="s">
        <v>92</v>
      </c>
      <c r="DR2" s="33"/>
      <c r="DS2" s="24"/>
      <c r="DT2" s="24"/>
      <c r="DU2" s="28"/>
      <c r="DV2" s="29"/>
      <c r="DW2" s="29"/>
      <c r="DX2" s="29"/>
    </row>
    <row r="3" spans="1:128" x14ac:dyDescent="0.2">
      <c r="A3" s="10">
        <v>1</v>
      </c>
      <c r="B3" s="15" t="s">
        <v>21</v>
      </c>
      <c r="C3" s="15">
        <v>182412001</v>
      </c>
      <c r="D3" s="16" t="s">
        <v>93</v>
      </c>
      <c r="E3" s="7" t="s">
        <v>94</v>
      </c>
      <c r="F3" s="15" t="s">
        <v>149</v>
      </c>
      <c r="G3" s="15"/>
      <c r="H3" s="5">
        <v>75.75</v>
      </c>
      <c r="I3" s="6" t="str">
        <f>IF(H3&gt;=80,"A",IF(H3&gt;=75,"B+",IF(H3&gt;=70,"B",IF(H3&gt;=65,"C+",IF(H3&gt;=60,"C",IF(H3&gt;=55,"D",IF(H3&lt;54,"E")))))))</f>
        <v>B+</v>
      </c>
      <c r="J3" s="1">
        <f>IF(I3="A",4,IF(I3="B+",3.5,IF(I3="B",3,IF(I3="C+",2.5,IF(I3="C",2,IF(I3="D",1,0))))))</f>
        <v>3.5</v>
      </c>
      <c r="K3" s="5">
        <v>2</v>
      </c>
      <c r="L3" s="2">
        <f>J3*K3</f>
        <v>7</v>
      </c>
      <c r="M3" s="5">
        <v>77</v>
      </c>
      <c r="N3" s="6" t="str">
        <f>IF(M3&gt;=80,"A",IF(M3&gt;=75,"B+",IF(M3&gt;=70,"B",IF(M3&gt;=65,"C+",IF(M3&gt;=60,"C",IF(M3&gt;=55,"D",IF(M3&lt;54,"E")))))))</f>
        <v>B+</v>
      </c>
      <c r="O3" s="1">
        <f>IF(N3="A",4,IF(N3="B+",3.5,IF(N3="B",3,IF(N3="C+",2.5,IF(N3="C",2,IF(N3="D",1,0))))))</f>
        <v>3.5</v>
      </c>
      <c r="P3" s="5">
        <v>2</v>
      </c>
      <c r="Q3" s="2">
        <f>O3*P3</f>
        <v>7</v>
      </c>
      <c r="R3" s="5">
        <v>77</v>
      </c>
      <c r="S3" s="6" t="str">
        <f>IF(R3&gt;=80,"A",IF(R3&gt;=75,"B+",IF(R3&gt;=70,"B",IF(R3&gt;=65,"C+",IF(R3&gt;=60,"C",IF(R3&gt;=55,"D",IF(R3&lt;54,"E")))))))</f>
        <v>B+</v>
      </c>
      <c r="T3" s="1">
        <f>IF(S3="A",4,IF(S3="B+",3.5,IF(S3="B",3,IF(S3="C+",2.5,IF(S3="C",2,IF(S3="D",1,0))))))</f>
        <v>3.5</v>
      </c>
      <c r="U3" s="5">
        <v>2</v>
      </c>
      <c r="V3" s="2">
        <f>T3*U3</f>
        <v>7</v>
      </c>
      <c r="W3" s="5">
        <v>78</v>
      </c>
      <c r="X3" s="6" t="str">
        <f>IF(W3&gt;=80,"A",IF(W3&gt;=75,"B+",IF(W3&gt;=70,"B",IF(W3&gt;=65,"C+",IF(W3&gt;=60,"C",IF(W3&gt;=55,"D",IF(W3&lt;54,"E")))))))</f>
        <v>B+</v>
      </c>
      <c r="Y3" s="1">
        <f>IF(X3="A",4,IF(X3="B+",3.5,IF(X3="B",3,IF(X3="C+",2.5,IF(X3="C",2,IF(X3="D",1,0))))))</f>
        <v>3.5</v>
      </c>
      <c r="Z3" s="5">
        <v>3</v>
      </c>
      <c r="AA3" s="2">
        <f>Y3*Z3</f>
        <v>10.5</v>
      </c>
      <c r="AB3" s="2">
        <v>83.05</v>
      </c>
      <c r="AC3" s="6" t="str">
        <f>IF(AB3&gt;=80,"A",IF(AB3&gt;=75,"B+",IF(AB3&gt;=70,"B",IF(AB3&gt;=65,"C+",IF(AB3&gt;=60,"C",IF(AB3&gt;=55,"D",IF(AB3&lt;54,"E")))))))</f>
        <v>A</v>
      </c>
      <c r="AD3" s="1">
        <f>IF(AC3="A",4,IF(AC3="B+",3.5,IF(AC3="B",3,IF(AC3="C+",2.5,IF(AC3="C",2,IF(AC3="D",1,0))))))</f>
        <v>4</v>
      </c>
      <c r="AE3" s="2">
        <v>2</v>
      </c>
      <c r="AF3" s="2">
        <f>AD3*AE3</f>
        <v>8</v>
      </c>
      <c r="AG3" s="2">
        <v>78</v>
      </c>
      <c r="AH3" s="6" t="str">
        <f>IF(AG3&gt;=80,"A",IF(AG3&gt;=75,"B+",IF(AG3&gt;=70,"B",IF(AG3&gt;=65,"C+",IF(AG3&gt;=60,"C",IF(AG3&gt;=55,"D",IF(AG3&lt;54,"E")))))))</f>
        <v>B+</v>
      </c>
      <c r="AI3" s="1">
        <f>IF(AH3="A",4,IF(AH3="B+",3.5,IF(AH3="B",3,IF(AH3="C+",2.5,IF(AH3="C",2,IF(AH3="D",1,0))))))</f>
        <v>3.5</v>
      </c>
      <c r="AJ3" s="2">
        <v>2</v>
      </c>
      <c r="AK3" s="2">
        <f>AI3*AJ3</f>
        <v>7</v>
      </c>
      <c r="AL3" s="2">
        <v>77</v>
      </c>
      <c r="AM3" s="6" t="str">
        <f>IF(AL3&gt;=80,"A",IF(AL3&gt;=75,"B+",IF(AL3&gt;=70,"B",IF(AL3&gt;=65,"C+",IF(AL3&gt;=60,"C",IF(AL3&gt;=55,"D",IF(AL3&lt;54,"E")))))))</f>
        <v>B+</v>
      </c>
      <c r="AN3" s="1">
        <f>IF(AM3="A",4,IF(AM3="B+",3.5,IF(AM3="B",3,IF(AM3="C+",2.5,IF(AM3="C",2,IF(AM3="D",1,0))))))</f>
        <v>3.5</v>
      </c>
      <c r="AO3" s="2">
        <v>2</v>
      </c>
      <c r="AP3" s="2">
        <f>AN3*AO3</f>
        <v>7</v>
      </c>
      <c r="AQ3" s="2">
        <v>74</v>
      </c>
      <c r="AR3" s="6" t="str">
        <f>IF(AQ3&gt;=80,"A",IF(AQ3&gt;=75,"B+",IF(AQ3&gt;=70,"B",IF(AQ3&gt;=65,"C+",IF(AQ3&gt;=60,"C",IF(AQ3&gt;=55,"D",IF(AQ3&lt;54,"E")))))))</f>
        <v>B</v>
      </c>
      <c r="AS3" s="1">
        <f>IF(AR3="A",4,IF(AR3="B+",3.5,IF(AR3="B",3,IF(AR3="C+",2.5,IF(AR3="C",2,IF(AR3="D",1,0))))))</f>
        <v>3</v>
      </c>
      <c r="AT3" s="2">
        <v>2</v>
      </c>
      <c r="AU3" s="2">
        <f>AS3*AT3</f>
        <v>6</v>
      </c>
      <c r="AV3" s="5">
        <v>76.75</v>
      </c>
      <c r="AW3" s="6" t="str">
        <f>IF(AV3&gt;=80,"A",IF(AV3&gt;=75,"B+",IF(AV3&gt;=70,"B",IF(AV3&gt;=65,"C+",IF(AV3&gt;=60,"C",IF(AV3&gt;=55,"D",IF(AV3&lt;54,"E")))))))</f>
        <v>B+</v>
      </c>
      <c r="AX3" s="1">
        <f>IF(AW3="A",4,IF(AW3="B+",3.5,IF(AW3="B",3,IF(AW3="C+",2.5,IF(AW3="C",2,IF(AW3="D",1,0))))))</f>
        <v>3.5</v>
      </c>
      <c r="AY3" s="5">
        <v>3</v>
      </c>
      <c r="AZ3" s="3">
        <f>AX3*AY3</f>
        <v>10.5</v>
      </c>
      <c r="BA3" s="5">
        <v>76.25</v>
      </c>
      <c r="BB3" s="6" t="str">
        <f>IF(BA3&gt;=80,"A",IF(BA3&gt;=75,"B+",IF(BA3&gt;=70,"B",IF(BA3&gt;=65,"C+",IF(BA3&gt;=60,"C",IF(BA3&gt;=55,"D",IF(BA3&lt;54,"E")))))))</f>
        <v>B+</v>
      </c>
      <c r="BC3" s="1">
        <f>IF(BB3="A",4,IF(BB3="B+",3.5,IF(BB3="B",3,IF(BB3="C+",2.5,IF(BB3="C",2,IF(BB3="D",1,0))))))</f>
        <v>3.5</v>
      </c>
      <c r="BD3" s="5">
        <v>2</v>
      </c>
      <c r="BE3" s="2">
        <f>BC3*BD3</f>
        <v>7</v>
      </c>
      <c r="BF3" s="5">
        <v>82</v>
      </c>
      <c r="BG3" s="6" t="str">
        <f>IF(BF3&gt;=80,"A",IF(BF3&gt;=75,"B+",IF(BF3&gt;=70,"B",IF(BF3&gt;=65,"C+",IF(BF3&gt;=60,"C",IF(BF3&gt;=55,"D",IF(BF3&lt;54,"E")))))))</f>
        <v>A</v>
      </c>
      <c r="BH3" s="1">
        <f>IF(BG3="A",4,IF(BG3="B+",3.5,IF(BG3="B",3,IF(BG3="C+",2.5,IF(BG3="C",2,IF(BG3="D",1,0))))))</f>
        <v>4</v>
      </c>
      <c r="BI3" s="5">
        <v>2</v>
      </c>
      <c r="BJ3" s="2">
        <f>BH3*BI3</f>
        <v>8</v>
      </c>
      <c r="BK3" s="5">
        <v>74.400000000000006</v>
      </c>
      <c r="BL3" s="6" t="str">
        <f>IF(BK3&gt;=80,"A",IF(BK3&gt;=75,"B+",IF(BK3&gt;=70,"B",IF(BK3&gt;=65,"C+",IF(BK3&gt;=60,"C",IF(BK3&gt;=55,"D",IF(BK3&lt;54,"E")))))))</f>
        <v>B</v>
      </c>
      <c r="BM3" s="1">
        <f>IF(BL3="A",4,IF(BL3="B+",3.5,IF(BL3="B",3,IF(BL3="C+",2.5,IF(BL3="C",2,IF(BL3="D",1,0))))))</f>
        <v>3</v>
      </c>
      <c r="BN3" s="5">
        <v>2</v>
      </c>
      <c r="BO3" s="2">
        <f>BM3*BN3</f>
        <v>6</v>
      </c>
      <c r="BP3" s="5">
        <v>77.8</v>
      </c>
      <c r="BQ3" s="6" t="str">
        <f>IF(BP3&gt;=80,"A",IF(BP3&gt;=75,"B+",IF(BP3&gt;=70,"B",IF(BP3&gt;=65,"C+",IF(BP3&gt;=60,"C",IF(BP3&gt;=55,"D",IF(BP3&lt;54,"E")))))))</f>
        <v>B+</v>
      </c>
      <c r="BR3" s="1">
        <f>IF(BQ3="A",4,IF(BQ3="B+",3.5,IF(BQ3="B",3,IF(BQ3="C+",2.5,IF(BQ3="C",2,IF(BQ3="D",1,0))))))</f>
        <v>3.5</v>
      </c>
      <c r="BS3" s="5">
        <v>2</v>
      </c>
      <c r="BT3" s="2">
        <f>BR3*BS3</f>
        <v>7</v>
      </c>
      <c r="BU3" s="5">
        <v>82</v>
      </c>
      <c r="BV3" s="6" t="str">
        <f>IF(BU3&gt;=80,"A",IF(BU3&gt;=75,"B+",IF(BU3&gt;=70,"B",IF(BU3&gt;=65,"C+",IF(BU3&gt;=60,"C",IF(BU3&gt;=55,"D",IF(BU3&lt;54,"E")))))))</f>
        <v>A</v>
      </c>
      <c r="BW3" s="1">
        <f>IF(BV3="A",4,IF(BV3="B+",3.5,IF(BV3="B",3,IF(BV3="C+",2.5,IF(BV3="C",2,IF(BV3="D",1,0))))))</f>
        <v>4</v>
      </c>
      <c r="BX3" s="5">
        <v>2</v>
      </c>
      <c r="BY3" s="2">
        <f>BW3*BX3</f>
        <v>8</v>
      </c>
      <c r="BZ3" s="5">
        <v>76.7</v>
      </c>
      <c r="CA3" s="6" t="str">
        <f>IF(BZ3&gt;=80,"A",IF(BZ3&gt;=75,"B+",IF(BZ3&gt;=70,"B",IF(BZ3&gt;=65,"C+",IF(BZ3&gt;=60,"C",IF(BZ3&gt;=55,"D",IF(BZ3&lt;54,"E")))))))</f>
        <v>B+</v>
      </c>
      <c r="CB3" s="1">
        <f>IF(CA3="A",4,IF(CA3="B+",3.5,IF(CA3="B",3,IF(CA3="C+",2.5,IF(CA3="C",2,IF(CA3="D",1,0))))))</f>
        <v>3.5</v>
      </c>
      <c r="CC3" s="5">
        <v>2</v>
      </c>
      <c r="CD3" s="2">
        <f>CB3*CC3</f>
        <v>7</v>
      </c>
      <c r="CE3" s="2">
        <v>87</v>
      </c>
      <c r="CF3" s="6" t="str">
        <f>IF(CE3&gt;=80,"A",IF(CE3&gt;=75,"B+",IF(CE3&gt;=70,"B",IF(CE3&gt;=65,"C+",IF(CE3&gt;=60,"C",IF(CE3&gt;=55,"D",IF(CE3&lt;54,"E")))))))</f>
        <v>A</v>
      </c>
      <c r="CG3" s="1">
        <f>IF(CF3="A",4,IF(CF3="B+",3.5,IF(CF3="B",3,IF(CF3="C+",2.5,IF(CF3="C",2,IF(CF3="D",1,0))))))</f>
        <v>4</v>
      </c>
      <c r="CH3" s="5">
        <v>2</v>
      </c>
      <c r="CI3" s="2">
        <f>CG3*CH3</f>
        <v>8</v>
      </c>
      <c r="CJ3" s="2">
        <v>70.73</v>
      </c>
      <c r="CK3" s="6" t="str">
        <f>IF(CJ3&gt;=80,"A",IF(CJ3&gt;=75,"B+",IF(CJ3&gt;=70,"B",IF(CJ3&gt;=65,"C+",IF(CJ3&gt;=60,"C",IF(CJ3&gt;=55,"D",IF(CJ3&lt;54,"E")))))))</f>
        <v>B</v>
      </c>
      <c r="CL3" s="1">
        <f>IF(CK3="A",4,IF(CK3="B+",3.5,IF(CK3="B",3,IF(CK3="C+",2.5,IF(CK3="C",2,IF(CK3="D",1,0))))))</f>
        <v>3</v>
      </c>
      <c r="CM3" s="2">
        <v>2</v>
      </c>
      <c r="CN3" s="2">
        <f>CL3*CM3</f>
        <v>6</v>
      </c>
      <c r="CO3" s="2">
        <v>77.8</v>
      </c>
      <c r="CP3" s="6" t="str">
        <f>IF(CO3&gt;=80,"A",IF(CO3&gt;=75,"B+",IF(CO3&gt;=70,"B",IF(CO3&gt;=65,"C+",IF(CO3&gt;=60,"C",IF(CO3&gt;=55,"D",IF(CO3&lt;54,"E")))))))</f>
        <v>B+</v>
      </c>
      <c r="CQ3" s="1">
        <f>IF(CP3="A",4,IF(CP3="B+",3.5,IF(CP3="B",3,IF(CP3="C+",2.5,IF(CP3="C",2,IF(CP3="D",1,0))))))</f>
        <v>3.5</v>
      </c>
      <c r="CR3" s="2">
        <v>2</v>
      </c>
      <c r="CS3" s="2">
        <f>CQ3*CR3</f>
        <v>7</v>
      </c>
      <c r="CT3" s="2">
        <v>72.099999999999994</v>
      </c>
      <c r="CU3" s="6" t="str">
        <f>IF(CT3&gt;=80,"A",IF(CT3&gt;=75,"B+",IF(CT3&gt;=70,"B",IF(CT3&gt;=65,"C+",IF(CT3&gt;=60,"C",IF(CT3&gt;=55,"D",IF(CT3&lt;54,"E")))))))</f>
        <v>B</v>
      </c>
      <c r="CV3" s="1">
        <f>IF(CU3="A",4,IF(CU3="B+",3.5,IF(CU3="B",3,IF(CU3="C+",2.5,IF(CU3="C",2,IF(CU3="D",1,0))))))</f>
        <v>3</v>
      </c>
      <c r="CW3" s="2">
        <v>2</v>
      </c>
      <c r="CX3" s="2">
        <f>CV3*CW3</f>
        <v>6</v>
      </c>
      <c r="CY3" s="5">
        <v>77</v>
      </c>
      <c r="CZ3" s="6" t="str">
        <f>IF(CY3&gt;=80,"A",IF(CY3&gt;=75,"B+",IF(CY3&gt;=70,"B",IF(CY3&gt;=65,"C+",IF(CY3&gt;=60,"C",IF(CY3&gt;=55,"D",IF(CY3&lt;54,"E")))))))</f>
        <v>B+</v>
      </c>
      <c r="DA3" s="1">
        <f>IF(CZ3="A",4,IF(CZ3="B+",3.5,IF(CZ3="B",3,IF(CZ3="C+",2.5,IF(CZ3="C",2,IF(CZ3="D",1,0))))))</f>
        <v>3.5</v>
      </c>
      <c r="DB3" s="5">
        <v>2</v>
      </c>
      <c r="DC3" s="3">
        <f>DA3*DB3</f>
        <v>7</v>
      </c>
      <c r="DD3" s="5">
        <v>73.5</v>
      </c>
      <c r="DE3" s="6" t="str">
        <f>IF(DD3&gt;=80,"A",IF(DD3&gt;=75,"B+",IF(DD3&gt;=70,"B",IF(DD3&gt;=65,"C+",IF(DD3&gt;=60,"C",IF(DD3&gt;=55,"D",IF(DD3&lt;54,"E")))))))</f>
        <v>B</v>
      </c>
      <c r="DF3" s="1">
        <f>IF(DE3="A",4,IF(DE3="B+",3.5,IF(DE3="B",3,IF(DE3="C+",2.5,IF(DE3="C",2,IF(DE3="D",1,0))))))</f>
        <v>3</v>
      </c>
      <c r="DG3" s="5">
        <v>2</v>
      </c>
      <c r="DH3" s="2">
        <f>DF3*DG3</f>
        <v>6</v>
      </c>
      <c r="DI3" s="5">
        <v>79</v>
      </c>
      <c r="DJ3" s="6" t="str">
        <f>IF(DI3&gt;=80,"A",IF(DI3&gt;=75,"B+",IF(DI3&gt;=70,"B",IF(DI3&gt;=65,"C+",IF(DI3&gt;=60,"C",IF(DI3&gt;=55,"D",IF(DI3&lt;54,"E")))))))</f>
        <v>B+</v>
      </c>
      <c r="DK3" s="1">
        <f>IF(DJ3="A",4,IF(DJ3="B+",3.5,IF(DJ3="B",3,IF(DJ3="C+",2.5,IF(DJ3="C",2,IF(DJ3="D",1,0))))))</f>
        <v>3.5</v>
      </c>
      <c r="DL3" s="5">
        <v>4</v>
      </c>
      <c r="DM3" s="2">
        <f>DK3*DL3</f>
        <v>14</v>
      </c>
      <c r="DN3" s="30">
        <f t="shared" ref="DN3:DN23" si="0">L3+Q3+V3+AA3+AF3+AK3+AP3+AU3+AZ3+BE3+BJ3</f>
        <v>85</v>
      </c>
      <c r="DO3" s="31">
        <f>K3+P3+U3+Z3+AE3+AJ3+AO3+AT3+AY3+BD3+BI3</f>
        <v>24</v>
      </c>
      <c r="DP3" s="5">
        <f>BO3+BT3+BY3+CD3+CI3+CN3+CS3+CX3+DC3+DH3+DM3</f>
        <v>82</v>
      </c>
      <c r="DQ3" s="5">
        <f>BN3+BS3+BX3+CC3+CH3+CM3+CR3+CW3+DB3+DG3+DL3</f>
        <v>24</v>
      </c>
      <c r="DR3" s="5">
        <f>DN3+DP3</f>
        <v>167</v>
      </c>
      <c r="DS3" s="5">
        <f>DO3+DQ3</f>
        <v>48</v>
      </c>
      <c r="DT3" s="5">
        <v>3.4166666666666665</v>
      </c>
      <c r="DU3" s="5">
        <f>DR3/DS3</f>
        <v>3.4791666666666665</v>
      </c>
      <c r="DV3" s="10" t="str">
        <f>IF(DU3&gt;=3.51,"Cum Laude",(IF(DU3&gt;=2.75,"Sangat Memuaskan",(IF(DU3&gt;=2,"Memuaskan","GAGAL")))))</f>
        <v>Sangat Memuaskan</v>
      </c>
      <c r="DW3" s="17" t="str">
        <f>IF(DU3&gt;=3.51,"Excellent",(IF(DU3&gt;=2.75,"Highly Satisfactory",(IF(DU3&gt;=2,"Satisfactory","FAILED")))))</f>
        <v>Highly Satisfactory</v>
      </c>
      <c r="DX3" s="17" t="s">
        <v>164</v>
      </c>
    </row>
    <row r="4" spans="1:128" x14ac:dyDescent="0.2">
      <c r="A4" s="10">
        <v>2</v>
      </c>
      <c r="B4" s="15" t="s">
        <v>22</v>
      </c>
      <c r="C4" s="15">
        <v>182412002</v>
      </c>
      <c r="D4" s="16" t="s">
        <v>95</v>
      </c>
      <c r="E4" s="7" t="s">
        <v>96</v>
      </c>
      <c r="F4" s="15" t="s">
        <v>149</v>
      </c>
      <c r="G4" s="15"/>
      <c r="H4" s="5">
        <v>77.25</v>
      </c>
      <c r="I4" s="6" t="str">
        <f t="shared" ref="I4:I54" si="1">IF(H4&gt;=80,"A",IF(H4&gt;=75,"B+",IF(H4&gt;=70,"B",IF(H4&gt;=65,"C+",IF(H4&gt;=60,"C",IF(H4&gt;=55,"D",IF(H4&lt;54,"E")))))))</f>
        <v>B+</v>
      </c>
      <c r="J4" s="1">
        <f t="shared" ref="J4:J54" si="2">IF(I4="A",4,IF(I4="B+",3.5,IF(I4="B",3,IF(I4="C+",2.5,IF(I4="C",2,IF(I4="D",1,0))))))</f>
        <v>3.5</v>
      </c>
      <c r="K4" s="5">
        <v>2</v>
      </c>
      <c r="L4" s="2">
        <f t="shared" ref="L4:L54" si="3">J4*K4</f>
        <v>7</v>
      </c>
      <c r="M4" s="5">
        <v>78</v>
      </c>
      <c r="N4" s="6" t="str">
        <f t="shared" ref="N4:N54" si="4">IF(M4&gt;=80,"A",IF(M4&gt;=75,"B+",IF(M4&gt;=70,"B",IF(M4&gt;=65,"C+",IF(M4&gt;=60,"C",IF(M4&gt;=55,"D",IF(M4&lt;54,"E")))))))</f>
        <v>B+</v>
      </c>
      <c r="O4" s="1">
        <f t="shared" ref="O4:O54" si="5">IF(N4="A",4,IF(N4="B+",3.5,IF(N4="B",3,IF(N4="C+",2.5,IF(N4="C",2,IF(N4="D",1,0))))))</f>
        <v>3.5</v>
      </c>
      <c r="P4" s="5">
        <v>2</v>
      </c>
      <c r="Q4" s="2">
        <f t="shared" ref="Q4:Q54" si="6">O4*P4</f>
        <v>7</v>
      </c>
      <c r="R4" s="5">
        <v>80</v>
      </c>
      <c r="S4" s="6" t="str">
        <f t="shared" ref="S4:S54" si="7">IF(R4&gt;=80,"A",IF(R4&gt;=75,"B+",IF(R4&gt;=70,"B",IF(R4&gt;=65,"C+",IF(R4&gt;=60,"C",IF(R4&gt;=55,"D",IF(R4&lt;54,"E")))))))</f>
        <v>A</v>
      </c>
      <c r="T4" s="1">
        <f t="shared" ref="T4:T54" si="8">IF(S4="A",4,IF(S4="B+",3.5,IF(S4="B",3,IF(S4="C+",2.5,IF(S4="C",2,IF(S4="D",1,0))))))</f>
        <v>4</v>
      </c>
      <c r="U4" s="5">
        <v>2</v>
      </c>
      <c r="V4" s="2">
        <f t="shared" ref="V4:V54" si="9">T4*U4</f>
        <v>8</v>
      </c>
      <c r="W4" s="5">
        <v>80</v>
      </c>
      <c r="X4" s="6" t="str">
        <f t="shared" ref="X4:X54" si="10">IF(W4&gt;=80,"A",IF(W4&gt;=75,"B+",IF(W4&gt;=70,"B",IF(W4&gt;=65,"C+",IF(W4&gt;=60,"C",IF(W4&gt;=55,"D",IF(W4&lt;54,"E")))))))</f>
        <v>A</v>
      </c>
      <c r="Y4" s="1">
        <f t="shared" ref="Y4:Y54" si="11">IF(X4="A",4,IF(X4="B+",3.5,IF(X4="B",3,IF(X4="C+",2.5,IF(X4="C",2,IF(X4="D",1,0))))))</f>
        <v>4</v>
      </c>
      <c r="Z4" s="5">
        <v>3</v>
      </c>
      <c r="AA4" s="2">
        <f t="shared" ref="AA4:AA54" si="12">Y4*Z4</f>
        <v>12</v>
      </c>
      <c r="AB4" s="2">
        <v>76.75</v>
      </c>
      <c r="AC4" s="6" t="str">
        <f t="shared" ref="AC4:AC54" si="13">IF(AB4&gt;=80,"A",IF(AB4&gt;=75,"B+",IF(AB4&gt;=70,"B",IF(AB4&gt;=65,"C+",IF(AB4&gt;=60,"C",IF(AB4&gt;=55,"D",IF(AB4&lt;54,"E")))))))</f>
        <v>B+</v>
      </c>
      <c r="AD4" s="1">
        <f t="shared" ref="AD4:AD54" si="14">IF(AC4="A",4,IF(AC4="B+",3.5,IF(AC4="B",3,IF(AC4="C+",2.5,IF(AC4="C",2,IF(AC4="D",1,0))))))</f>
        <v>3.5</v>
      </c>
      <c r="AE4" s="2">
        <v>2</v>
      </c>
      <c r="AF4" s="2">
        <f t="shared" ref="AF4:AF54" si="15">AD4*AE4</f>
        <v>7</v>
      </c>
      <c r="AG4" s="2">
        <v>78</v>
      </c>
      <c r="AH4" s="6" t="str">
        <f t="shared" ref="AH4:AH54" si="16">IF(AG4&gt;=80,"A",IF(AG4&gt;=75,"B+",IF(AG4&gt;=70,"B",IF(AG4&gt;=65,"C+",IF(AG4&gt;=60,"C",IF(AG4&gt;=55,"D",IF(AG4&lt;54,"E")))))))</f>
        <v>B+</v>
      </c>
      <c r="AI4" s="1">
        <f t="shared" ref="AI4:AI54" si="17">IF(AH4="A",4,IF(AH4="B+",3.5,IF(AH4="B",3,IF(AH4="C+",2.5,IF(AH4="C",2,IF(AH4="D",1,0))))))</f>
        <v>3.5</v>
      </c>
      <c r="AJ4" s="2">
        <v>2</v>
      </c>
      <c r="AK4" s="2">
        <f t="shared" ref="AK4:AK54" si="18">AI4*AJ4</f>
        <v>7</v>
      </c>
      <c r="AL4" s="2">
        <v>78</v>
      </c>
      <c r="AM4" s="6" t="str">
        <f t="shared" ref="AM4:AM54" si="19">IF(AL4&gt;=80,"A",IF(AL4&gt;=75,"B+",IF(AL4&gt;=70,"B",IF(AL4&gt;=65,"C+",IF(AL4&gt;=60,"C",IF(AL4&gt;=55,"D",IF(AL4&lt;54,"E")))))))</f>
        <v>B+</v>
      </c>
      <c r="AN4" s="1">
        <f t="shared" ref="AN4:AN54" si="20">IF(AM4="A",4,IF(AM4="B+",3.5,IF(AM4="B",3,IF(AM4="C+",2.5,IF(AM4="C",2,IF(AM4="D",1,0))))))</f>
        <v>3.5</v>
      </c>
      <c r="AO4" s="2">
        <v>2</v>
      </c>
      <c r="AP4" s="2">
        <f t="shared" ref="AP4:AP54" si="21">AN4*AO4</f>
        <v>7</v>
      </c>
      <c r="AQ4" s="2">
        <v>77</v>
      </c>
      <c r="AR4" s="6" t="str">
        <f t="shared" ref="AR4:AR54" si="22">IF(AQ4&gt;=80,"A",IF(AQ4&gt;=75,"B+",IF(AQ4&gt;=70,"B",IF(AQ4&gt;=65,"C+",IF(AQ4&gt;=60,"C",IF(AQ4&gt;=55,"D",IF(AQ4&lt;54,"E")))))))</f>
        <v>B+</v>
      </c>
      <c r="AS4" s="1">
        <f t="shared" ref="AS4:AS54" si="23">IF(AR4="A",4,IF(AR4="B+",3.5,IF(AR4="B",3,IF(AR4="C+",2.5,IF(AR4="C",2,IF(AR4="D",1,0))))))</f>
        <v>3.5</v>
      </c>
      <c r="AT4" s="2">
        <v>2</v>
      </c>
      <c r="AU4" s="2">
        <f t="shared" ref="AU4:AU54" si="24">AS4*AT4</f>
        <v>7</v>
      </c>
      <c r="AV4" s="5">
        <v>76.75</v>
      </c>
      <c r="AW4" s="6" t="str">
        <f t="shared" ref="AW4:AW54" si="25">IF(AV4&gt;=80,"A",IF(AV4&gt;=75,"B+",IF(AV4&gt;=70,"B",IF(AV4&gt;=65,"C+",IF(AV4&gt;=60,"C",IF(AV4&gt;=55,"D",IF(AV4&lt;54,"E")))))))</f>
        <v>B+</v>
      </c>
      <c r="AX4" s="1">
        <f t="shared" ref="AX4:AX54" si="26">IF(AW4="A",4,IF(AW4="B+",3.5,IF(AW4="B",3,IF(AW4="C+",2.5,IF(AW4="C",2,IF(AW4="D",1,0))))))</f>
        <v>3.5</v>
      </c>
      <c r="AY4" s="5">
        <v>3</v>
      </c>
      <c r="AZ4" s="3">
        <f t="shared" ref="AZ4:AZ54" si="27">AX4*AY4</f>
        <v>10.5</v>
      </c>
      <c r="BA4" s="5">
        <v>76.25</v>
      </c>
      <c r="BB4" s="6" t="str">
        <f t="shared" ref="BB4:BB54" si="28">IF(BA4&gt;=80,"A",IF(BA4&gt;=75,"B+",IF(BA4&gt;=70,"B",IF(BA4&gt;=65,"C+",IF(BA4&gt;=60,"C",IF(BA4&gt;=55,"D",IF(BA4&lt;54,"E")))))))</f>
        <v>B+</v>
      </c>
      <c r="BC4" s="1">
        <f t="shared" ref="BC4:BC54" si="29">IF(BB4="A",4,IF(BB4="B+",3.5,IF(BB4="B",3,IF(BB4="C+",2.5,IF(BB4="C",2,IF(BB4="D",1,0))))))</f>
        <v>3.5</v>
      </c>
      <c r="BD4" s="5">
        <v>2</v>
      </c>
      <c r="BE4" s="2">
        <f t="shared" ref="BE4:BE54" si="30">BC4*BD4</f>
        <v>7</v>
      </c>
      <c r="BF4" s="5">
        <v>80</v>
      </c>
      <c r="BG4" s="6" t="str">
        <f t="shared" ref="BG4:BG54" si="31">IF(BF4&gt;=80,"A",IF(BF4&gt;=75,"B+",IF(BF4&gt;=70,"B",IF(BF4&gt;=65,"C+",IF(BF4&gt;=60,"C",IF(BF4&gt;=55,"D",IF(BF4&lt;54,"E")))))))</f>
        <v>A</v>
      </c>
      <c r="BH4" s="1">
        <f t="shared" ref="BH4:BH54" si="32">IF(BG4="A",4,IF(BG4="B+",3.5,IF(BG4="B",3,IF(BG4="C+",2.5,IF(BG4="C",2,IF(BG4="D",1,0))))))</f>
        <v>4</v>
      </c>
      <c r="BI4" s="5">
        <v>2</v>
      </c>
      <c r="BJ4" s="2">
        <f t="shared" ref="BJ4:BJ54" si="33">BH4*BI4</f>
        <v>8</v>
      </c>
      <c r="BK4" s="5">
        <v>79.73</v>
      </c>
      <c r="BL4" s="6" t="str">
        <f t="shared" ref="BL4:BL54" si="34">IF(BK4&gt;=80,"A",IF(BK4&gt;=75,"B+",IF(BK4&gt;=70,"B",IF(BK4&gt;=65,"C+",IF(BK4&gt;=60,"C",IF(BK4&gt;=55,"D",IF(BK4&lt;54,"E")))))))</f>
        <v>B+</v>
      </c>
      <c r="BM4" s="1">
        <f t="shared" ref="BM4:BM54" si="35">IF(BL4="A",4,IF(BL4="B+",3.5,IF(BL4="B",3,IF(BL4="C+",2.5,IF(BL4="C",2,IF(BL4="D",1,0))))))</f>
        <v>3.5</v>
      </c>
      <c r="BN4" s="5">
        <v>2</v>
      </c>
      <c r="BO4" s="2">
        <f t="shared" ref="BO4:BO54" si="36">BM4*BN4</f>
        <v>7</v>
      </c>
      <c r="BP4" s="5">
        <v>81.099999999999994</v>
      </c>
      <c r="BQ4" s="6" t="str">
        <f t="shared" ref="BQ4:BQ54" si="37">IF(BP4&gt;=80,"A",IF(BP4&gt;=75,"B+",IF(BP4&gt;=70,"B",IF(BP4&gt;=65,"C+",IF(BP4&gt;=60,"C",IF(BP4&gt;=55,"D",IF(BP4&lt;54,"E")))))))</f>
        <v>A</v>
      </c>
      <c r="BR4" s="1">
        <f t="shared" ref="BR4:BR54" si="38">IF(BQ4="A",4,IF(BQ4="B+",3.5,IF(BQ4="B",3,IF(BQ4="C+",2.5,IF(BQ4="C",2,IF(BQ4="D",1,0))))))</f>
        <v>4</v>
      </c>
      <c r="BS4" s="5">
        <v>2</v>
      </c>
      <c r="BT4" s="2">
        <f t="shared" ref="BT4:BT54" si="39">BR4*BS4</f>
        <v>8</v>
      </c>
      <c r="BU4" s="5">
        <v>80</v>
      </c>
      <c r="BV4" s="6" t="str">
        <f t="shared" ref="BV4:BV54" si="40">IF(BU4&gt;=80,"A",IF(BU4&gt;=75,"B+",IF(BU4&gt;=70,"B",IF(BU4&gt;=65,"C+",IF(BU4&gt;=60,"C",IF(BU4&gt;=55,"D",IF(BU4&lt;54,"E")))))))</f>
        <v>A</v>
      </c>
      <c r="BW4" s="1">
        <f t="shared" ref="BW4:BW54" si="41">IF(BV4="A",4,IF(BV4="B+",3.5,IF(BV4="B",3,IF(BV4="C+",2.5,IF(BV4="C",2,IF(BV4="D",1,0))))))</f>
        <v>4</v>
      </c>
      <c r="BX4" s="5">
        <v>2</v>
      </c>
      <c r="BY4" s="2">
        <f t="shared" ref="BY4:BY54" si="42">BW4*BX4</f>
        <v>8</v>
      </c>
      <c r="BZ4" s="5">
        <v>78.2</v>
      </c>
      <c r="CA4" s="6" t="str">
        <f t="shared" ref="CA4:CA54" si="43">IF(BZ4&gt;=80,"A",IF(BZ4&gt;=75,"B+",IF(BZ4&gt;=70,"B",IF(BZ4&gt;=65,"C+",IF(BZ4&gt;=60,"C",IF(BZ4&gt;=55,"D",IF(BZ4&lt;54,"E")))))))</f>
        <v>B+</v>
      </c>
      <c r="CB4" s="1">
        <f t="shared" ref="CB4:CB54" si="44">IF(CA4="A",4,IF(CA4="B+",3.5,IF(CA4="B",3,IF(CA4="C+",2.5,IF(CA4="C",2,IF(CA4="D",1,0))))))</f>
        <v>3.5</v>
      </c>
      <c r="CC4" s="5">
        <v>2</v>
      </c>
      <c r="CD4" s="2">
        <f t="shared" ref="CD4:CD54" si="45">CB4*CC4</f>
        <v>7</v>
      </c>
      <c r="CE4" s="2">
        <v>86</v>
      </c>
      <c r="CF4" s="6" t="str">
        <f t="shared" ref="CF4:CF54" si="46">IF(CE4&gt;=80,"A",IF(CE4&gt;=75,"B+",IF(CE4&gt;=70,"B",IF(CE4&gt;=65,"C+",IF(CE4&gt;=60,"C",IF(CE4&gt;=55,"D",IF(CE4&lt;54,"E")))))))</f>
        <v>A</v>
      </c>
      <c r="CG4" s="1">
        <f t="shared" ref="CG4:CG54" si="47">IF(CF4="A",4,IF(CF4="B+",3.5,IF(CF4="B",3,IF(CF4="C+",2.5,IF(CF4="C",2,IF(CF4="D",1,0))))))</f>
        <v>4</v>
      </c>
      <c r="CH4" s="5">
        <v>2</v>
      </c>
      <c r="CI4" s="2">
        <f t="shared" ref="CI4:CI54" si="48">CG4*CH4</f>
        <v>8</v>
      </c>
      <c r="CJ4" s="2">
        <v>76.13</v>
      </c>
      <c r="CK4" s="6" t="str">
        <f t="shared" ref="CK4:CK54" si="49">IF(CJ4&gt;=80,"A",IF(CJ4&gt;=75,"B+",IF(CJ4&gt;=70,"B",IF(CJ4&gt;=65,"C+",IF(CJ4&gt;=60,"C",IF(CJ4&gt;=55,"D",IF(CJ4&lt;54,"E")))))))</f>
        <v>B+</v>
      </c>
      <c r="CL4" s="1">
        <f t="shared" ref="CL4:CL54" si="50">IF(CK4="A",4,IF(CK4="B+",3.5,IF(CK4="B",3,IF(CK4="C+",2.5,IF(CK4="C",2,IF(CK4="D",1,0))))))</f>
        <v>3.5</v>
      </c>
      <c r="CM4" s="2">
        <v>2</v>
      </c>
      <c r="CN4" s="2">
        <f t="shared" ref="CN4:CN54" si="51">CL4*CM4</f>
        <v>7</v>
      </c>
      <c r="CO4" s="2">
        <v>77.599999999999994</v>
      </c>
      <c r="CP4" s="6" t="str">
        <f t="shared" ref="CP4:CP54" si="52">IF(CO4&gt;=80,"A",IF(CO4&gt;=75,"B+",IF(CO4&gt;=70,"B",IF(CO4&gt;=65,"C+",IF(CO4&gt;=60,"C",IF(CO4&gt;=55,"D",IF(CO4&lt;54,"E")))))))</f>
        <v>B+</v>
      </c>
      <c r="CQ4" s="1">
        <f t="shared" ref="CQ4:CQ54" si="53">IF(CP4="A",4,IF(CP4="B+",3.5,IF(CP4="B",3,IF(CP4="C+",2.5,IF(CP4="C",2,IF(CP4="D",1,0))))))</f>
        <v>3.5</v>
      </c>
      <c r="CR4" s="2">
        <v>2</v>
      </c>
      <c r="CS4" s="2">
        <f t="shared" ref="CS4:CS54" si="54">CQ4*CR4</f>
        <v>7</v>
      </c>
      <c r="CT4" s="2">
        <v>81.3</v>
      </c>
      <c r="CU4" s="6" t="str">
        <f t="shared" ref="CU4:CU54" si="55">IF(CT4&gt;=80,"A",IF(CT4&gt;=75,"B+",IF(CT4&gt;=70,"B",IF(CT4&gt;=65,"C+",IF(CT4&gt;=60,"C",IF(CT4&gt;=55,"D",IF(CT4&lt;54,"E")))))))</f>
        <v>A</v>
      </c>
      <c r="CV4" s="1">
        <f t="shared" ref="CV4:CV54" si="56">IF(CU4="A",4,IF(CU4="B+",3.5,IF(CU4="B",3,IF(CU4="C+",2.5,IF(CU4="C",2,IF(CU4="D",1,0))))))</f>
        <v>4</v>
      </c>
      <c r="CW4" s="2">
        <v>2</v>
      </c>
      <c r="CX4" s="2">
        <f t="shared" ref="CX4:CX54" si="57">CV4*CW4</f>
        <v>8</v>
      </c>
      <c r="CY4" s="5">
        <v>79</v>
      </c>
      <c r="CZ4" s="6" t="str">
        <f t="shared" ref="CZ4:CZ54" si="58">IF(CY4&gt;=80,"A",IF(CY4&gt;=75,"B+",IF(CY4&gt;=70,"B",IF(CY4&gt;=65,"C+",IF(CY4&gt;=60,"C",IF(CY4&gt;=55,"D",IF(CY4&lt;54,"E")))))))</f>
        <v>B+</v>
      </c>
      <c r="DA4" s="1">
        <f t="shared" ref="DA4:DA54" si="59">IF(CZ4="A",4,IF(CZ4="B+",3.5,IF(CZ4="B",3,IF(CZ4="C+",2.5,IF(CZ4="C",2,IF(CZ4="D",1,0))))))</f>
        <v>3.5</v>
      </c>
      <c r="DB4" s="5">
        <v>2</v>
      </c>
      <c r="DC4" s="3">
        <f t="shared" ref="DC4:DC54" si="60">DA4*DB4</f>
        <v>7</v>
      </c>
      <c r="DD4" s="5">
        <v>75.099999999999994</v>
      </c>
      <c r="DE4" s="6" t="str">
        <f t="shared" ref="DE4:DE54" si="61">IF(DD4&gt;=80,"A",IF(DD4&gt;=75,"B+",IF(DD4&gt;=70,"B",IF(DD4&gt;=65,"C+",IF(DD4&gt;=60,"C",IF(DD4&gt;=55,"D",IF(DD4&lt;54,"E")))))))</f>
        <v>B+</v>
      </c>
      <c r="DF4" s="1">
        <f t="shared" ref="DF4:DF54" si="62">IF(DE4="A",4,IF(DE4="B+",3.5,IF(DE4="B",3,IF(DE4="C+",2.5,IF(DE4="C",2,IF(DE4="D",1,0))))))</f>
        <v>3.5</v>
      </c>
      <c r="DG4" s="5">
        <v>2</v>
      </c>
      <c r="DH4" s="2">
        <f t="shared" ref="DH4:DH54" si="63">DF4*DG4</f>
        <v>7</v>
      </c>
      <c r="DI4" s="5">
        <v>82</v>
      </c>
      <c r="DJ4" s="6" t="str">
        <f t="shared" ref="DJ4:DJ54" si="64">IF(DI4&gt;=80,"A",IF(DI4&gt;=75,"B+",IF(DI4&gt;=70,"B",IF(DI4&gt;=65,"C+",IF(DI4&gt;=60,"C",IF(DI4&gt;=55,"D",IF(DI4&lt;54,"E")))))))</f>
        <v>A</v>
      </c>
      <c r="DK4" s="1">
        <f t="shared" ref="DK4:DK54" si="65">IF(DJ4="A",4,IF(DJ4="B+",3.5,IF(DJ4="B",3,IF(DJ4="C+",2.5,IF(DJ4="C",2,IF(DJ4="D",1,0))))))</f>
        <v>4</v>
      </c>
      <c r="DL4" s="5">
        <v>4</v>
      </c>
      <c r="DM4" s="2">
        <f t="shared" ref="DM4:DM54" si="66">DK4*DL4</f>
        <v>16</v>
      </c>
      <c r="DN4" s="30">
        <f t="shared" si="0"/>
        <v>87.5</v>
      </c>
      <c r="DO4" s="31">
        <f t="shared" ref="DO4:DO54" si="67">K4+P4+U4+Z4+AE4+AJ4+AO4+AT4+AY4+BD4+BI4</f>
        <v>24</v>
      </c>
      <c r="DP4" s="5">
        <f t="shared" ref="DP4:DP54" si="68">BO4+BT4+BY4+CD4+CI4+CN4+CS4+CX4+DC4+DH4+DM4</f>
        <v>90</v>
      </c>
      <c r="DQ4" s="5">
        <f t="shared" ref="DQ4:DQ53" si="69">BN4+BS4+BX4+CC4+CH4+CM4+CR4+CW4+DB4+DG4+DL4</f>
        <v>24</v>
      </c>
      <c r="DR4" s="5">
        <f t="shared" ref="DR4:DR54" si="70">DN4+DP4</f>
        <v>177.5</v>
      </c>
      <c r="DS4" s="5">
        <f t="shared" ref="DS4:DS54" si="71">DO4+DQ4</f>
        <v>48</v>
      </c>
      <c r="DT4" s="5">
        <v>3.75</v>
      </c>
      <c r="DU4" s="5">
        <f t="shared" ref="DU4:DU54" si="72">DR4/DS4</f>
        <v>3.6979166666666665</v>
      </c>
      <c r="DV4" s="10" t="str">
        <f t="shared" ref="DV4:DV54" si="73">IF(DU4&gt;=3.51,"Cum Laude",(IF(DU4&gt;=2.75,"Sangat Memuaskan",(IF(DU4&gt;=2,"Memuaskan","GAGAL")))))</f>
        <v>Cum Laude</v>
      </c>
      <c r="DW4" s="17" t="str">
        <f t="shared" ref="DW4:DW54" si="74">IF(DU4&gt;=3.51,"Excellent",(IF(DU4&gt;=2.75,"Highly Satisfactory",(IF(DU4&gt;=2,"Satisfactory","FAILED")))))</f>
        <v>Excellent</v>
      </c>
      <c r="DX4" s="17" t="s">
        <v>165</v>
      </c>
    </row>
    <row r="5" spans="1:128" x14ac:dyDescent="0.2">
      <c r="A5" s="10">
        <v>3</v>
      </c>
      <c r="B5" s="15" t="s">
        <v>23</v>
      </c>
      <c r="C5" s="15">
        <v>182412003</v>
      </c>
      <c r="D5" s="16" t="s">
        <v>97</v>
      </c>
      <c r="E5" s="7" t="s">
        <v>98</v>
      </c>
      <c r="F5" s="15" t="s">
        <v>149</v>
      </c>
      <c r="G5" s="15"/>
      <c r="H5" s="5">
        <v>80.25</v>
      </c>
      <c r="I5" s="6" t="str">
        <f t="shared" si="1"/>
        <v>A</v>
      </c>
      <c r="J5" s="1">
        <f t="shared" si="2"/>
        <v>4</v>
      </c>
      <c r="K5" s="5">
        <v>2</v>
      </c>
      <c r="L5" s="2">
        <f t="shared" si="3"/>
        <v>8</v>
      </c>
      <c r="M5" s="5">
        <v>77</v>
      </c>
      <c r="N5" s="6" t="str">
        <f t="shared" si="4"/>
        <v>B+</v>
      </c>
      <c r="O5" s="1">
        <f t="shared" si="5"/>
        <v>3.5</v>
      </c>
      <c r="P5" s="5">
        <v>2</v>
      </c>
      <c r="Q5" s="2">
        <f t="shared" si="6"/>
        <v>7</v>
      </c>
      <c r="R5" s="5">
        <v>83</v>
      </c>
      <c r="S5" s="6" t="str">
        <f t="shared" si="7"/>
        <v>A</v>
      </c>
      <c r="T5" s="1">
        <f t="shared" si="8"/>
        <v>4</v>
      </c>
      <c r="U5" s="5">
        <v>2</v>
      </c>
      <c r="V5" s="2">
        <f t="shared" si="9"/>
        <v>8</v>
      </c>
      <c r="W5" s="5">
        <v>80</v>
      </c>
      <c r="X5" s="6" t="str">
        <f t="shared" si="10"/>
        <v>A</v>
      </c>
      <c r="Y5" s="1">
        <f t="shared" si="11"/>
        <v>4</v>
      </c>
      <c r="Z5" s="5">
        <v>3</v>
      </c>
      <c r="AA5" s="2">
        <f t="shared" si="12"/>
        <v>12</v>
      </c>
      <c r="AB5" s="2">
        <v>82.8</v>
      </c>
      <c r="AC5" s="6" t="str">
        <f t="shared" si="13"/>
        <v>A</v>
      </c>
      <c r="AD5" s="1">
        <f t="shared" si="14"/>
        <v>4</v>
      </c>
      <c r="AE5" s="2">
        <v>2</v>
      </c>
      <c r="AF5" s="2">
        <f t="shared" si="15"/>
        <v>8</v>
      </c>
      <c r="AG5" s="2">
        <v>78</v>
      </c>
      <c r="AH5" s="6" t="str">
        <f t="shared" si="16"/>
        <v>B+</v>
      </c>
      <c r="AI5" s="1">
        <f t="shared" si="17"/>
        <v>3.5</v>
      </c>
      <c r="AJ5" s="2">
        <v>2</v>
      </c>
      <c r="AK5" s="2">
        <f t="shared" si="18"/>
        <v>7</v>
      </c>
      <c r="AL5" s="2">
        <v>78</v>
      </c>
      <c r="AM5" s="6" t="str">
        <f t="shared" si="19"/>
        <v>B+</v>
      </c>
      <c r="AN5" s="1">
        <f t="shared" si="20"/>
        <v>3.5</v>
      </c>
      <c r="AO5" s="2">
        <v>2</v>
      </c>
      <c r="AP5" s="2">
        <f t="shared" si="21"/>
        <v>7</v>
      </c>
      <c r="AQ5" s="2">
        <v>74</v>
      </c>
      <c r="AR5" s="6" t="str">
        <f t="shared" si="22"/>
        <v>B</v>
      </c>
      <c r="AS5" s="1">
        <f t="shared" si="23"/>
        <v>3</v>
      </c>
      <c r="AT5" s="2">
        <v>2</v>
      </c>
      <c r="AU5" s="2">
        <f t="shared" si="24"/>
        <v>6</v>
      </c>
      <c r="AV5" s="5">
        <v>80</v>
      </c>
      <c r="AW5" s="6" t="str">
        <f t="shared" si="25"/>
        <v>A</v>
      </c>
      <c r="AX5" s="1">
        <f t="shared" si="26"/>
        <v>4</v>
      </c>
      <c r="AY5" s="5">
        <v>3</v>
      </c>
      <c r="AZ5" s="3">
        <f t="shared" si="27"/>
        <v>12</v>
      </c>
      <c r="BA5" s="5">
        <v>76.25</v>
      </c>
      <c r="BB5" s="6" t="str">
        <f t="shared" si="28"/>
        <v>B+</v>
      </c>
      <c r="BC5" s="1">
        <f t="shared" si="29"/>
        <v>3.5</v>
      </c>
      <c r="BD5" s="5">
        <v>2</v>
      </c>
      <c r="BE5" s="2">
        <f t="shared" si="30"/>
        <v>7</v>
      </c>
      <c r="BF5" s="5">
        <v>80</v>
      </c>
      <c r="BG5" s="6" t="str">
        <f t="shared" si="31"/>
        <v>A</v>
      </c>
      <c r="BH5" s="1">
        <f t="shared" si="32"/>
        <v>4</v>
      </c>
      <c r="BI5" s="5">
        <v>2</v>
      </c>
      <c r="BJ5" s="2">
        <f t="shared" si="33"/>
        <v>8</v>
      </c>
      <c r="BK5" s="5">
        <v>79.069999999999993</v>
      </c>
      <c r="BL5" s="6" t="str">
        <f t="shared" si="34"/>
        <v>B+</v>
      </c>
      <c r="BM5" s="1">
        <f t="shared" si="35"/>
        <v>3.5</v>
      </c>
      <c r="BN5" s="5">
        <v>2</v>
      </c>
      <c r="BO5" s="2">
        <f t="shared" si="36"/>
        <v>7</v>
      </c>
      <c r="BP5" s="5">
        <v>80.3</v>
      </c>
      <c r="BQ5" s="6" t="str">
        <f t="shared" si="37"/>
        <v>A</v>
      </c>
      <c r="BR5" s="1">
        <f t="shared" si="38"/>
        <v>4</v>
      </c>
      <c r="BS5" s="5">
        <v>2</v>
      </c>
      <c r="BT5" s="2">
        <f t="shared" si="39"/>
        <v>8</v>
      </c>
      <c r="BU5" s="5">
        <v>83</v>
      </c>
      <c r="BV5" s="6" t="str">
        <f t="shared" si="40"/>
        <v>A</v>
      </c>
      <c r="BW5" s="1">
        <f t="shared" si="41"/>
        <v>4</v>
      </c>
      <c r="BX5" s="5">
        <v>2</v>
      </c>
      <c r="BY5" s="2">
        <f t="shared" si="42"/>
        <v>8</v>
      </c>
      <c r="BZ5" s="5">
        <v>80.7</v>
      </c>
      <c r="CA5" s="6" t="str">
        <f t="shared" si="43"/>
        <v>A</v>
      </c>
      <c r="CB5" s="1">
        <f t="shared" si="44"/>
        <v>4</v>
      </c>
      <c r="CC5" s="5">
        <v>2</v>
      </c>
      <c r="CD5" s="2">
        <f t="shared" si="45"/>
        <v>8</v>
      </c>
      <c r="CE5" s="2">
        <v>85</v>
      </c>
      <c r="CF5" s="6" t="str">
        <f t="shared" si="46"/>
        <v>A</v>
      </c>
      <c r="CG5" s="1">
        <f t="shared" si="47"/>
        <v>4</v>
      </c>
      <c r="CH5" s="5">
        <v>2</v>
      </c>
      <c r="CI5" s="2">
        <f t="shared" si="48"/>
        <v>8</v>
      </c>
      <c r="CJ5" s="2">
        <v>73.150000000000006</v>
      </c>
      <c r="CK5" s="6" t="str">
        <f t="shared" si="49"/>
        <v>B</v>
      </c>
      <c r="CL5" s="1">
        <f t="shared" si="50"/>
        <v>3</v>
      </c>
      <c r="CM5" s="2">
        <v>2</v>
      </c>
      <c r="CN5" s="2">
        <f t="shared" si="51"/>
        <v>6</v>
      </c>
      <c r="CO5" s="2">
        <v>80.2</v>
      </c>
      <c r="CP5" s="6" t="str">
        <f t="shared" si="52"/>
        <v>A</v>
      </c>
      <c r="CQ5" s="1">
        <f t="shared" si="53"/>
        <v>4</v>
      </c>
      <c r="CR5" s="2">
        <v>2</v>
      </c>
      <c r="CS5" s="2">
        <f t="shared" si="54"/>
        <v>8</v>
      </c>
      <c r="CT5" s="2">
        <v>71</v>
      </c>
      <c r="CU5" s="6" t="str">
        <f t="shared" si="55"/>
        <v>B</v>
      </c>
      <c r="CV5" s="1">
        <f t="shared" si="56"/>
        <v>3</v>
      </c>
      <c r="CW5" s="2">
        <v>2</v>
      </c>
      <c r="CX5" s="2">
        <f t="shared" si="57"/>
        <v>6</v>
      </c>
      <c r="CY5" s="5">
        <v>84</v>
      </c>
      <c r="CZ5" s="6" t="str">
        <f t="shared" si="58"/>
        <v>A</v>
      </c>
      <c r="DA5" s="1">
        <f t="shared" si="59"/>
        <v>4</v>
      </c>
      <c r="DB5" s="5">
        <v>2</v>
      </c>
      <c r="DC5" s="3">
        <f t="shared" si="60"/>
        <v>8</v>
      </c>
      <c r="DD5" s="5">
        <v>73.5</v>
      </c>
      <c r="DE5" s="6" t="str">
        <f t="shared" si="61"/>
        <v>B</v>
      </c>
      <c r="DF5" s="1">
        <f t="shared" si="62"/>
        <v>3</v>
      </c>
      <c r="DG5" s="5">
        <v>2</v>
      </c>
      <c r="DH5" s="2">
        <f t="shared" si="63"/>
        <v>6</v>
      </c>
      <c r="DI5" s="5">
        <v>80</v>
      </c>
      <c r="DJ5" s="6" t="str">
        <f t="shared" si="64"/>
        <v>A</v>
      </c>
      <c r="DK5" s="1">
        <f t="shared" si="65"/>
        <v>4</v>
      </c>
      <c r="DL5" s="5">
        <v>4</v>
      </c>
      <c r="DM5" s="2">
        <f t="shared" si="66"/>
        <v>16</v>
      </c>
      <c r="DN5" s="30">
        <f t="shared" si="0"/>
        <v>90</v>
      </c>
      <c r="DO5" s="31">
        <f t="shared" si="67"/>
        <v>24</v>
      </c>
      <c r="DP5" s="5">
        <f t="shared" si="68"/>
        <v>89</v>
      </c>
      <c r="DQ5" s="5">
        <f t="shared" si="69"/>
        <v>24</v>
      </c>
      <c r="DR5" s="5">
        <f t="shared" si="70"/>
        <v>179</v>
      </c>
      <c r="DS5" s="5">
        <f t="shared" si="71"/>
        <v>48</v>
      </c>
      <c r="DT5" s="5">
        <v>3.7083333333333335</v>
      </c>
      <c r="DU5" s="5">
        <f t="shared" si="72"/>
        <v>3.7291666666666665</v>
      </c>
      <c r="DV5" s="10" t="str">
        <f t="shared" si="73"/>
        <v>Cum Laude</v>
      </c>
      <c r="DW5" s="17" t="str">
        <f t="shared" si="74"/>
        <v>Excellent</v>
      </c>
      <c r="DX5" s="17" t="s">
        <v>153</v>
      </c>
    </row>
    <row r="6" spans="1:128" x14ac:dyDescent="0.2">
      <c r="A6" s="10">
        <v>4</v>
      </c>
      <c r="B6" s="15" t="s">
        <v>24</v>
      </c>
      <c r="C6" s="15">
        <v>182412004</v>
      </c>
      <c r="D6" s="16" t="s">
        <v>99</v>
      </c>
      <c r="E6" s="7" t="s">
        <v>100</v>
      </c>
      <c r="F6" s="15" t="s">
        <v>149</v>
      </c>
      <c r="G6" s="15"/>
      <c r="H6" s="5">
        <v>71</v>
      </c>
      <c r="I6" s="6" t="str">
        <f t="shared" si="1"/>
        <v>B</v>
      </c>
      <c r="J6" s="1">
        <f t="shared" si="2"/>
        <v>3</v>
      </c>
      <c r="K6" s="5">
        <v>2</v>
      </c>
      <c r="L6" s="2">
        <f t="shared" si="3"/>
        <v>6</v>
      </c>
      <c r="M6" s="5">
        <v>75</v>
      </c>
      <c r="N6" s="6" t="str">
        <f t="shared" si="4"/>
        <v>B+</v>
      </c>
      <c r="O6" s="1">
        <f t="shared" si="5"/>
        <v>3.5</v>
      </c>
      <c r="P6" s="5">
        <v>2</v>
      </c>
      <c r="Q6" s="2">
        <f t="shared" si="6"/>
        <v>7</v>
      </c>
      <c r="R6" s="5">
        <v>74</v>
      </c>
      <c r="S6" s="6" t="str">
        <f t="shared" si="7"/>
        <v>B</v>
      </c>
      <c r="T6" s="1">
        <f t="shared" si="8"/>
        <v>3</v>
      </c>
      <c r="U6" s="5">
        <v>2</v>
      </c>
      <c r="V6" s="2">
        <f t="shared" si="9"/>
        <v>6</v>
      </c>
      <c r="W6" s="5">
        <v>78</v>
      </c>
      <c r="X6" s="6" t="str">
        <f t="shared" si="10"/>
        <v>B+</v>
      </c>
      <c r="Y6" s="1">
        <f t="shared" si="11"/>
        <v>3.5</v>
      </c>
      <c r="Z6" s="5">
        <v>3</v>
      </c>
      <c r="AA6" s="2">
        <f t="shared" si="12"/>
        <v>10.5</v>
      </c>
      <c r="AB6" s="2">
        <v>82.05</v>
      </c>
      <c r="AC6" s="6" t="str">
        <f t="shared" si="13"/>
        <v>A</v>
      </c>
      <c r="AD6" s="1">
        <f t="shared" si="14"/>
        <v>4</v>
      </c>
      <c r="AE6" s="2">
        <v>2</v>
      </c>
      <c r="AF6" s="2">
        <f t="shared" si="15"/>
        <v>8</v>
      </c>
      <c r="AG6" s="2">
        <v>78</v>
      </c>
      <c r="AH6" s="6" t="str">
        <f t="shared" si="16"/>
        <v>B+</v>
      </c>
      <c r="AI6" s="1">
        <f t="shared" si="17"/>
        <v>3.5</v>
      </c>
      <c r="AJ6" s="2">
        <v>2</v>
      </c>
      <c r="AK6" s="2">
        <f t="shared" si="18"/>
        <v>7</v>
      </c>
      <c r="AL6" s="2">
        <v>79</v>
      </c>
      <c r="AM6" s="6" t="str">
        <f t="shared" si="19"/>
        <v>B+</v>
      </c>
      <c r="AN6" s="1">
        <f t="shared" si="20"/>
        <v>3.5</v>
      </c>
      <c r="AO6" s="2">
        <v>2</v>
      </c>
      <c r="AP6" s="2">
        <f t="shared" si="21"/>
        <v>7</v>
      </c>
      <c r="AQ6" s="2">
        <v>74</v>
      </c>
      <c r="AR6" s="6" t="str">
        <f t="shared" si="22"/>
        <v>B</v>
      </c>
      <c r="AS6" s="1">
        <f t="shared" si="23"/>
        <v>3</v>
      </c>
      <c r="AT6" s="2">
        <v>2</v>
      </c>
      <c r="AU6" s="2">
        <f t="shared" si="24"/>
        <v>6</v>
      </c>
      <c r="AV6" s="5">
        <v>78</v>
      </c>
      <c r="AW6" s="6" t="str">
        <f t="shared" si="25"/>
        <v>B+</v>
      </c>
      <c r="AX6" s="1">
        <f t="shared" si="26"/>
        <v>3.5</v>
      </c>
      <c r="AY6" s="5">
        <v>3</v>
      </c>
      <c r="AZ6" s="3">
        <f t="shared" si="27"/>
        <v>10.5</v>
      </c>
      <c r="BA6" s="5">
        <v>76.25</v>
      </c>
      <c r="BB6" s="6" t="str">
        <f t="shared" si="28"/>
        <v>B+</v>
      </c>
      <c r="BC6" s="1">
        <f t="shared" si="29"/>
        <v>3.5</v>
      </c>
      <c r="BD6" s="5">
        <v>2</v>
      </c>
      <c r="BE6" s="2">
        <f t="shared" si="30"/>
        <v>7</v>
      </c>
      <c r="BF6" s="5">
        <v>79</v>
      </c>
      <c r="BG6" s="6" t="str">
        <f t="shared" si="31"/>
        <v>B+</v>
      </c>
      <c r="BH6" s="1">
        <f t="shared" si="32"/>
        <v>3.5</v>
      </c>
      <c r="BI6" s="5">
        <v>2</v>
      </c>
      <c r="BJ6" s="2">
        <f t="shared" si="33"/>
        <v>7</v>
      </c>
      <c r="BK6" s="5">
        <v>76.400000000000006</v>
      </c>
      <c r="BL6" s="6" t="str">
        <f t="shared" si="34"/>
        <v>B+</v>
      </c>
      <c r="BM6" s="1">
        <f t="shared" si="35"/>
        <v>3.5</v>
      </c>
      <c r="BN6" s="5">
        <v>2</v>
      </c>
      <c r="BO6" s="2">
        <f t="shared" si="36"/>
        <v>7</v>
      </c>
      <c r="BP6" s="5">
        <v>77.3</v>
      </c>
      <c r="BQ6" s="6" t="str">
        <f t="shared" si="37"/>
        <v>B+</v>
      </c>
      <c r="BR6" s="1">
        <f t="shared" si="38"/>
        <v>3.5</v>
      </c>
      <c r="BS6" s="5">
        <v>2</v>
      </c>
      <c r="BT6" s="2">
        <f t="shared" si="39"/>
        <v>7</v>
      </c>
      <c r="BU6" s="5">
        <v>85</v>
      </c>
      <c r="BV6" s="6" t="str">
        <f t="shared" si="40"/>
        <v>A</v>
      </c>
      <c r="BW6" s="1">
        <f t="shared" si="41"/>
        <v>4</v>
      </c>
      <c r="BX6" s="5">
        <v>2</v>
      </c>
      <c r="BY6" s="2">
        <f t="shared" si="42"/>
        <v>8</v>
      </c>
      <c r="BZ6" s="5">
        <v>77.8</v>
      </c>
      <c r="CA6" s="6" t="str">
        <f t="shared" si="43"/>
        <v>B+</v>
      </c>
      <c r="CB6" s="1">
        <f t="shared" si="44"/>
        <v>3.5</v>
      </c>
      <c r="CC6" s="5">
        <v>2</v>
      </c>
      <c r="CD6" s="2">
        <f t="shared" si="45"/>
        <v>7</v>
      </c>
      <c r="CE6" s="2">
        <v>86</v>
      </c>
      <c r="CF6" s="6" t="str">
        <f t="shared" si="46"/>
        <v>A</v>
      </c>
      <c r="CG6" s="1">
        <f t="shared" si="47"/>
        <v>4</v>
      </c>
      <c r="CH6" s="5">
        <v>2</v>
      </c>
      <c r="CI6" s="2">
        <f t="shared" si="48"/>
        <v>8</v>
      </c>
      <c r="CJ6" s="2">
        <v>73.13</v>
      </c>
      <c r="CK6" s="6" t="str">
        <f t="shared" si="49"/>
        <v>B</v>
      </c>
      <c r="CL6" s="1">
        <f t="shared" si="50"/>
        <v>3</v>
      </c>
      <c r="CM6" s="2">
        <v>2</v>
      </c>
      <c r="CN6" s="2">
        <f t="shared" si="51"/>
        <v>6</v>
      </c>
      <c r="CO6" s="2">
        <v>77.8</v>
      </c>
      <c r="CP6" s="6" t="str">
        <f t="shared" si="52"/>
        <v>B+</v>
      </c>
      <c r="CQ6" s="1">
        <f t="shared" si="53"/>
        <v>3.5</v>
      </c>
      <c r="CR6" s="2">
        <v>2</v>
      </c>
      <c r="CS6" s="2">
        <f t="shared" si="54"/>
        <v>7</v>
      </c>
      <c r="CT6" s="2">
        <v>83.3</v>
      </c>
      <c r="CU6" s="6" t="str">
        <f t="shared" si="55"/>
        <v>A</v>
      </c>
      <c r="CV6" s="1">
        <f t="shared" si="56"/>
        <v>4</v>
      </c>
      <c r="CW6" s="2">
        <v>2</v>
      </c>
      <c r="CX6" s="2">
        <f t="shared" si="57"/>
        <v>8</v>
      </c>
      <c r="CY6" s="5">
        <v>80</v>
      </c>
      <c r="CZ6" s="6" t="str">
        <f t="shared" si="58"/>
        <v>A</v>
      </c>
      <c r="DA6" s="1">
        <f t="shared" si="59"/>
        <v>4</v>
      </c>
      <c r="DB6" s="5">
        <v>2</v>
      </c>
      <c r="DC6" s="3">
        <f t="shared" si="60"/>
        <v>8</v>
      </c>
      <c r="DD6" s="5">
        <v>72.5</v>
      </c>
      <c r="DE6" s="6" t="str">
        <f t="shared" si="61"/>
        <v>B</v>
      </c>
      <c r="DF6" s="1">
        <f t="shared" si="62"/>
        <v>3</v>
      </c>
      <c r="DG6" s="5">
        <v>2</v>
      </c>
      <c r="DH6" s="2">
        <f t="shared" si="63"/>
        <v>6</v>
      </c>
      <c r="DI6" s="5">
        <v>80</v>
      </c>
      <c r="DJ6" s="6" t="str">
        <f t="shared" si="64"/>
        <v>A</v>
      </c>
      <c r="DK6" s="1">
        <f t="shared" si="65"/>
        <v>4</v>
      </c>
      <c r="DL6" s="5">
        <v>4</v>
      </c>
      <c r="DM6" s="2">
        <f t="shared" si="66"/>
        <v>16</v>
      </c>
      <c r="DN6" s="30">
        <f t="shared" si="0"/>
        <v>82</v>
      </c>
      <c r="DO6" s="31">
        <f t="shared" si="67"/>
        <v>24</v>
      </c>
      <c r="DP6" s="5">
        <f t="shared" si="68"/>
        <v>88</v>
      </c>
      <c r="DQ6" s="5">
        <f t="shared" si="69"/>
        <v>24</v>
      </c>
      <c r="DR6" s="5">
        <f t="shared" si="70"/>
        <v>170</v>
      </c>
      <c r="DS6" s="5">
        <f t="shared" si="71"/>
        <v>48</v>
      </c>
      <c r="DT6" s="5">
        <v>3.6666666666666665</v>
      </c>
      <c r="DU6" s="5">
        <f t="shared" si="72"/>
        <v>3.5416666666666665</v>
      </c>
      <c r="DV6" s="10" t="str">
        <f t="shared" si="73"/>
        <v>Cum Laude</v>
      </c>
      <c r="DW6" s="17" t="str">
        <f t="shared" si="74"/>
        <v>Excellent</v>
      </c>
      <c r="DX6" s="23" t="s">
        <v>166</v>
      </c>
    </row>
    <row r="7" spans="1:128" x14ac:dyDescent="0.2">
      <c r="A7" s="10">
        <v>5</v>
      </c>
      <c r="B7" s="15" t="s">
        <v>25</v>
      </c>
      <c r="C7" s="15">
        <v>182412005</v>
      </c>
      <c r="D7" s="16" t="s">
        <v>102</v>
      </c>
      <c r="E7" s="7" t="s">
        <v>101</v>
      </c>
      <c r="F7" s="15" t="s">
        <v>149</v>
      </c>
      <c r="G7" s="15"/>
      <c r="H7" s="5">
        <v>75.75</v>
      </c>
      <c r="I7" s="6" t="str">
        <f t="shared" si="1"/>
        <v>B+</v>
      </c>
      <c r="J7" s="1">
        <f t="shared" si="2"/>
        <v>3.5</v>
      </c>
      <c r="K7" s="5">
        <v>2</v>
      </c>
      <c r="L7" s="2">
        <f t="shared" si="3"/>
        <v>7</v>
      </c>
      <c r="M7" s="5">
        <v>78</v>
      </c>
      <c r="N7" s="6" t="str">
        <f t="shared" si="4"/>
        <v>B+</v>
      </c>
      <c r="O7" s="1">
        <f t="shared" si="5"/>
        <v>3.5</v>
      </c>
      <c r="P7" s="5">
        <v>2</v>
      </c>
      <c r="Q7" s="2">
        <f t="shared" si="6"/>
        <v>7</v>
      </c>
      <c r="R7" s="5">
        <v>78.599999999999994</v>
      </c>
      <c r="S7" s="6" t="str">
        <f t="shared" si="7"/>
        <v>B+</v>
      </c>
      <c r="T7" s="1">
        <f t="shared" si="8"/>
        <v>3.5</v>
      </c>
      <c r="U7" s="5">
        <v>2</v>
      </c>
      <c r="V7" s="2">
        <f t="shared" si="9"/>
        <v>7</v>
      </c>
      <c r="W7" s="5">
        <v>78</v>
      </c>
      <c r="X7" s="6" t="str">
        <f t="shared" si="10"/>
        <v>B+</v>
      </c>
      <c r="Y7" s="1">
        <f t="shared" si="11"/>
        <v>3.5</v>
      </c>
      <c r="Z7" s="5">
        <v>3</v>
      </c>
      <c r="AA7" s="2">
        <f t="shared" si="12"/>
        <v>10.5</v>
      </c>
      <c r="AB7" s="2">
        <v>75.150000000000006</v>
      </c>
      <c r="AC7" s="6" t="str">
        <f t="shared" si="13"/>
        <v>B+</v>
      </c>
      <c r="AD7" s="1">
        <f t="shared" si="14"/>
        <v>3.5</v>
      </c>
      <c r="AE7" s="2">
        <v>2</v>
      </c>
      <c r="AF7" s="2">
        <f t="shared" si="15"/>
        <v>7</v>
      </c>
      <c r="AG7" s="2">
        <v>78</v>
      </c>
      <c r="AH7" s="6" t="str">
        <f t="shared" si="16"/>
        <v>B+</v>
      </c>
      <c r="AI7" s="1">
        <f t="shared" si="17"/>
        <v>3.5</v>
      </c>
      <c r="AJ7" s="2">
        <v>2</v>
      </c>
      <c r="AK7" s="2">
        <f t="shared" si="18"/>
        <v>7</v>
      </c>
      <c r="AL7" s="2">
        <v>77</v>
      </c>
      <c r="AM7" s="6" t="str">
        <f t="shared" si="19"/>
        <v>B+</v>
      </c>
      <c r="AN7" s="1">
        <f t="shared" si="20"/>
        <v>3.5</v>
      </c>
      <c r="AO7" s="2">
        <v>2</v>
      </c>
      <c r="AP7" s="2">
        <f t="shared" si="21"/>
        <v>7</v>
      </c>
      <c r="AQ7" s="2">
        <v>74</v>
      </c>
      <c r="AR7" s="6" t="str">
        <f t="shared" si="22"/>
        <v>B</v>
      </c>
      <c r="AS7" s="1">
        <f t="shared" si="23"/>
        <v>3</v>
      </c>
      <c r="AT7" s="2">
        <v>2</v>
      </c>
      <c r="AU7" s="2">
        <f t="shared" si="24"/>
        <v>6</v>
      </c>
      <c r="AV7" s="5">
        <v>75.25</v>
      </c>
      <c r="AW7" s="6" t="str">
        <f t="shared" si="25"/>
        <v>B+</v>
      </c>
      <c r="AX7" s="1">
        <f t="shared" si="26"/>
        <v>3.5</v>
      </c>
      <c r="AY7" s="5">
        <v>3</v>
      </c>
      <c r="AZ7" s="3">
        <f t="shared" si="27"/>
        <v>10.5</v>
      </c>
      <c r="BA7" s="5">
        <v>76.25</v>
      </c>
      <c r="BB7" s="6" t="str">
        <f t="shared" si="28"/>
        <v>B+</v>
      </c>
      <c r="BC7" s="1">
        <f t="shared" si="29"/>
        <v>3.5</v>
      </c>
      <c r="BD7" s="5">
        <v>2</v>
      </c>
      <c r="BE7" s="2">
        <f t="shared" si="30"/>
        <v>7</v>
      </c>
      <c r="BF7" s="5">
        <v>77</v>
      </c>
      <c r="BG7" s="6" t="str">
        <f t="shared" si="31"/>
        <v>B+</v>
      </c>
      <c r="BH7" s="1">
        <f t="shared" si="32"/>
        <v>3.5</v>
      </c>
      <c r="BI7" s="5">
        <v>2</v>
      </c>
      <c r="BJ7" s="2">
        <f t="shared" si="33"/>
        <v>7</v>
      </c>
      <c r="BK7" s="5">
        <v>74.430000000000007</v>
      </c>
      <c r="BL7" s="6" t="str">
        <f t="shared" si="34"/>
        <v>B</v>
      </c>
      <c r="BM7" s="1">
        <f t="shared" si="35"/>
        <v>3</v>
      </c>
      <c r="BN7" s="5">
        <v>2</v>
      </c>
      <c r="BO7" s="2">
        <f t="shared" si="36"/>
        <v>6</v>
      </c>
      <c r="BP7" s="5">
        <v>79</v>
      </c>
      <c r="BQ7" s="6" t="str">
        <f t="shared" si="37"/>
        <v>B+</v>
      </c>
      <c r="BR7" s="1">
        <f t="shared" si="38"/>
        <v>3.5</v>
      </c>
      <c r="BS7" s="5">
        <v>2</v>
      </c>
      <c r="BT7" s="2">
        <f t="shared" si="39"/>
        <v>7</v>
      </c>
      <c r="BU7" s="5">
        <v>86</v>
      </c>
      <c r="BV7" s="6" t="str">
        <f t="shared" si="40"/>
        <v>A</v>
      </c>
      <c r="BW7" s="1">
        <f t="shared" si="41"/>
        <v>4</v>
      </c>
      <c r="BX7" s="5">
        <v>2</v>
      </c>
      <c r="BY7" s="2">
        <f t="shared" si="42"/>
        <v>8</v>
      </c>
      <c r="BZ7" s="5">
        <v>75.8</v>
      </c>
      <c r="CA7" s="6" t="str">
        <f t="shared" si="43"/>
        <v>B+</v>
      </c>
      <c r="CB7" s="1">
        <f t="shared" si="44"/>
        <v>3.5</v>
      </c>
      <c r="CC7" s="5">
        <v>2</v>
      </c>
      <c r="CD7" s="2">
        <f t="shared" si="45"/>
        <v>7</v>
      </c>
      <c r="CE7" s="2">
        <v>85</v>
      </c>
      <c r="CF7" s="6" t="str">
        <f t="shared" si="46"/>
        <v>A</v>
      </c>
      <c r="CG7" s="1">
        <f t="shared" si="47"/>
        <v>4</v>
      </c>
      <c r="CH7" s="5">
        <v>2</v>
      </c>
      <c r="CI7" s="2">
        <f t="shared" si="48"/>
        <v>8</v>
      </c>
      <c r="CJ7" s="2">
        <v>72.73</v>
      </c>
      <c r="CK7" s="6" t="str">
        <f t="shared" si="49"/>
        <v>B</v>
      </c>
      <c r="CL7" s="1">
        <f t="shared" si="50"/>
        <v>3</v>
      </c>
      <c r="CM7" s="2">
        <v>2</v>
      </c>
      <c r="CN7" s="2">
        <f t="shared" si="51"/>
        <v>6</v>
      </c>
      <c r="CO7" s="2">
        <v>73.400000000000006</v>
      </c>
      <c r="CP7" s="6" t="str">
        <f t="shared" si="52"/>
        <v>B</v>
      </c>
      <c r="CQ7" s="1">
        <f t="shared" si="53"/>
        <v>3</v>
      </c>
      <c r="CR7" s="2">
        <v>2</v>
      </c>
      <c r="CS7" s="2">
        <f t="shared" si="54"/>
        <v>6</v>
      </c>
      <c r="CT7" s="2">
        <v>80</v>
      </c>
      <c r="CU7" s="6" t="str">
        <f t="shared" si="55"/>
        <v>A</v>
      </c>
      <c r="CV7" s="1">
        <f t="shared" si="56"/>
        <v>4</v>
      </c>
      <c r="CW7" s="2">
        <v>2</v>
      </c>
      <c r="CX7" s="2">
        <f t="shared" si="57"/>
        <v>8</v>
      </c>
      <c r="CY7" s="5">
        <v>77</v>
      </c>
      <c r="CZ7" s="6" t="str">
        <f t="shared" si="58"/>
        <v>B+</v>
      </c>
      <c r="DA7" s="1">
        <f t="shared" si="59"/>
        <v>3.5</v>
      </c>
      <c r="DB7" s="5">
        <v>2</v>
      </c>
      <c r="DC7" s="3">
        <f t="shared" si="60"/>
        <v>7</v>
      </c>
      <c r="DD7" s="5">
        <v>75.099999999999994</v>
      </c>
      <c r="DE7" s="6" t="str">
        <f t="shared" si="61"/>
        <v>B+</v>
      </c>
      <c r="DF7" s="1">
        <f t="shared" si="62"/>
        <v>3.5</v>
      </c>
      <c r="DG7" s="5">
        <v>2</v>
      </c>
      <c r="DH7" s="2">
        <f t="shared" si="63"/>
        <v>7</v>
      </c>
      <c r="DI7" s="5">
        <v>79</v>
      </c>
      <c r="DJ7" s="6" t="str">
        <f t="shared" si="64"/>
        <v>B+</v>
      </c>
      <c r="DK7" s="1">
        <f t="shared" si="65"/>
        <v>3.5</v>
      </c>
      <c r="DL7" s="5">
        <v>4</v>
      </c>
      <c r="DM7" s="2">
        <f t="shared" si="66"/>
        <v>14</v>
      </c>
      <c r="DN7" s="30">
        <f t="shared" si="0"/>
        <v>83</v>
      </c>
      <c r="DO7" s="31">
        <f t="shared" si="67"/>
        <v>24</v>
      </c>
      <c r="DP7" s="5">
        <f t="shared" si="68"/>
        <v>84</v>
      </c>
      <c r="DQ7" s="5">
        <f t="shared" si="69"/>
        <v>24</v>
      </c>
      <c r="DR7" s="5">
        <f t="shared" si="70"/>
        <v>167</v>
      </c>
      <c r="DS7" s="5">
        <f t="shared" si="71"/>
        <v>48</v>
      </c>
      <c r="DT7" s="5">
        <v>3.5</v>
      </c>
      <c r="DU7" s="5">
        <f t="shared" si="72"/>
        <v>3.4791666666666665</v>
      </c>
      <c r="DV7" s="10" t="str">
        <f t="shared" si="73"/>
        <v>Sangat Memuaskan</v>
      </c>
      <c r="DW7" s="17" t="str">
        <f t="shared" si="74"/>
        <v>Highly Satisfactory</v>
      </c>
      <c r="DX7" s="23" t="s">
        <v>167</v>
      </c>
    </row>
    <row r="8" spans="1:128" x14ac:dyDescent="0.2">
      <c r="A8" s="10">
        <v>6</v>
      </c>
      <c r="B8" s="15" t="s">
        <v>26</v>
      </c>
      <c r="C8" s="15">
        <v>182412006</v>
      </c>
      <c r="D8" s="16" t="s">
        <v>103</v>
      </c>
      <c r="E8" s="7" t="s">
        <v>104</v>
      </c>
      <c r="F8" s="15" t="s">
        <v>149</v>
      </c>
      <c r="G8" s="15"/>
      <c r="H8" s="5">
        <v>77.25</v>
      </c>
      <c r="I8" s="6" t="str">
        <f t="shared" si="1"/>
        <v>B+</v>
      </c>
      <c r="J8" s="1">
        <f t="shared" si="2"/>
        <v>3.5</v>
      </c>
      <c r="K8" s="5">
        <v>2</v>
      </c>
      <c r="L8" s="2">
        <f t="shared" si="3"/>
        <v>7</v>
      </c>
      <c r="M8" s="5">
        <v>79</v>
      </c>
      <c r="N8" s="6" t="str">
        <f t="shared" si="4"/>
        <v>B+</v>
      </c>
      <c r="O8" s="1">
        <f t="shared" si="5"/>
        <v>3.5</v>
      </c>
      <c r="P8" s="5">
        <v>2</v>
      </c>
      <c r="Q8" s="2">
        <f t="shared" si="6"/>
        <v>7</v>
      </c>
      <c r="R8" s="5">
        <v>81</v>
      </c>
      <c r="S8" s="6" t="str">
        <f t="shared" si="7"/>
        <v>A</v>
      </c>
      <c r="T8" s="1">
        <f t="shared" si="8"/>
        <v>4</v>
      </c>
      <c r="U8" s="5">
        <v>2</v>
      </c>
      <c r="V8" s="2">
        <f t="shared" si="9"/>
        <v>8</v>
      </c>
      <c r="W8" s="5">
        <v>78</v>
      </c>
      <c r="X8" s="6" t="str">
        <f t="shared" si="10"/>
        <v>B+</v>
      </c>
      <c r="Y8" s="1">
        <f t="shared" si="11"/>
        <v>3.5</v>
      </c>
      <c r="Z8" s="5">
        <v>3</v>
      </c>
      <c r="AA8" s="2">
        <f t="shared" si="12"/>
        <v>10.5</v>
      </c>
      <c r="AB8" s="2">
        <v>78.55</v>
      </c>
      <c r="AC8" s="6" t="str">
        <f t="shared" si="13"/>
        <v>B+</v>
      </c>
      <c r="AD8" s="1">
        <f t="shared" si="14"/>
        <v>3.5</v>
      </c>
      <c r="AE8" s="2">
        <v>2</v>
      </c>
      <c r="AF8" s="2">
        <f t="shared" si="15"/>
        <v>7</v>
      </c>
      <c r="AG8" s="2">
        <v>78</v>
      </c>
      <c r="AH8" s="6" t="str">
        <f t="shared" si="16"/>
        <v>B+</v>
      </c>
      <c r="AI8" s="1">
        <f t="shared" si="17"/>
        <v>3.5</v>
      </c>
      <c r="AJ8" s="2">
        <v>2</v>
      </c>
      <c r="AK8" s="2">
        <f t="shared" si="18"/>
        <v>7</v>
      </c>
      <c r="AL8" s="2">
        <v>77</v>
      </c>
      <c r="AM8" s="6" t="str">
        <f t="shared" si="19"/>
        <v>B+</v>
      </c>
      <c r="AN8" s="1">
        <f t="shared" si="20"/>
        <v>3.5</v>
      </c>
      <c r="AO8" s="2">
        <v>2</v>
      </c>
      <c r="AP8" s="2">
        <f t="shared" si="21"/>
        <v>7</v>
      </c>
      <c r="AQ8" s="2">
        <v>74</v>
      </c>
      <c r="AR8" s="6" t="str">
        <f t="shared" si="22"/>
        <v>B</v>
      </c>
      <c r="AS8" s="1">
        <f t="shared" si="23"/>
        <v>3</v>
      </c>
      <c r="AT8" s="2">
        <v>2</v>
      </c>
      <c r="AU8" s="2">
        <f t="shared" si="24"/>
        <v>6</v>
      </c>
      <c r="AV8" s="5">
        <v>79.5</v>
      </c>
      <c r="AW8" s="6" t="str">
        <f t="shared" si="25"/>
        <v>B+</v>
      </c>
      <c r="AX8" s="1">
        <f t="shared" si="26"/>
        <v>3.5</v>
      </c>
      <c r="AY8" s="5">
        <v>3</v>
      </c>
      <c r="AZ8" s="3">
        <f t="shared" si="27"/>
        <v>10.5</v>
      </c>
      <c r="BA8" s="5">
        <v>76.25</v>
      </c>
      <c r="BB8" s="6" t="str">
        <f t="shared" si="28"/>
        <v>B+</v>
      </c>
      <c r="BC8" s="1">
        <f t="shared" si="29"/>
        <v>3.5</v>
      </c>
      <c r="BD8" s="5">
        <v>2</v>
      </c>
      <c r="BE8" s="2">
        <f t="shared" si="30"/>
        <v>7</v>
      </c>
      <c r="BF8" s="5">
        <v>77</v>
      </c>
      <c r="BG8" s="6" t="str">
        <f t="shared" si="31"/>
        <v>B+</v>
      </c>
      <c r="BH8" s="1">
        <f t="shared" si="32"/>
        <v>3.5</v>
      </c>
      <c r="BI8" s="5">
        <v>2</v>
      </c>
      <c r="BJ8" s="2">
        <f t="shared" si="33"/>
        <v>7</v>
      </c>
      <c r="BK8" s="5">
        <v>79.069999999999993</v>
      </c>
      <c r="BL8" s="6" t="str">
        <f t="shared" si="34"/>
        <v>B+</v>
      </c>
      <c r="BM8" s="1">
        <f t="shared" si="35"/>
        <v>3.5</v>
      </c>
      <c r="BN8" s="5">
        <v>2</v>
      </c>
      <c r="BO8" s="2">
        <f t="shared" si="36"/>
        <v>7</v>
      </c>
      <c r="BP8" s="5">
        <v>79.3</v>
      </c>
      <c r="BQ8" s="6" t="str">
        <f t="shared" si="37"/>
        <v>B+</v>
      </c>
      <c r="BR8" s="1">
        <f t="shared" si="38"/>
        <v>3.5</v>
      </c>
      <c r="BS8" s="5">
        <v>2</v>
      </c>
      <c r="BT8" s="2">
        <f t="shared" si="39"/>
        <v>7</v>
      </c>
      <c r="BU8" s="5">
        <v>84</v>
      </c>
      <c r="BV8" s="6" t="str">
        <f t="shared" si="40"/>
        <v>A</v>
      </c>
      <c r="BW8" s="1">
        <f t="shared" si="41"/>
        <v>4</v>
      </c>
      <c r="BX8" s="5">
        <v>2</v>
      </c>
      <c r="BY8" s="2">
        <f t="shared" si="42"/>
        <v>8</v>
      </c>
      <c r="BZ8" s="5">
        <v>77.5</v>
      </c>
      <c r="CA8" s="6" t="str">
        <f t="shared" si="43"/>
        <v>B+</v>
      </c>
      <c r="CB8" s="1">
        <f t="shared" si="44"/>
        <v>3.5</v>
      </c>
      <c r="CC8" s="5">
        <v>2</v>
      </c>
      <c r="CD8" s="2">
        <f t="shared" si="45"/>
        <v>7</v>
      </c>
      <c r="CE8" s="2">
        <v>87</v>
      </c>
      <c r="CF8" s="6" t="str">
        <f t="shared" si="46"/>
        <v>A</v>
      </c>
      <c r="CG8" s="1">
        <f t="shared" si="47"/>
        <v>4</v>
      </c>
      <c r="CH8" s="5">
        <v>2</v>
      </c>
      <c r="CI8" s="2">
        <f t="shared" si="48"/>
        <v>8</v>
      </c>
      <c r="CJ8" s="2">
        <v>72.53</v>
      </c>
      <c r="CK8" s="6" t="str">
        <f t="shared" si="49"/>
        <v>B</v>
      </c>
      <c r="CL8" s="1">
        <f t="shared" si="50"/>
        <v>3</v>
      </c>
      <c r="CM8" s="2">
        <v>2</v>
      </c>
      <c r="CN8" s="2">
        <f t="shared" si="51"/>
        <v>6</v>
      </c>
      <c r="CO8" s="2">
        <v>76.599999999999994</v>
      </c>
      <c r="CP8" s="6" t="str">
        <f t="shared" si="52"/>
        <v>B+</v>
      </c>
      <c r="CQ8" s="1">
        <f t="shared" si="53"/>
        <v>3.5</v>
      </c>
      <c r="CR8" s="2">
        <v>2</v>
      </c>
      <c r="CS8" s="2">
        <f t="shared" si="54"/>
        <v>7</v>
      </c>
      <c r="CT8" s="2">
        <v>81.400000000000006</v>
      </c>
      <c r="CU8" s="6" t="str">
        <f t="shared" si="55"/>
        <v>A</v>
      </c>
      <c r="CV8" s="1">
        <f t="shared" si="56"/>
        <v>4</v>
      </c>
      <c r="CW8" s="2">
        <v>2</v>
      </c>
      <c r="CX8" s="2">
        <f t="shared" si="57"/>
        <v>8</v>
      </c>
      <c r="CY8" s="5">
        <v>79</v>
      </c>
      <c r="CZ8" s="6" t="str">
        <f t="shared" si="58"/>
        <v>B+</v>
      </c>
      <c r="DA8" s="1">
        <f t="shared" si="59"/>
        <v>3.5</v>
      </c>
      <c r="DB8" s="5">
        <v>2</v>
      </c>
      <c r="DC8" s="3">
        <f t="shared" si="60"/>
        <v>7</v>
      </c>
      <c r="DD8" s="5">
        <v>75.099999999999994</v>
      </c>
      <c r="DE8" s="6" t="str">
        <f t="shared" si="61"/>
        <v>B+</v>
      </c>
      <c r="DF8" s="1">
        <f t="shared" si="62"/>
        <v>3.5</v>
      </c>
      <c r="DG8" s="5">
        <v>2</v>
      </c>
      <c r="DH8" s="2">
        <f t="shared" si="63"/>
        <v>7</v>
      </c>
      <c r="DI8" s="5">
        <v>78.8</v>
      </c>
      <c r="DJ8" s="6" t="str">
        <f t="shared" si="64"/>
        <v>B+</v>
      </c>
      <c r="DK8" s="1">
        <f t="shared" si="65"/>
        <v>3.5</v>
      </c>
      <c r="DL8" s="5">
        <v>4</v>
      </c>
      <c r="DM8" s="2">
        <f t="shared" si="66"/>
        <v>14</v>
      </c>
      <c r="DN8" s="30">
        <f t="shared" si="0"/>
        <v>84</v>
      </c>
      <c r="DO8" s="31">
        <f t="shared" si="67"/>
        <v>24</v>
      </c>
      <c r="DP8" s="5">
        <f t="shared" si="68"/>
        <v>86</v>
      </c>
      <c r="DQ8" s="5">
        <f t="shared" si="69"/>
        <v>24</v>
      </c>
      <c r="DR8" s="5">
        <f t="shared" si="70"/>
        <v>170</v>
      </c>
      <c r="DS8" s="5">
        <f t="shared" si="71"/>
        <v>48</v>
      </c>
      <c r="DT8" s="5">
        <v>3.5833333333333335</v>
      </c>
      <c r="DU8" s="5">
        <f t="shared" si="72"/>
        <v>3.5416666666666665</v>
      </c>
      <c r="DV8" s="10" t="str">
        <f t="shared" si="73"/>
        <v>Cum Laude</v>
      </c>
      <c r="DW8" s="17" t="str">
        <f t="shared" si="74"/>
        <v>Excellent</v>
      </c>
      <c r="DX8" s="17" t="s">
        <v>155</v>
      </c>
    </row>
    <row r="9" spans="1:128" x14ac:dyDescent="0.2">
      <c r="A9" s="10">
        <v>7</v>
      </c>
      <c r="B9" s="15" t="s">
        <v>27</v>
      </c>
      <c r="C9" s="15">
        <v>182412007</v>
      </c>
      <c r="D9" s="16" t="s">
        <v>105</v>
      </c>
      <c r="E9" s="7" t="s">
        <v>106</v>
      </c>
      <c r="F9" s="15" t="s">
        <v>149</v>
      </c>
      <c r="G9" s="15"/>
      <c r="H9" s="5">
        <v>82</v>
      </c>
      <c r="I9" s="6" t="str">
        <f t="shared" si="1"/>
        <v>A</v>
      </c>
      <c r="J9" s="1">
        <f t="shared" si="2"/>
        <v>4</v>
      </c>
      <c r="K9" s="5">
        <v>2</v>
      </c>
      <c r="L9" s="2">
        <f t="shared" si="3"/>
        <v>8</v>
      </c>
      <c r="M9" s="5">
        <v>76</v>
      </c>
      <c r="N9" s="6" t="str">
        <f t="shared" si="4"/>
        <v>B+</v>
      </c>
      <c r="O9" s="1">
        <f t="shared" si="5"/>
        <v>3.5</v>
      </c>
      <c r="P9" s="5">
        <v>2</v>
      </c>
      <c r="Q9" s="2">
        <f t="shared" si="6"/>
        <v>7</v>
      </c>
      <c r="R9" s="5">
        <v>74</v>
      </c>
      <c r="S9" s="6" t="str">
        <f t="shared" si="7"/>
        <v>B</v>
      </c>
      <c r="T9" s="1">
        <f t="shared" si="8"/>
        <v>3</v>
      </c>
      <c r="U9" s="5">
        <v>2</v>
      </c>
      <c r="V9" s="2">
        <f t="shared" si="9"/>
        <v>6</v>
      </c>
      <c r="W9" s="5">
        <v>78</v>
      </c>
      <c r="X9" s="6" t="str">
        <f t="shared" si="10"/>
        <v>B+</v>
      </c>
      <c r="Y9" s="1">
        <f t="shared" si="11"/>
        <v>3.5</v>
      </c>
      <c r="Z9" s="5">
        <v>3</v>
      </c>
      <c r="AA9" s="2">
        <f t="shared" si="12"/>
        <v>10.5</v>
      </c>
      <c r="AB9" s="2">
        <v>87.3</v>
      </c>
      <c r="AC9" s="6" t="str">
        <f t="shared" si="13"/>
        <v>A</v>
      </c>
      <c r="AD9" s="1">
        <f t="shared" si="14"/>
        <v>4</v>
      </c>
      <c r="AE9" s="2">
        <v>2</v>
      </c>
      <c r="AF9" s="2">
        <f t="shared" si="15"/>
        <v>8</v>
      </c>
      <c r="AG9" s="2">
        <v>78</v>
      </c>
      <c r="AH9" s="6" t="str">
        <f t="shared" si="16"/>
        <v>B+</v>
      </c>
      <c r="AI9" s="1">
        <f t="shared" si="17"/>
        <v>3.5</v>
      </c>
      <c r="AJ9" s="2">
        <v>2</v>
      </c>
      <c r="AK9" s="2">
        <f t="shared" si="18"/>
        <v>7</v>
      </c>
      <c r="AL9" s="2">
        <v>80</v>
      </c>
      <c r="AM9" s="6" t="str">
        <f t="shared" si="19"/>
        <v>A</v>
      </c>
      <c r="AN9" s="1">
        <f t="shared" si="20"/>
        <v>4</v>
      </c>
      <c r="AO9" s="2">
        <v>2</v>
      </c>
      <c r="AP9" s="2">
        <f t="shared" si="21"/>
        <v>8</v>
      </c>
      <c r="AQ9" s="2">
        <v>74</v>
      </c>
      <c r="AR9" s="6" t="str">
        <f t="shared" si="22"/>
        <v>B</v>
      </c>
      <c r="AS9" s="1">
        <f t="shared" si="23"/>
        <v>3</v>
      </c>
      <c r="AT9" s="2">
        <v>2</v>
      </c>
      <c r="AU9" s="2">
        <f t="shared" si="24"/>
        <v>6</v>
      </c>
      <c r="AV9" s="5">
        <v>80.75</v>
      </c>
      <c r="AW9" s="6" t="str">
        <f t="shared" si="25"/>
        <v>A</v>
      </c>
      <c r="AX9" s="1">
        <f t="shared" si="26"/>
        <v>4</v>
      </c>
      <c r="AY9" s="5">
        <v>3</v>
      </c>
      <c r="AZ9" s="3">
        <f t="shared" si="27"/>
        <v>12</v>
      </c>
      <c r="BA9" s="5">
        <v>78.75</v>
      </c>
      <c r="BB9" s="6" t="str">
        <f t="shared" si="28"/>
        <v>B+</v>
      </c>
      <c r="BC9" s="1">
        <f t="shared" si="29"/>
        <v>3.5</v>
      </c>
      <c r="BD9" s="5">
        <v>2</v>
      </c>
      <c r="BE9" s="2">
        <f t="shared" si="30"/>
        <v>7</v>
      </c>
      <c r="BF9" s="5">
        <v>80</v>
      </c>
      <c r="BG9" s="6" t="str">
        <f t="shared" si="31"/>
        <v>A</v>
      </c>
      <c r="BH9" s="1">
        <f t="shared" si="32"/>
        <v>4</v>
      </c>
      <c r="BI9" s="5">
        <v>2</v>
      </c>
      <c r="BJ9" s="2">
        <f t="shared" si="33"/>
        <v>8</v>
      </c>
      <c r="BK9" s="5">
        <v>79.73</v>
      </c>
      <c r="BL9" s="6" t="str">
        <f t="shared" si="34"/>
        <v>B+</v>
      </c>
      <c r="BM9" s="1">
        <f t="shared" si="35"/>
        <v>3.5</v>
      </c>
      <c r="BN9" s="5">
        <v>2</v>
      </c>
      <c r="BO9" s="2">
        <f t="shared" si="36"/>
        <v>7</v>
      </c>
      <c r="BP9" s="5">
        <v>82.3</v>
      </c>
      <c r="BQ9" s="6" t="str">
        <f t="shared" si="37"/>
        <v>A</v>
      </c>
      <c r="BR9" s="1">
        <f t="shared" si="38"/>
        <v>4</v>
      </c>
      <c r="BS9" s="5">
        <v>2</v>
      </c>
      <c r="BT9" s="2">
        <f t="shared" si="39"/>
        <v>8</v>
      </c>
      <c r="BU9" s="5">
        <v>80</v>
      </c>
      <c r="BV9" s="6" t="str">
        <f t="shared" si="40"/>
        <v>A</v>
      </c>
      <c r="BW9" s="1">
        <f t="shared" si="41"/>
        <v>4</v>
      </c>
      <c r="BX9" s="5">
        <v>2</v>
      </c>
      <c r="BY9" s="2">
        <f t="shared" si="42"/>
        <v>8</v>
      </c>
      <c r="BZ9" s="5">
        <v>77.900000000000006</v>
      </c>
      <c r="CA9" s="6" t="str">
        <f t="shared" si="43"/>
        <v>B+</v>
      </c>
      <c r="CB9" s="1">
        <f t="shared" si="44"/>
        <v>3.5</v>
      </c>
      <c r="CC9" s="5">
        <v>2</v>
      </c>
      <c r="CD9" s="2">
        <f t="shared" si="45"/>
        <v>7</v>
      </c>
      <c r="CE9" s="2">
        <v>86</v>
      </c>
      <c r="CF9" s="6" t="str">
        <f t="shared" si="46"/>
        <v>A</v>
      </c>
      <c r="CG9" s="1">
        <f t="shared" si="47"/>
        <v>4</v>
      </c>
      <c r="CH9" s="5">
        <v>2</v>
      </c>
      <c r="CI9" s="2">
        <f t="shared" si="48"/>
        <v>8</v>
      </c>
      <c r="CJ9" s="2">
        <v>78.33</v>
      </c>
      <c r="CK9" s="6" t="str">
        <f t="shared" si="49"/>
        <v>B+</v>
      </c>
      <c r="CL9" s="1">
        <f t="shared" si="50"/>
        <v>3.5</v>
      </c>
      <c r="CM9" s="2">
        <v>2</v>
      </c>
      <c r="CN9" s="2">
        <f t="shared" si="51"/>
        <v>7</v>
      </c>
      <c r="CO9" s="2">
        <v>74</v>
      </c>
      <c r="CP9" s="6" t="str">
        <f t="shared" si="52"/>
        <v>B</v>
      </c>
      <c r="CQ9" s="1">
        <f t="shared" si="53"/>
        <v>3</v>
      </c>
      <c r="CR9" s="2">
        <v>2</v>
      </c>
      <c r="CS9" s="2">
        <f t="shared" si="54"/>
        <v>6</v>
      </c>
      <c r="CT9" s="2">
        <v>83.5</v>
      </c>
      <c r="CU9" s="6" t="str">
        <f t="shared" si="55"/>
        <v>A</v>
      </c>
      <c r="CV9" s="1">
        <f t="shared" si="56"/>
        <v>4</v>
      </c>
      <c r="CW9" s="2">
        <v>2</v>
      </c>
      <c r="CX9" s="2">
        <f t="shared" si="57"/>
        <v>8</v>
      </c>
      <c r="CY9" s="5">
        <v>85</v>
      </c>
      <c r="CZ9" s="6" t="str">
        <f t="shared" si="58"/>
        <v>A</v>
      </c>
      <c r="DA9" s="1">
        <f t="shared" si="59"/>
        <v>4</v>
      </c>
      <c r="DB9" s="5">
        <v>2</v>
      </c>
      <c r="DC9" s="3">
        <f t="shared" si="60"/>
        <v>8</v>
      </c>
      <c r="DD9" s="5">
        <v>73.5</v>
      </c>
      <c r="DE9" s="6" t="str">
        <f t="shared" si="61"/>
        <v>B</v>
      </c>
      <c r="DF9" s="1">
        <f t="shared" si="62"/>
        <v>3</v>
      </c>
      <c r="DG9" s="5">
        <v>2</v>
      </c>
      <c r="DH9" s="2">
        <f t="shared" si="63"/>
        <v>6</v>
      </c>
      <c r="DI9" s="5">
        <v>83.2</v>
      </c>
      <c r="DJ9" s="6" t="str">
        <f t="shared" si="64"/>
        <v>A</v>
      </c>
      <c r="DK9" s="1">
        <f t="shared" si="65"/>
        <v>4</v>
      </c>
      <c r="DL9" s="5">
        <v>4</v>
      </c>
      <c r="DM9" s="2">
        <f t="shared" si="66"/>
        <v>16</v>
      </c>
      <c r="DN9" s="30">
        <f t="shared" si="0"/>
        <v>87.5</v>
      </c>
      <c r="DO9" s="31">
        <f t="shared" si="67"/>
        <v>24</v>
      </c>
      <c r="DP9" s="5">
        <f t="shared" si="68"/>
        <v>89</v>
      </c>
      <c r="DQ9" s="5">
        <f t="shared" si="69"/>
        <v>24</v>
      </c>
      <c r="DR9" s="5">
        <f t="shared" si="70"/>
        <v>176.5</v>
      </c>
      <c r="DS9" s="5">
        <f t="shared" si="71"/>
        <v>48</v>
      </c>
      <c r="DT9" s="5">
        <v>3.7083333333333335</v>
      </c>
      <c r="DU9" s="5">
        <f t="shared" si="72"/>
        <v>3.6770833333333335</v>
      </c>
      <c r="DV9" s="10" t="str">
        <f t="shared" si="73"/>
        <v>Cum Laude</v>
      </c>
      <c r="DW9" s="17" t="str">
        <f t="shared" si="74"/>
        <v>Excellent</v>
      </c>
      <c r="DX9" s="17" t="s">
        <v>154</v>
      </c>
    </row>
    <row r="10" spans="1:128" x14ac:dyDescent="0.25">
      <c r="A10" s="10">
        <v>8</v>
      </c>
      <c r="B10" s="15" t="s">
        <v>76</v>
      </c>
      <c r="C10" s="15">
        <v>182412008</v>
      </c>
      <c r="D10" s="15"/>
      <c r="E10" s="7"/>
      <c r="F10" s="15"/>
      <c r="G10" s="15"/>
      <c r="H10" s="5">
        <v>82</v>
      </c>
      <c r="I10" s="6" t="str">
        <f t="shared" si="1"/>
        <v>A</v>
      </c>
      <c r="J10" s="1">
        <f t="shared" si="2"/>
        <v>4</v>
      </c>
      <c r="K10" s="5">
        <v>2</v>
      </c>
      <c r="L10" s="2">
        <f t="shared" si="3"/>
        <v>8</v>
      </c>
      <c r="M10" s="5">
        <v>75</v>
      </c>
      <c r="N10" s="6" t="str">
        <f t="shared" si="4"/>
        <v>B+</v>
      </c>
      <c r="O10" s="1">
        <f t="shared" si="5"/>
        <v>3.5</v>
      </c>
      <c r="P10" s="5">
        <v>2</v>
      </c>
      <c r="Q10" s="2">
        <f t="shared" si="6"/>
        <v>7</v>
      </c>
      <c r="R10" s="5">
        <v>79.599999999999994</v>
      </c>
      <c r="S10" s="6" t="str">
        <f t="shared" si="7"/>
        <v>B+</v>
      </c>
      <c r="T10" s="1">
        <f t="shared" si="8"/>
        <v>3.5</v>
      </c>
      <c r="U10" s="5">
        <v>2</v>
      </c>
      <c r="V10" s="2">
        <f t="shared" si="9"/>
        <v>7</v>
      </c>
      <c r="W10" s="5">
        <v>78</v>
      </c>
      <c r="X10" s="6" t="str">
        <f t="shared" si="10"/>
        <v>B+</v>
      </c>
      <c r="Y10" s="1">
        <f t="shared" si="11"/>
        <v>3.5</v>
      </c>
      <c r="Z10" s="5">
        <v>3</v>
      </c>
      <c r="AA10" s="2">
        <f t="shared" si="12"/>
        <v>10.5</v>
      </c>
      <c r="AB10" s="2">
        <v>75</v>
      </c>
      <c r="AC10" s="6" t="str">
        <f t="shared" si="13"/>
        <v>B+</v>
      </c>
      <c r="AD10" s="1">
        <f t="shared" si="14"/>
        <v>3.5</v>
      </c>
      <c r="AE10" s="2">
        <v>2</v>
      </c>
      <c r="AF10" s="2">
        <f t="shared" si="15"/>
        <v>7</v>
      </c>
      <c r="AG10" s="2">
        <v>78</v>
      </c>
      <c r="AH10" s="6" t="str">
        <f t="shared" si="16"/>
        <v>B+</v>
      </c>
      <c r="AI10" s="1">
        <f t="shared" si="17"/>
        <v>3.5</v>
      </c>
      <c r="AJ10" s="2">
        <v>2</v>
      </c>
      <c r="AK10" s="2">
        <f t="shared" si="18"/>
        <v>7</v>
      </c>
      <c r="AL10" s="2">
        <v>77</v>
      </c>
      <c r="AM10" s="6" t="str">
        <f t="shared" si="19"/>
        <v>B+</v>
      </c>
      <c r="AN10" s="1">
        <f t="shared" si="20"/>
        <v>3.5</v>
      </c>
      <c r="AO10" s="2">
        <v>2</v>
      </c>
      <c r="AP10" s="2">
        <f t="shared" si="21"/>
        <v>7</v>
      </c>
      <c r="AQ10" s="2">
        <v>74</v>
      </c>
      <c r="AR10" s="6" t="str">
        <f t="shared" si="22"/>
        <v>B</v>
      </c>
      <c r="AS10" s="1">
        <f t="shared" si="23"/>
        <v>3</v>
      </c>
      <c r="AT10" s="2">
        <v>2</v>
      </c>
      <c r="AU10" s="2">
        <f t="shared" si="24"/>
        <v>6</v>
      </c>
      <c r="AV10" s="5">
        <v>79.5</v>
      </c>
      <c r="AW10" s="6" t="str">
        <f t="shared" si="25"/>
        <v>B+</v>
      </c>
      <c r="AX10" s="1">
        <f t="shared" si="26"/>
        <v>3.5</v>
      </c>
      <c r="AY10" s="5">
        <v>3</v>
      </c>
      <c r="AZ10" s="3">
        <f t="shared" si="27"/>
        <v>10.5</v>
      </c>
      <c r="BA10" s="5">
        <v>76.25</v>
      </c>
      <c r="BB10" s="6" t="str">
        <f t="shared" si="28"/>
        <v>B+</v>
      </c>
      <c r="BC10" s="1">
        <f t="shared" si="29"/>
        <v>3.5</v>
      </c>
      <c r="BD10" s="5">
        <v>2</v>
      </c>
      <c r="BE10" s="2">
        <f t="shared" si="30"/>
        <v>7</v>
      </c>
      <c r="BF10" s="5">
        <v>77</v>
      </c>
      <c r="BG10" s="6" t="str">
        <f t="shared" si="31"/>
        <v>B+</v>
      </c>
      <c r="BH10" s="1">
        <f t="shared" si="32"/>
        <v>3.5</v>
      </c>
      <c r="BI10" s="5">
        <v>2</v>
      </c>
      <c r="BJ10" s="2">
        <f t="shared" si="33"/>
        <v>7</v>
      </c>
      <c r="BK10" s="5">
        <v>74.150000000000006</v>
      </c>
      <c r="BL10" s="6" t="str">
        <f t="shared" si="34"/>
        <v>B</v>
      </c>
      <c r="BM10" s="1">
        <f t="shared" si="35"/>
        <v>3</v>
      </c>
      <c r="BN10" s="5">
        <v>2</v>
      </c>
      <c r="BO10" s="2">
        <f t="shared" si="36"/>
        <v>6</v>
      </c>
      <c r="BP10" s="5">
        <v>78.3</v>
      </c>
      <c r="BQ10" s="6" t="str">
        <f t="shared" si="37"/>
        <v>B+</v>
      </c>
      <c r="BR10" s="1">
        <f t="shared" si="38"/>
        <v>3.5</v>
      </c>
      <c r="BS10" s="5">
        <v>2</v>
      </c>
      <c r="BT10" s="2">
        <f t="shared" si="39"/>
        <v>7</v>
      </c>
      <c r="BU10" s="5">
        <v>81</v>
      </c>
      <c r="BV10" s="6" t="str">
        <f t="shared" si="40"/>
        <v>A</v>
      </c>
      <c r="BW10" s="1">
        <f t="shared" si="41"/>
        <v>4</v>
      </c>
      <c r="BX10" s="5">
        <v>2</v>
      </c>
      <c r="BY10" s="2">
        <f t="shared" si="42"/>
        <v>8</v>
      </c>
      <c r="BZ10" s="5">
        <v>78.5</v>
      </c>
      <c r="CA10" s="6" t="str">
        <f t="shared" si="43"/>
        <v>B+</v>
      </c>
      <c r="CB10" s="1">
        <f t="shared" si="44"/>
        <v>3.5</v>
      </c>
      <c r="CC10" s="5">
        <v>2</v>
      </c>
      <c r="CD10" s="2">
        <f t="shared" si="45"/>
        <v>7</v>
      </c>
      <c r="CE10" s="2">
        <v>85</v>
      </c>
      <c r="CF10" s="6" t="str">
        <f t="shared" si="46"/>
        <v>A</v>
      </c>
      <c r="CG10" s="1">
        <f t="shared" si="47"/>
        <v>4</v>
      </c>
      <c r="CH10" s="5">
        <v>2</v>
      </c>
      <c r="CI10" s="2">
        <f t="shared" si="48"/>
        <v>8</v>
      </c>
      <c r="CJ10" s="2">
        <v>75.930000000000007</v>
      </c>
      <c r="CK10" s="6" t="str">
        <f t="shared" si="49"/>
        <v>B+</v>
      </c>
      <c r="CL10" s="1">
        <f t="shared" si="50"/>
        <v>3.5</v>
      </c>
      <c r="CM10" s="2">
        <v>2</v>
      </c>
      <c r="CN10" s="2">
        <f t="shared" si="51"/>
        <v>7</v>
      </c>
      <c r="CO10" s="2">
        <v>77.2</v>
      </c>
      <c r="CP10" s="6" t="str">
        <f t="shared" si="52"/>
        <v>B+</v>
      </c>
      <c r="CQ10" s="1">
        <f t="shared" si="53"/>
        <v>3.5</v>
      </c>
      <c r="CR10" s="2">
        <v>2</v>
      </c>
      <c r="CS10" s="2">
        <f t="shared" si="54"/>
        <v>7</v>
      </c>
      <c r="CT10" s="2">
        <v>80</v>
      </c>
      <c r="CU10" s="6" t="str">
        <f t="shared" si="55"/>
        <v>A</v>
      </c>
      <c r="CV10" s="1">
        <f t="shared" si="56"/>
        <v>4</v>
      </c>
      <c r="CW10" s="2">
        <v>2</v>
      </c>
      <c r="CX10" s="2">
        <f t="shared" si="57"/>
        <v>8</v>
      </c>
      <c r="CY10" s="5">
        <v>85</v>
      </c>
      <c r="CZ10" s="6" t="str">
        <f t="shared" si="58"/>
        <v>A</v>
      </c>
      <c r="DA10" s="1">
        <f t="shared" si="59"/>
        <v>4</v>
      </c>
      <c r="DB10" s="5">
        <v>2</v>
      </c>
      <c r="DC10" s="3">
        <f t="shared" si="60"/>
        <v>8</v>
      </c>
      <c r="DD10" s="5">
        <v>75.099999999999994</v>
      </c>
      <c r="DE10" s="6" t="str">
        <f t="shared" si="61"/>
        <v>B+</v>
      </c>
      <c r="DF10" s="1">
        <f t="shared" si="62"/>
        <v>3.5</v>
      </c>
      <c r="DG10" s="5">
        <v>2</v>
      </c>
      <c r="DH10" s="2">
        <f t="shared" si="63"/>
        <v>7</v>
      </c>
      <c r="DI10" s="5"/>
      <c r="DJ10" s="6" t="str">
        <f t="shared" si="64"/>
        <v>E</v>
      </c>
      <c r="DK10" s="1">
        <f t="shared" si="65"/>
        <v>0</v>
      </c>
      <c r="DL10" s="5">
        <v>4</v>
      </c>
      <c r="DM10" s="2">
        <f t="shared" si="66"/>
        <v>0</v>
      </c>
      <c r="DN10" s="30">
        <f t="shared" si="0"/>
        <v>84</v>
      </c>
      <c r="DO10" s="31">
        <f t="shared" si="67"/>
        <v>24</v>
      </c>
      <c r="DP10" s="5">
        <f t="shared" si="68"/>
        <v>73</v>
      </c>
      <c r="DQ10" s="5">
        <f t="shared" si="69"/>
        <v>24</v>
      </c>
      <c r="DR10" s="5">
        <f t="shared" si="70"/>
        <v>157</v>
      </c>
      <c r="DS10" s="5">
        <f t="shared" si="71"/>
        <v>48</v>
      </c>
      <c r="DT10" s="5">
        <v>3.0416666666666665</v>
      </c>
      <c r="DU10" s="5">
        <f t="shared" si="72"/>
        <v>3.2708333333333335</v>
      </c>
      <c r="DV10" s="10" t="str">
        <f t="shared" si="73"/>
        <v>Sangat Memuaskan</v>
      </c>
      <c r="DW10" s="17" t="str">
        <f t="shared" si="74"/>
        <v>Highly Satisfactory</v>
      </c>
      <c r="DX10" s="17" t="s">
        <v>170</v>
      </c>
    </row>
    <row r="11" spans="1:128" x14ac:dyDescent="0.2">
      <c r="A11" s="10">
        <v>9</v>
      </c>
      <c r="B11" s="15" t="s">
        <v>28</v>
      </c>
      <c r="C11" s="15">
        <v>182412009</v>
      </c>
      <c r="D11" s="16" t="s">
        <v>108</v>
      </c>
      <c r="E11" s="7" t="s">
        <v>107</v>
      </c>
      <c r="F11" s="15" t="s">
        <v>149</v>
      </c>
      <c r="G11" s="15"/>
      <c r="H11" s="5">
        <v>74</v>
      </c>
      <c r="I11" s="6" t="str">
        <f t="shared" si="1"/>
        <v>B</v>
      </c>
      <c r="J11" s="1">
        <f t="shared" si="2"/>
        <v>3</v>
      </c>
      <c r="K11" s="5">
        <v>2</v>
      </c>
      <c r="L11" s="2">
        <f t="shared" si="3"/>
        <v>6</v>
      </c>
      <c r="M11" s="5">
        <v>77</v>
      </c>
      <c r="N11" s="6" t="str">
        <f t="shared" si="4"/>
        <v>B+</v>
      </c>
      <c r="O11" s="1">
        <f t="shared" si="5"/>
        <v>3.5</v>
      </c>
      <c r="P11" s="5">
        <v>2</v>
      </c>
      <c r="Q11" s="2">
        <f t="shared" si="6"/>
        <v>7</v>
      </c>
      <c r="R11" s="5">
        <v>82</v>
      </c>
      <c r="S11" s="6" t="str">
        <f t="shared" si="7"/>
        <v>A</v>
      </c>
      <c r="T11" s="1">
        <f t="shared" si="8"/>
        <v>4</v>
      </c>
      <c r="U11" s="5">
        <v>2</v>
      </c>
      <c r="V11" s="2">
        <f t="shared" si="9"/>
        <v>8</v>
      </c>
      <c r="W11" s="5">
        <v>80</v>
      </c>
      <c r="X11" s="6" t="str">
        <f t="shared" si="10"/>
        <v>A</v>
      </c>
      <c r="Y11" s="1">
        <f t="shared" si="11"/>
        <v>4</v>
      </c>
      <c r="Z11" s="5">
        <v>3</v>
      </c>
      <c r="AA11" s="2">
        <f t="shared" si="12"/>
        <v>12</v>
      </c>
      <c r="AB11" s="2">
        <v>87.8</v>
      </c>
      <c r="AC11" s="6" t="str">
        <f t="shared" si="13"/>
        <v>A</v>
      </c>
      <c r="AD11" s="1">
        <f t="shared" si="14"/>
        <v>4</v>
      </c>
      <c r="AE11" s="2">
        <v>2</v>
      </c>
      <c r="AF11" s="2">
        <f t="shared" si="15"/>
        <v>8</v>
      </c>
      <c r="AG11" s="2">
        <v>78</v>
      </c>
      <c r="AH11" s="6" t="str">
        <f t="shared" si="16"/>
        <v>B+</v>
      </c>
      <c r="AI11" s="1">
        <f t="shared" si="17"/>
        <v>3.5</v>
      </c>
      <c r="AJ11" s="2">
        <v>2</v>
      </c>
      <c r="AK11" s="2">
        <f t="shared" si="18"/>
        <v>7</v>
      </c>
      <c r="AL11" s="2">
        <v>78</v>
      </c>
      <c r="AM11" s="6" t="str">
        <f t="shared" si="19"/>
        <v>B+</v>
      </c>
      <c r="AN11" s="1">
        <f t="shared" si="20"/>
        <v>3.5</v>
      </c>
      <c r="AO11" s="2">
        <v>2</v>
      </c>
      <c r="AP11" s="2">
        <f t="shared" si="21"/>
        <v>7</v>
      </c>
      <c r="AQ11" s="2">
        <v>74</v>
      </c>
      <c r="AR11" s="6" t="str">
        <f t="shared" si="22"/>
        <v>B</v>
      </c>
      <c r="AS11" s="1">
        <f t="shared" si="23"/>
        <v>3</v>
      </c>
      <c r="AT11" s="2">
        <v>2</v>
      </c>
      <c r="AU11" s="2">
        <f t="shared" si="24"/>
        <v>6</v>
      </c>
      <c r="AV11" s="5">
        <v>76.75</v>
      </c>
      <c r="AW11" s="6" t="str">
        <f t="shared" si="25"/>
        <v>B+</v>
      </c>
      <c r="AX11" s="1">
        <f t="shared" si="26"/>
        <v>3.5</v>
      </c>
      <c r="AY11" s="5">
        <v>3</v>
      </c>
      <c r="AZ11" s="3">
        <f t="shared" si="27"/>
        <v>10.5</v>
      </c>
      <c r="BA11" s="5">
        <v>76.25</v>
      </c>
      <c r="BB11" s="6" t="str">
        <f t="shared" si="28"/>
        <v>B+</v>
      </c>
      <c r="BC11" s="1">
        <f t="shared" si="29"/>
        <v>3.5</v>
      </c>
      <c r="BD11" s="5">
        <v>2</v>
      </c>
      <c r="BE11" s="2">
        <f t="shared" si="30"/>
        <v>7</v>
      </c>
      <c r="BF11" s="5">
        <v>83</v>
      </c>
      <c r="BG11" s="6" t="str">
        <f t="shared" si="31"/>
        <v>A</v>
      </c>
      <c r="BH11" s="1">
        <f t="shared" si="32"/>
        <v>4</v>
      </c>
      <c r="BI11" s="5">
        <v>2</v>
      </c>
      <c r="BJ11" s="2">
        <f t="shared" si="33"/>
        <v>8</v>
      </c>
      <c r="BK11" s="5">
        <v>79.08</v>
      </c>
      <c r="BL11" s="6" t="str">
        <f t="shared" si="34"/>
        <v>B+</v>
      </c>
      <c r="BM11" s="1">
        <f t="shared" si="35"/>
        <v>3.5</v>
      </c>
      <c r="BN11" s="5">
        <v>2</v>
      </c>
      <c r="BO11" s="2">
        <f t="shared" si="36"/>
        <v>7</v>
      </c>
      <c r="BP11" s="5">
        <v>79</v>
      </c>
      <c r="BQ11" s="6" t="str">
        <f t="shared" si="37"/>
        <v>B+</v>
      </c>
      <c r="BR11" s="1">
        <f t="shared" si="38"/>
        <v>3.5</v>
      </c>
      <c r="BS11" s="5">
        <v>2</v>
      </c>
      <c r="BT11" s="2">
        <f t="shared" si="39"/>
        <v>7</v>
      </c>
      <c r="BU11" s="5">
        <v>80</v>
      </c>
      <c r="BV11" s="6" t="str">
        <f t="shared" si="40"/>
        <v>A</v>
      </c>
      <c r="BW11" s="1">
        <f t="shared" si="41"/>
        <v>4</v>
      </c>
      <c r="BX11" s="5">
        <v>2</v>
      </c>
      <c r="BY11" s="2">
        <f t="shared" si="42"/>
        <v>8</v>
      </c>
      <c r="BZ11" s="5">
        <v>78.7</v>
      </c>
      <c r="CA11" s="6" t="str">
        <f t="shared" si="43"/>
        <v>B+</v>
      </c>
      <c r="CB11" s="1">
        <f t="shared" si="44"/>
        <v>3.5</v>
      </c>
      <c r="CC11" s="5">
        <v>2</v>
      </c>
      <c r="CD11" s="2">
        <f t="shared" si="45"/>
        <v>7</v>
      </c>
      <c r="CE11" s="2">
        <v>86</v>
      </c>
      <c r="CF11" s="6" t="str">
        <f t="shared" si="46"/>
        <v>A</v>
      </c>
      <c r="CG11" s="1">
        <f t="shared" si="47"/>
        <v>4</v>
      </c>
      <c r="CH11" s="5">
        <v>2</v>
      </c>
      <c r="CI11" s="2">
        <f t="shared" si="48"/>
        <v>8</v>
      </c>
      <c r="CJ11" s="2">
        <v>73.95</v>
      </c>
      <c r="CK11" s="6" t="str">
        <f t="shared" si="49"/>
        <v>B</v>
      </c>
      <c r="CL11" s="1">
        <f t="shared" si="50"/>
        <v>3</v>
      </c>
      <c r="CM11" s="2">
        <v>2</v>
      </c>
      <c r="CN11" s="2">
        <f t="shared" si="51"/>
        <v>6</v>
      </c>
      <c r="CO11" s="2">
        <v>78.3</v>
      </c>
      <c r="CP11" s="6" t="str">
        <f t="shared" si="52"/>
        <v>B+</v>
      </c>
      <c r="CQ11" s="1">
        <f t="shared" si="53"/>
        <v>3.5</v>
      </c>
      <c r="CR11" s="2">
        <v>2</v>
      </c>
      <c r="CS11" s="2">
        <f t="shared" si="54"/>
        <v>7</v>
      </c>
      <c r="CT11" s="2">
        <v>81.599999999999994</v>
      </c>
      <c r="CU11" s="6" t="str">
        <f t="shared" si="55"/>
        <v>A</v>
      </c>
      <c r="CV11" s="1">
        <f t="shared" si="56"/>
        <v>4</v>
      </c>
      <c r="CW11" s="2">
        <v>2</v>
      </c>
      <c r="CX11" s="2">
        <f t="shared" si="57"/>
        <v>8</v>
      </c>
      <c r="CY11" s="5">
        <v>74</v>
      </c>
      <c r="CZ11" s="6" t="str">
        <f t="shared" si="58"/>
        <v>B</v>
      </c>
      <c r="DA11" s="1">
        <f t="shared" si="59"/>
        <v>3</v>
      </c>
      <c r="DB11" s="5">
        <v>2</v>
      </c>
      <c r="DC11" s="3">
        <f t="shared" si="60"/>
        <v>6</v>
      </c>
      <c r="DD11" s="5">
        <v>75.599999999999994</v>
      </c>
      <c r="DE11" s="6" t="str">
        <f t="shared" si="61"/>
        <v>B+</v>
      </c>
      <c r="DF11" s="1">
        <f t="shared" si="62"/>
        <v>3.5</v>
      </c>
      <c r="DG11" s="5">
        <v>2</v>
      </c>
      <c r="DH11" s="2">
        <f t="shared" si="63"/>
        <v>7</v>
      </c>
      <c r="DI11" s="5">
        <v>81.3</v>
      </c>
      <c r="DJ11" s="6" t="str">
        <f t="shared" si="64"/>
        <v>A</v>
      </c>
      <c r="DK11" s="1">
        <f t="shared" si="65"/>
        <v>4</v>
      </c>
      <c r="DL11" s="5">
        <v>4</v>
      </c>
      <c r="DM11" s="2">
        <f t="shared" si="66"/>
        <v>16</v>
      </c>
      <c r="DN11" s="30">
        <f t="shared" si="0"/>
        <v>86.5</v>
      </c>
      <c r="DO11" s="31">
        <f t="shared" si="67"/>
        <v>24</v>
      </c>
      <c r="DP11" s="5">
        <f t="shared" si="68"/>
        <v>87</v>
      </c>
      <c r="DQ11" s="5">
        <f t="shared" si="69"/>
        <v>24</v>
      </c>
      <c r="DR11" s="5">
        <f t="shared" si="70"/>
        <v>173.5</v>
      </c>
      <c r="DS11" s="5">
        <f t="shared" si="71"/>
        <v>48</v>
      </c>
      <c r="DT11" s="5">
        <v>3.625</v>
      </c>
      <c r="DU11" s="5">
        <f t="shared" si="72"/>
        <v>3.6145833333333335</v>
      </c>
      <c r="DV11" s="10" t="str">
        <f t="shared" si="73"/>
        <v>Cum Laude</v>
      </c>
      <c r="DW11" s="17" t="str">
        <f t="shared" si="74"/>
        <v>Excellent</v>
      </c>
      <c r="DX11" s="17" t="s">
        <v>168</v>
      </c>
    </row>
    <row r="12" spans="1:128" x14ac:dyDescent="0.2">
      <c r="A12" s="10">
        <v>10</v>
      </c>
      <c r="B12" s="15" t="s">
        <v>29</v>
      </c>
      <c r="C12" s="15">
        <v>182412010</v>
      </c>
      <c r="D12" s="16" t="s">
        <v>109</v>
      </c>
      <c r="E12" s="7" t="s">
        <v>110</v>
      </c>
      <c r="F12" s="15" t="s">
        <v>149</v>
      </c>
      <c r="G12" s="15"/>
      <c r="H12" s="5">
        <v>72.5</v>
      </c>
      <c r="I12" s="6" t="str">
        <f t="shared" si="1"/>
        <v>B</v>
      </c>
      <c r="J12" s="1">
        <f t="shared" si="2"/>
        <v>3</v>
      </c>
      <c r="K12" s="5">
        <v>2</v>
      </c>
      <c r="L12" s="2">
        <f t="shared" si="3"/>
        <v>6</v>
      </c>
      <c r="M12" s="5">
        <v>76</v>
      </c>
      <c r="N12" s="6" t="str">
        <f t="shared" si="4"/>
        <v>B+</v>
      </c>
      <c r="O12" s="1">
        <f t="shared" si="5"/>
        <v>3.5</v>
      </c>
      <c r="P12" s="5">
        <v>2</v>
      </c>
      <c r="Q12" s="2">
        <f t="shared" si="6"/>
        <v>7</v>
      </c>
      <c r="R12" s="5">
        <v>75</v>
      </c>
      <c r="S12" s="6" t="str">
        <f t="shared" si="7"/>
        <v>B+</v>
      </c>
      <c r="T12" s="1">
        <f t="shared" si="8"/>
        <v>3.5</v>
      </c>
      <c r="U12" s="5">
        <v>2</v>
      </c>
      <c r="V12" s="2">
        <f t="shared" si="9"/>
        <v>7</v>
      </c>
      <c r="W12" s="5">
        <v>80</v>
      </c>
      <c r="X12" s="6" t="str">
        <f t="shared" si="10"/>
        <v>A</v>
      </c>
      <c r="Y12" s="1">
        <f t="shared" si="11"/>
        <v>4</v>
      </c>
      <c r="Z12" s="5">
        <v>3</v>
      </c>
      <c r="AA12" s="2">
        <f t="shared" si="12"/>
        <v>12</v>
      </c>
      <c r="AB12" s="2">
        <v>76.650000000000006</v>
      </c>
      <c r="AC12" s="6" t="str">
        <f t="shared" si="13"/>
        <v>B+</v>
      </c>
      <c r="AD12" s="1">
        <f t="shared" si="14"/>
        <v>3.5</v>
      </c>
      <c r="AE12" s="2">
        <v>2</v>
      </c>
      <c r="AF12" s="2">
        <f t="shared" si="15"/>
        <v>7</v>
      </c>
      <c r="AG12" s="2">
        <v>78</v>
      </c>
      <c r="AH12" s="6" t="str">
        <f t="shared" si="16"/>
        <v>B+</v>
      </c>
      <c r="AI12" s="1">
        <f t="shared" si="17"/>
        <v>3.5</v>
      </c>
      <c r="AJ12" s="2">
        <v>2</v>
      </c>
      <c r="AK12" s="2">
        <f t="shared" si="18"/>
        <v>7</v>
      </c>
      <c r="AL12" s="2">
        <v>76</v>
      </c>
      <c r="AM12" s="6" t="str">
        <f t="shared" si="19"/>
        <v>B+</v>
      </c>
      <c r="AN12" s="1">
        <f t="shared" si="20"/>
        <v>3.5</v>
      </c>
      <c r="AO12" s="2">
        <v>2</v>
      </c>
      <c r="AP12" s="2">
        <f t="shared" si="21"/>
        <v>7</v>
      </c>
      <c r="AQ12" s="2">
        <v>74</v>
      </c>
      <c r="AR12" s="6" t="str">
        <f t="shared" si="22"/>
        <v>B</v>
      </c>
      <c r="AS12" s="1">
        <f t="shared" si="23"/>
        <v>3</v>
      </c>
      <c r="AT12" s="2">
        <v>2</v>
      </c>
      <c r="AU12" s="2">
        <f t="shared" si="24"/>
        <v>6</v>
      </c>
      <c r="AV12" s="5">
        <v>79.5</v>
      </c>
      <c r="AW12" s="6" t="str">
        <f t="shared" si="25"/>
        <v>B+</v>
      </c>
      <c r="AX12" s="1">
        <f t="shared" si="26"/>
        <v>3.5</v>
      </c>
      <c r="AY12" s="5">
        <v>3</v>
      </c>
      <c r="AZ12" s="3">
        <f t="shared" si="27"/>
        <v>10.5</v>
      </c>
      <c r="BA12" s="5">
        <v>76.25</v>
      </c>
      <c r="BB12" s="6" t="str">
        <f t="shared" si="28"/>
        <v>B+</v>
      </c>
      <c r="BC12" s="1">
        <f t="shared" si="29"/>
        <v>3.5</v>
      </c>
      <c r="BD12" s="5">
        <v>2</v>
      </c>
      <c r="BE12" s="2">
        <f t="shared" si="30"/>
        <v>7</v>
      </c>
      <c r="BF12" s="5">
        <v>76</v>
      </c>
      <c r="BG12" s="6" t="str">
        <f t="shared" si="31"/>
        <v>B+</v>
      </c>
      <c r="BH12" s="1">
        <f t="shared" si="32"/>
        <v>3.5</v>
      </c>
      <c r="BI12" s="5">
        <v>2</v>
      </c>
      <c r="BJ12" s="2">
        <f t="shared" si="33"/>
        <v>7</v>
      </c>
      <c r="BK12" s="5">
        <v>79.069999999999993</v>
      </c>
      <c r="BL12" s="6" t="str">
        <f t="shared" si="34"/>
        <v>B+</v>
      </c>
      <c r="BM12" s="1">
        <f t="shared" si="35"/>
        <v>3.5</v>
      </c>
      <c r="BN12" s="5">
        <v>2</v>
      </c>
      <c r="BO12" s="2">
        <f t="shared" si="36"/>
        <v>7</v>
      </c>
      <c r="BP12" s="5">
        <v>79</v>
      </c>
      <c r="BQ12" s="6" t="str">
        <f t="shared" si="37"/>
        <v>B+</v>
      </c>
      <c r="BR12" s="1">
        <f t="shared" si="38"/>
        <v>3.5</v>
      </c>
      <c r="BS12" s="5">
        <v>2</v>
      </c>
      <c r="BT12" s="2">
        <f t="shared" si="39"/>
        <v>7</v>
      </c>
      <c r="BU12" s="5">
        <v>82</v>
      </c>
      <c r="BV12" s="6" t="str">
        <f t="shared" si="40"/>
        <v>A</v>
      </c>
      <c r="BW12" s="1">
        <f t="shared" si="41"/>
        <v>4</v>
      </c>
      <c r="BX12" s="5">
        <v>2</v>
      </c>
      <c r="BY12" s="2">
        <f t="shared" si="42"/>
        <v>8</v>
      </c>
      <c r="BZ12" s="5">
        <v>78.599999999999994</v>
      </c>
      <c r="CA12" s="6" t="str">
        <f t="shared" si="43"/>
        <v>B+</v>
      </c>
      <c r="CB12" s="1">
        <f t="shared" si="44"/>
        <v>3.5</v>
      </c>
      <c r="CC12" s="5">
        <v>2</v>
      </c>
      <c r="CD12" s="2">
        <f t="shared" si="45"/>
        <v>7</v>
      </c>
      <c r="CE12" s="2">
        <v>85</v>
      </c>
      <c r="CF12" s="6" t="str">
        <f t="shared" si="46"/>
        <v>A</v>
      </c>
      <c r="CG12" s="1">
        <f t="shared" si="47"/>
        <v>4</v>
      </c>
      <c r="CH12" s="5">
        <v>2</v>
      </c>
      <c r="CI12" s="2">
        <f t="shared" si="48"/>
        <v>8</v>
      </c>
      <c r="CJ12" s="2">
        <v>74.150000000000006</v>
      </c>
      <c r="CK12" s="6" t="str">
        <f t="shared" si="49"/>
        <v>B</v>
      </c>
      <c r="CL12" s="1">
        <f t="shared" si="50"/>
        <v>3</v>
      </c>
      <c r="CM12" s="2">
        <v>2</v>
      </c>
      <c r="CN12" s="2">
        <f t="shared" si="51"/>
        <v>6</v>
      </c>
      <c r="CO12" s="2">
        <v>78.3</v>
      </c>
      <c r="CP12" s="6" t="str">
        <f t="shared" si="52"/>
        <v>B+</v>
      </c>
      <c r="CQ12" s="1">
        <f t="shared" si="53"/>
        <v>3.5</v>
      </c>
      <c r="CR12" s="2">
        <v>2</v>
      </c>
      <c r="CS12" s="2">
        <f t="shared" si="54"/>
        <v>7</v>
      </c>
      <c r="CT12" s="2">
        <v>80.7</v>
      </c>
      <c r="CU12" s="6" t="str">
        <f t="shared" si="55"/>
        <v>A</v>
      </c>
      <c r="CV12" s="1">
        <f t="shared" si="56"/>
        <v>4</v>
      </c>
      <c r="CW12" s="2">
        <v>2</v>
      </c>
      <c r="CX12" s="2">
        <f t="shared" si="57"/>
        <v>8</v>
      </c>
      <c r="CY12" s="5">
        <v>72</v>
      </c>
      <c r="CZ12" s="6" t="str">
        <f t="shared" si="58"/>
        <v>B</v>
      </c>
      <c r="DA12" s="1">
        <f t="shared" si="59"/>
        <v>3</v>
      </c>
      <c r="DB12" s="5">
        <v>2</v>
      </c>
      <c r="DC12" s="3">
        <f t="shared" si="60"/>
        <v>6</v>
      </c>
      <c r="DD12" s="5">
        <v>75</v>
      </c>
      <c r="DE12" s="6" t="str">
        <f t="shared" si="61"/>
        <v>B+</v>
      </c>
      <c r="DF12" s="1">
        <f t="shared" si="62"/>
        <v>3.5</v>
      </c>
      <c r="DG12" s="5">
        <v>2</v>
      </c>
      <c r="DH12" s="2">
        <f t="shared" si="63"/>
        <v>7</v>
      </c>
      <c r="DI12" s="5">
        <v>80.7</v>
      </c>
      <c r="DJ12" s="6" t="str">
        <f t="shared" si="64"/>
        <v>A</v>
      </c>
      <c r="DK12" s="1">
        <f t="shared" si="65"/>
        <v>4</v>
      </c>
      <c r="DL12" s="5">
        <v>4</v>
      </c>
      <c r="DM12" s="2">
        <f t="shared" si="66"/>
        <v>16</v>
      </c>
      <c r="DN12" s="30">
        <f t="shared" si="0"/>
        <v>83.5</v>
      </c>
      <c r="DO12" s="31">
        <f t="shared" si="67"/>
        <v>24</v>
      </c>
      <c r="DP12" s="5">
        <f t="shared" si="68"/>
        <v>87</v>
      </c>
      <c r="DQ12" s="5">
        <f t="shared" si="69"/>
        <v>24</v>
      </c>
      <c r="DR12" s="5">
        <f t="shared" si="70"/>
        <v>170.5</v>
      </c>
      <c r="DS12" s="5">
        <f t="shared" si="71"/>
        <v>48</v>
      </c>
      <c r="DT12" s="5">
        <v>3.625</v>
      </c>
      <c r="DU12" s="5">
        <f t="shared" si="72"/>
        <v>3.5520833333333335</v>
      </c>
      <c r="DV12" s="10" t="str">
        <f t="shared" si="73"/>
        <v>Cum Laude</v>
      </c>
      <c r="DW12" s="17" t="str">
        <f t="shared" si="74"/>
        <v>Excellent</v>
      </c>
      <c r="DX12" s="17" t="s">
        <v>169</v>
      </c>
    </row>
    <row r="13" spans="1:128" x14ac:dyDescent="0.2">
      <c r="A13" s="10">
        <v>11</v>
      </c>
      <c r="B13" s="15" t="s">
        <v>30</v>
      </c>
      <c r="C13" s="15">
        <v>182412011</v>
      </c>
      <c r="D13" s="16" t="s">
        <v>95</v>
      </c>
      <c r="E13" s="7" t="s">
        <v>111</v>
      </c>
      <c r="F13" s="15" t="s">
        <v>149</v>
      </c>
      <c r="G13" s="15"/>
      <c r="H13" s="5">
        <v>77.25</v>
      </c>
      <c r="I13" s="6" t="str">
        <f t="shared" si="1"/>
        <v>B+</v>
      </c>
      <c r="J13" s="1">
        <f t="shared" si="2"/>
        <v>3.5</v>
      </c>
      <c r="K13" s="5">
        <v>2</v>
      </c>
      <c r="L13" s="2">
        <f t="shared" si="3"/>
        <v>7</v>
      </c>
      <c r="M13" s="5">
        <v>75</v>
      </c>
      <c r="N13" s="6" t="str">
        <f t="shared" si="4"/>
        <v>B+</v>
      </c>
      <c r="O13" s="1">
        <f t="shared" si="5"/>
        <v>3.5</v>
      </c>
      <c r="P13" s="5">
        <v>2</v>
      </c>
      <c r="Q13" s="2">
        <f t="shared" si="6"/>
        <v>7</v>
      </c>
      <c r="R13" s="5">
        <v>73</v>
      </c>
      <c r="S13" s="6" t="str">
        <f t="shared" si="7"/>
        <v>B</v>
      </c>
      <c r="T13" s="1">
        <f t="shared" si="8"/>
        <v>3</v>
      </c>
      <c r="U13" s="5">
        <v>2</v>
      </c>
      <c r="V13" s="2">
        <f t="shared" si="9"/>
        <v>6</v>
      </c>
      <c r="W13" s="5">
        <v>80</v>
      </c>
      <c r="X13" s="6" t="str">
        <f t="shared" si="10"/>
        <v>A</v>
      </c>
      <c r="Y13" s="1">
        <f t="shared" si="11"/>
        <v>4</v>
      </c>
      <c r="Z13" s="5">
        <v>3</v>
      </c>
      <c r="AA13" s="2">
        <f t="shared" si="12"/>
        <v>12</v>
      </c>
      <c r="AB13" s="2">
        <v>85.8</v>
      </c>
      <c r="AC13" s="6" t="str">
        <f t="shared" si="13"/>
        <v>A</v>
      </c>
      <c r="AD13" s="1">
        <f t="shared" si="14"/>
        <v>4</v>
      </c>
      <c r="AE13" s="2">
        <v>2</v>
      </c>
      <c r="AF13" s="2">
        <f t="shared" si="15"/>
        <v>8</v>
      </c>
      <c r="AG13" s="2">
        <v>78</v>
      </c>
      <c r="AH13" s="6" t="str">
        <f t="shared" si="16"/>
        <v>B+</v>
      </c>
      <c r="AI13" s="1">
        <f t="shared" si="17"/>
        <v>3.5</v>
      </c>
      <c r="AJ13" s="2">
        <v>2</v>
      </c>
      <c r="AK13" s="2">
        <f t="shared" si="18"/>
        <v>7</v>
      </c>
      <c r="AL13" s="2">
        <v>79</v>
      </c>
      <c r="AM13" s="6" t="str">
        <f t="shared" si="19"/>
        <v>B+</v>
      </c>
      <c r="AN13" s="1">
        <f t="shared" si="20"/>
        <v>3.5</v>
      </c>
      <c r="AO13" s="2">
        <v>2</v>
      </c>
      <c r="AP13" s="2">
        <f t="shared" si="21"/>
        <v>7</v>
      </c>
      <c r="AQ13" s="2">
        <v>75</v>
      </c>
      <c r="AR13" s="6" t="str">
        <f t="shared" si="22"/>
        <v>B+</v>
      </c>
      <c r="AS13" s="1">
        <f t="shared" si="23"/>
        <v>3.5</v>
      </c>
      <c r="AT13" s="2">
        <v>2</v>
      </c>
      <c r="AU13" s="2">
        <f t="shared" si="24"/>
        <v>7</v>
      </c>
      <c r="AV13" s="5">
        <v>78</v>
      </c>
      <c r="AW13" s="6" t="str">
        <f t="shared" si="25"/>
        <v>B+</v>
      </c>
      <c r="AX13" s="1">
        <f t="shared" si="26"/>
        <v>3.5</v>
      </c>
      <c r="AY13" s="5">
        <v>3</v>
      </c>
      <c r="AZ13" s="3">
        <f t="shared" si="27"/>
        <v>10.5</v>
      </c>
      <c r="BA13" s="5">
        <v>76.25</v>
      </c>
      <c r="BB13" s="6" t="str">
        <f t="shared" si="28"/>
        <v>B+</v>
      </c>
      <c r="BC13" s="1">
        <f t="shared" si="29"/>
        <v>3.5</v>
      </c>
      <c r="BD13" s="5">
        <v>2</v>
      </c>
      <c r="BE13" s="2">
        <f t="shared" si="30"/>
        <v>7</v>
      </c>
      <c r="BF13" s="5">
        <v>80</v>
      </c>
      <c r="BG13" s="6" t="str">
        <f t="shared" si="31"/>
        <v>A</v>
      </c>
      <c r="BH13" s="1">
        <f t="shared" si="32"/>
        <v>4</v>
      </c>
      <c r="BI13" s="5">
        <v>2</v>
      </c>
      <c r="BJ13" s="2">
        <f t="shared" si="33"/>
        <v>8</v>
      </c>
      <c r="BK13" s="5">
        <v>78.27</v>
      </c>
      <c r="BL13" s="6" t="str">
        <f t="shared" si="34"/>
        <v>B+</v>
      </c>
      <c r="BM13" s="1">
        <f t="shared" si="35"/>
        <v>3.5</v>
      </c>
      <c r="BN13" s="5">
        <v>2</v>
      </c>
      <c r="BO13" s="2">
        <f t="shared" si="36"/>
        <v>7</v>
      </c>
      <c r="BP13" s="5">
        <v>80</v>
      </c>
      <c r="BQ13" s="6" t="str">
        <f t="shared" si="37"/>
        <v>A</v>
      </c>
      <c r="BR13" s="1">
        <f t="shared" si="38"/>
        <v>4</v>
      </c>
      <c r="BS13" s="5">
        <v>2</v>
      </c>
      <c r="BT13" s="2">
        <f t="shared" si="39"/>
        <v>8</v>
      </c>
      <c r="BU13" s="5">
        <v>80</v>
      </c>
      <c r="BV13" s="6" t="str">
        <f t="shared" si="40"/>
        <v>A</v>
      </c>
      <c r="BW13" s="1">
        <f t="shared" si="41"/>
        <v>4</v>
      </c>
      <c r="BX13" s="5">
        <v>2</v>
      </c>
      <c r="BY13" s="2">
        <f t="shared" si="42"/>
        <v>8</v>
      </c>
      <c r="BZ13" s="5">
        <v>80.8</v>
      </c>
      <c r="CA13" s="6" t="str">
        <f t="shared" si="43"/>
        <v>A</v>
      </c>
      <c r="CB13" s="1">
        <f t="shared" si="44"/>
        <v>4</v>
      </c>
      <c r="CC13" s="5">
        <v>2</v>
      </c>
      <c r="CD13" s="2">
        <f t="shared" si="45"/>
        <v>8</v>
      </c>
      <c r="CE13" s="2">
        <v>87</v>
      </c>
      <c r="CF13" s="6" t="str">
        <f t="shared" si="46"/>
        <v>A</v>
      </c>
      <c r="CG13" s="1">
        <f t="shared" si="47"/>
        <v>4</v>
      </c>
      <c r="CH13" s="5">
        <v>2</v>
      </c>
      <c r="CI13" s="2">
        <f t="shared" si="48"/>
        <v>8</v>
      </c>
      <c r="CJ13" s="2">
        <v>76.53</v>
      </c>
      <c r="CK13" s="6" t="str">
        <f t="shared" si="49"/>
        <v>B+</v>
      </c>
      <c r="CL13" s="1">
        <f t="shared" si="50"/>
        <v>3.5</v>
      </c>
      <c r="CM13" s="2">
        <v>2</v>
      </c>
      <c r="CN13" s="2">
        <f t="shared" si="51"/>
        <v>7</v>
      </c>
      <c r="CO13" s="2">
        <v>77.2</v>
      </c>
      <c r="CP13" s="6" t="str">
        <f t="shared" si="52"/>
        <v>B+</v>
      </c>
      <c r="CQ13" s="1">
        <f t="shared" si="53"/>
        <v>3.5</v>
      </c>
      <c r="CR13" s="2">
        <v>2</v>
      </c>
      <c r="CS13" s="2">
        <f t="shared" si="54"/>
        <v>7</v>
      </c>
      <c r="CT13" s="2">
        <v>72.599999999999994</v>
      </c>
      <c r="CU13" s="6" t="str">
        <f t="shared" si="55"/>
        <v>B</v>
      </c>
      <c r="CV13" s="1">
        <f t="shared" si="56"/>
        <v>3</v>
      </c>
      <c r="CW13" s="2">
        <v>2</v>
      </c>
      <c r="CX13" s="2">
        <f t="shared" si="57"/>
        <v>6</v>
      </c>
      <c r="CY13" s="5">
        <v>79</v>
      </c>
      <c r="CZ13" s="6" t="str">
        <f t="shared" si="58"/>
        <v>B+</v>
      </c>
      <c r="DA13" s="1">
        <f t="shared" si="59"/>
        <v>3.5</v>
      </c>
      <c r="DB13" s="5">
        <v>2</v>
      </c>
      <c r="DC13" s="3">
        <f t="shared" si="60"/>
        <v>7</v>
      </c>
      <c r="DD13" s="5">
        <v>75</v>
      </c>
      <c r="DE13" s="6" t="str">
        <f t="shared" si="61"/>
        <v>B+</v>
      </c>
      <c r="DF13" s="1">
        <f t="shared" si="62"/>
        <v>3.5</v>
      </c>
      <c r="DG13" s="5">
        <v>2</v>
      </c>
      <c r="DH13" s="2">
        <f t="shared" si="63"/>
        <v>7</v>
      </c>
      <c r="DI13" s="5">
        <v>80.2</v>
      </c>
      <c r="DJ13" s="6" t="str">
        <f t="shared" si="64"/>
        <v>A</v>
      </c>
      <c r="DK13" s="1">
        <f t="shared" si="65"/>
        <v>4</v>
      </c>
      <c r="DL13" s="5">
        <v>4</v>
      </c>
      <c r="DM13" s="2">
        <f t="shared" si="66"/>
        <v>16</v>
      </c>
      <c r="DN13" s="30">
        <f t="shared" si="0"/>
        <v>86.5</v>
      </c>
      <c r="DO13" s="31">
        <f t="shared" si="67"/>
        <v>24</v>
      </c>
      <c r="DP13" s="5">
        <f t="shared" si="68"/>
        <v>89</v>
      </c>
      <c r="DQ13" s="5">
        <f t="shared" si="69"/>
        <v>24</v>
      </c>
      <c r="DR13" s="5">
        <f t="shared" si="70"/>
        <v>175.5</v>
      </c>
      <c r="DS13" s="5">
        <f t="shared" si="71"/>
        <v>48</v>
      </c>
      <c r="DT13" s="5">
        <v>3.7083333333333335</v>
      </c>
      <c r="DU13" s="5">
        <f t="shared" si="72"/>
        <v>3.65625</v>
      </c>
      <c r="DV13" s="10" t="str">
        <f t="shared" si="73"/>
        <v>Cum Laude</v>
      </c>
      <c r="DW13" s="17" t="str">
        <f t="shared" si="74"/>
        <v>Excellent</v>
      </c>
      <c r="DX13" s="17" t="s">
        <v>170</v>
      </c>
    </row>
    <row r="14" spans="1:128" ht="28.5" x14ac:dyDescent="0.25">
      <c r="A14" s="10">
        <v>12</v>
      </c>
      <c r="B14" s="15" t="s">
        <v>31</v>
      </c>
      <c r="C14" s="15">
        <v>182412012</v>
      </c>
      <c r="D14" s="10" t="s">
        <v>113</v>
      </c>
      <c r="E14" s="7" t="s">
        <v>112</v>
      </c>
      <c r="F14" s="15" t="s">
        <v>149</v>
      </c>
      <c r="G14" s="15"/>
      <c r="H14" s="5">
        <v>83.5</v>
      </c>
      <c r="I14" s="6" t="str">
        <f t="shared" si="1"/>
        <v>A</v>
      </c>
      <c r="J14" s="1">
        <f t="shared" si="2"/>
        <v>4</v>
      </c>
      <c r="K14" s="5">
        <v>2</v>
      </c>
      <c r="L14" s="2">
        <f t="shared" si="3"/>
        <v>8</v>
      </c>
      <c r="M14" s="5">
        <v>82</v>
      </c>
      <c r="N14" s="6" t="str">
        <f t="shared" si="4"/>
        <v>A</v>
      </c>
      <c r="O14" s="1">
        <f t="shared" si="5"/>
        <v>4</v>
      </c>
      <c r="P14" s="5">
        <v>2</v>
      </c>
      <c r="Q14" s="2">
        <f t="shared" si="6"/>
        <v>8</v>
      </c>
      <c r="R14" s="5">
        <v>80</v>
      </c>
      <c r="S14" s="6" t="str">
        <f t="shared" si="7"/>
        <v>A</v>
      </c>
      <c r="T14" s="1">
        <f t="shared" si="8"/>
        <v>4</v>
      </c>
      <c r="U14" s="5">
        <v>2</v>
      </c>
      <c r="V14" s="2">
        <f t="shared" si="9"/>
        <v>8</v>
      </c>
      <c r="W14" s="5">
        <v>80</v>
      </c>
      <c r="X14" s="6" t="str">
        <f t="shared" si="10"/>
        <v>A</v>
      </c>
      <c r="Y14" s="1">
        <f t="shared" si="11"/>
        <v>4</v>
      </c>
      <c r="Z14" s="5">
        <v>3</v>
      </c>
      <c r="AA14" s="2">
        <f t="shared" si="12"/>
        <v>12</v>
      </c>
      <c r="AB14" s="2">
        <v>77.95</v>
      </c>
      <c r="AC14" s="6" t="str">
        <f t="shared" si="13"/>
        <v>B+</v>
      </c>
      <c r="AD14" s="1">
        <f t="shared" si="14"/>
        <v>3.5</v>
      </c>
      <c r="AE14" s="2">
        <v>2</v>
      </c>
      <c r="AF14" s="2">
        <f t="shared" si="15"/>
        <v>7</v>
      </c>
      <c r="AG14" s="2">
        <v>78</v>
      </c>
      <c r="AH14" s="6" t="str">
        <f t="shared" si="16"/>
        <v>B+</v>
      </c>
      <c r="AI14" s="1">
        <f t="shared" si="17"/>
        <v>3.5</v>
      </c>
      <c r="AJ14" s="2">
        <v>2</v>
      </c>
      <c r="AK14" s="2">
        <f t="shared" si="18"/>
        <v>7</v>
      </c>
      <c r="AL14" s="2">
        <v>82</v>
      </c>
      <c r="AM14" s="6" t="str">
        <f t="shared" si="19"/>
        <v>A</v>
      </c>
      <c r="AN14" s="1">
        <f t="shared" si="20"/>
        <v>4</v>
      </c>
      <c r="AO14" s="2">
        <v>2</v>
      </c>
      <c r="AP14" s="2">
        <f t="shared" si="21"/>
        <v>8</v>
      </c>
      <c r="AQ14" s="2">
        <v>76</v>
      </c>
      <c r="AR14" s="6" t="str">
        <f t="shared" si="22"/>
        <v>B+</v>
      </c>
      <c r="AS14" s="1">
        <f t="shared" si="23"/>
        <v>3.5</v>
      </c>
      <c r="AT14" s="2">
        <v>2</v>
      </c>
      <c r="AU14" s="2">
        <f t="shared" si="24"/>
        <v>7</v>
      </c>
      <c r="AV14" s="5">
        <v>80.75</v>
      </c>
      <c r="AW14" s="6" t="str">
        <f t="shared" si="25"/>
        <v>A</v>
      </c>
      <c r="AX14" s="1">
        <f t="shared" si="26"/>
        <v>4</v>
      </c>
      <c r="AY14" s="5">
        <v>3</v>
      </c>
      <c r="AZ14" s="3">
        <f t="shared" si="27"/>
        <v>12</v>
      </c>
      <c r="BA14" s="5">
        <v>79.5</v>
      </c>
      <c r="BB14" s="6" t="str">
        <f t="shared" si="28"/>
        <v>B+</v>
      </c>
      <c r="BC14" s="1">
        <f t="shared" si="29"/>
        <v>3.5</v>
      </c>
      <c r="BD14" s="5">
        <v>2</v>
      </c>
      <c r="BE14" s="2">
        <f t="shared" si="30"/>
        <v>7</v>
      </c>
      <c r="BF14" s="5">
        <v>82</v>
      </c>
      <c r="BG14" s="6" t="str">
        <f t="shared" si="31"/>
        <v>A</v>
      </c>
      <c r="BH14" s="1">
        <f t="shared" si="32"/>
        <v>4</v>
      </c>
      <c r="BI14" s="5">
        <v>2</v>
      </c>
      <c r="BJ14" s="2">
        <f t="shared" si="33"/>
        <v>8</v>
      </c>
      <c r="BK14" s="5">
        <v>78.47</v>
      </c>
      <c r="BL14" s="6" t="str">
        <f t="shared" si="34"/>
        <v>B+</v>
      </c>
      <c r="BM14" s="1">
        <f t="shared" si="35"/>
        <v>3.5</v>
      </c>
      <c r="BN14" s="5">
        <v>2</v>
      </c>
      <c r="BO14" s="2">
        <f t="shared" si="36"/>
        <v>7</v>
      </c>
      <c r="BP14" s="5">
        <v>80</v>
      </c>
      <c r="BQ14" s="6" t="str">
        <f t="shared" si="37"/>
        <v>A</v>
      </c>
      <c r="BR14" s="1">
        <f t="shared" si="38"/>
        <v>4</v>
      </c>
      <c r="BS14" s="5">
        <v>2</v>
      </c>
      <c r="BT14" s="2">
        <f t="shared" si="39"/>
        <v>8</v>
      </c>
      <c r="BU14" s="5">
        <v>83</v>
      </c>
      <c r="BV14" s="6" t="str">
        <f t="shared" si="40"/>
        <v>A</v>
      </c>
      <c r="BW14" s="1">
        <f t="shared" si="41"/>
        <v>4</v>
      </c>
      <c r="BX14" s="5">
        <v>2</v>
      </c>
      <c r="BY14" s="2">
        <f t="shared" si="42"/>
        <v>8</v>
      </c>
      <c r="BZ14" s="5">
        <v>82</v>
      </c>
      <c r="CA14" s="6" t="str">
        <f t="shared" si="43"/>
        <v>A</v>
      </c>
      <c r="CB14" s="1">
        <f t="shared" si="44"/>
        <v>4</v>
      </c>
      <c r="CC14" s="5">
        <v>2</v>
      </c>
      <c r="CD14" s="2">
        <f t="shared" si="45"/>
        <v>8</v>
      </c>
      <c r="CE14" s="2">
        <v>86</v>
      </c>
      <c r="CF14" s="6" t="str">
        <f t="shared" si="46"/>
        <v>A</v>
      </c>
      <c r="CG14" s="1">
        <f t="shared" si="47"/>
        <v>4</v>
      </c>
      <c r="CH14" s="5">
        <v>2</v>
      </c>
      <c r="CI14" s="2">
        <f t="shared" si="48"/>
        <v>8</v>
      </c>
      <c r="CJ14" s="2">
        <v>71.33</v>
      </c>
      <c r="CK14" s="6" t="str">
        <f t="shared" si="49"/>
        <v>B</v>
      </c>
      <c r="CL14" s="1">
        <f t="shared" si="50"/>
        <v>3</v>
      </c>
      <c r="CM14" s="2">
        <v>2</v>
      </c>
      <c r="CN14" s="2">
        <f t="shared" si="51"/>
        <v>6</v>
      </c>
      <c r="CO14" s="2">
        <v>78</v>
      </c>
      <c r="CP14" s="6" t="str">
        <f t="shared" si="52"/>
        <v>B+</v>
      </c>
      <c r="CQ14" s="1">
        <f t="shared" si="53"/>
        <v>3.5</v>
      </c>
      <c r="CR14" s="2">
        <v>2</v>
      </c>
      <c r="CS14" s="2">
        <f t="shared" si="54"/>
        <v>7</v>
      </c>
      <c r="CT14" s="2">
        <v>84</v>
      </c>
      <c r="CU14" s="6" t="str">
        <f t="shared" si="55"/>
        <v>A</v>
      </c>
      <c r="CV14" s="1">
        <f t="shared" si="56"/>
        <v>4</v>
      </c>
      <c r="CW14" s="2">
        <v>2</v>
      </c>
      <c r="CX14" s="2">
        <f t="shared" si="57"/>
        <v>8</v>
      </c>
      <c r="CY14" s="5">
        <v>87</v>
      </c>
      <c r="CZ14" s="6" t="str">
        <f t="shared" si="58"/>
        <v>A</v>
      </c>
      <c r="DA14" s="1">
        <f t="shared" si="59"/>
        <v>4</v>
      </c>
      <c r="DB14" s="5">
        <v>2</v>
      </c>
      <c r="DC14" s="3">
        <f t="shared" si="60"/>
        <v>8</v>
      </c>
      <c r="DD14" s="5">
        <v>72.75</v>
      </c>
      <c r="DE14" s="6" t="str">
        <f t="shared" si="61"/>
        <v>B</v>
      </c>
      <c r="DF14" s="1">
        <f t="shared" si="62"/>
        <v>3</v>
      </c>
      <c r="DG14" s="5">
        <v>2</v>
      </c>
      <c r="DH14" s="2">
        <f t="shared" si="63"/>
        <v>6</v>
      </c>
      <c r="DI14" s="5">
        <v>80.7</v>
      </c>
      <c r="DJ14" s="6" t="str">
        <f t="shared" si="64"/>
        <v>A</v>
      </c>
      <c r="DK14" s="1">
        <f t="shared" si="65"/>
        <v>4</v>
      </c>
      <c r="DL14" s="5">
        <v>4</v>
      </c>
      <c r="DM14" s="2">
        <f t="shared" si="66"/>
        <v>16</v>
      </c>
      <c r="DN14" s="30">
        <f t="shared" si="0"/>
        <v>92</v>
      </c>
      <c r="DO14" s="31">
        <f t="shared" si="67"/>
        <v>24</v>
      </c>
      <c r="DP14" s="5">
        <f t="shared" si="68"/>
        <v>90</v>
      </c>
      <c r="DQ14" s="5">
        <f t="shared" si="69"/>
        <v>24</v>
      </c>
      <c r="DR14" s="5">
        <f t="shared" si="70"/>
        <v>182</v>
      </c>
      <c r="DS14" s="5">
        <f t="shared" si="71"/>
        <v>48</v>
      </c>
      <c r="DT14" s="5">
        <v>3.75</v>
      </c>
      <c r="DU14" s="5">
        <f t="shared" si="72"/>
        <v>3.7916666666666665</v>
      </c>
      <c r="DV14" s="10" t="str">
        <f t="shared" si="73"/>
        <v>Cum Laude</v>
      </c>
      <c r="DW14" s="17" t="str">
        <f t="shared" si="74"/>
        <v>Excellent</v>
      </c>
      <c r="DX14" s="17" t="s">
        <v>156</v>
      </c>
    </row>
    <row r="15" spans="1:128" x14ac:dyDescent="0.25">
      <c r="A15" s="10">
        <v>13</v>
      </c>
      <c r="B15" s="15" t="s">
        <v>32</v>
      </c>
      <c r="C15" s="15">
        <v>182412013</v>
      </c>
      <c r="D15" s="15"/>
      <c r="E15" s="7"/>
      <c r="F15" s="15"/>
      <c r="G15" s="15"/>
      <c r="H15" s="5">
        <v>71</v>
      </c>
      <c r="I15" s="6" t="str">
        <f t="shared" si="1"/>
        <v>B</v>
      </c>
      <c r="J15" s="1">
        <f t="shared" si="2"/>
        <v>3</v>
      </c>
      <c r="K15" s="5">
        <v>2</v>
      </c>
      <c r="L15" s="2">
        <f t="shared" si="3"/>
        <v>6</v>
      </c>
      <c r="M15" s="5">
        <v>77</v>
      </c>
      <c r="N15" s="6" t="str">
        <f t="shared" si="4"/>
        <v>B+</v>
      </c>
      <c r="O15" s="1">
        <f t="shared" si="5"/>
        <v>3.5</v>
      </c>
      <c r="P15" s="5">
        <v>2</v>
      </c>
      <c r="Q15" s="2">
        <f t="shared" si="6"/>
        <v>7</v>
      </c>
      <c r="R15" s="5">
        <v>77</v>
      </c>
      <c r="S15" s="6" t="str">
        <f t="shared" si="7"/>
        <v>B+</v>
      </c>
      <c r="T15" s="1">
        <f t="shared" si="8"/>
        <v>3.5</v>
      </c>
      <c r="U15" s="5">
        <v>2</v>
      </c>
      <c r="V15" s="2">
        <f t="shared" si="9"/>
        <v>7</v>
      </c>
      <c r="W15" s="5">
        <v>78</v>
      </c>
      <c r="X15" s="6" t="str">
        <f t="shared" si="10"/>
        <v>B+</v>
      </c>
      <c r="Y15" s="1">
        <f t="shared" si="11"/>
        <v>3.5</v>
      </c>
      <c r="Z15" s="5">
        <v>3</v>
      </c>
      <c r="AA15" s="2">
        <f t="shared" si="12"/>
        <v>10.5</v>
      </c>
      <c r="AB15" s="2">
        <v>82.95</v>
      </c>
      <c r="AC15" s="6" t="str">
        <f t="shared" si="13"/>
        <v>A</v>
      </c>
      <c r="AD15" s="1">
        <f t="shared" si="14"/>
        <v>4</v>
      </c>
      <c r="AE15" s="2">
        <v>2</v>
      </c>
      <c r="AF15" s="2">
        <f t="shared" si="15"/>
        <v>8</v>
      </c>
      <c r="AG15" s="2">
        <v>78</v>
      </c>
      <c r="AH15" s="6" t="str">
        <f t="shared" si="16"/>
        <v>B+</v>
      </c>
      <c r="AI15" s="1">
        <f t="shared" si="17"/>
        <v>3.5</v>
      </c>
      <c r="AJ15" s="2">
        <v>2</v>
      </c>
      <c r="AK15" s="2">
        <f t="shared" si="18"/>
        <v>7</v>
      </c>
      <c r="AL15" s="2">
        <v>79</v>
      </c>
      <c r="AM15" s="6" t="str">
        <f t="shared" si="19"/>
        <v>B+</v>
      </c>
      <c r="AN15" s="1">
        <f t="shared" si="20"/>
        <v>3.5</v>
      </c>
      <c r="AO15" s="2">
        <v>2</v>
      </c>
      <c r="AP15" s="2">
        <f t="shared" si="21"/>
        <v>7</v>
      </c>
      <c r="AQ15" s="2">
        <v>74</v>
      </c>
      <c r="AR15" s="6" t="str">
        <f t="shared" si="22"/>
        <v>B</v>
      </c>
      <c r="AS15" s="1">
        <f t="shared" si="23"/>
        <v>3</v>
      </c>
      <c r="AT15" s="2">
        <v>2</v>
      </c>
      <c r="AU15" s="2">
        <f t="shared" si="24"/>
        <v>6</v>
      </c>
      <c r="AV15" s="5">
        <v>78</v>
      </c>
      <c r="AW15" s="6" t="str">
        <f t="shared" si="25"/>
        <v>B+</v>
      </c>
      <c r="AX15" s="1">
        <f t="shared" si="26"/>
        <v>3.5</v>
      </c>
      <c r="AY15" s="5">
        <v>3</v>
      </c>
      <c r="AZ15" s="3">
        <f t="shared" si="27"/>
        <v>10.5</v>
      </c>
      <c r="BA15" s="5">
        <v>76.25</v>
      </c>
      <c r="BB15" s="6" t="str">
        <f t="shared" si="28"/>
        <v>B+</v>
      </c>
      <c r="BC15" s="1">
        <f t="shared" si="29"/>
        <v>3.5</v>
      </c>
      <c r="BD15" s="5">
        <v>2</v>
      </c>
      <c r="BE15" s="2">
        <f t="shared" si="30"/>
        <v>7</v>
      </c>
      <c r="BF15" s="5">
        <v>79</v>
      </c>
      <c r="BG15" s="6" t="str">
        <f t="shared" si="31"/>
        <v>B+</v>
      </c>
      <c r="BH15" s="1">
        <f t="shared" si="32"/>
        <v>3.5</v>
      </c>
      <c r="BI15" s="5">
        <v>2</v>
      </c>
      <c r="BJ15" s="2">
        <f t="shared" si="33"/>
        <v>7</v>
      </c>
      <c r="BK15" s="5">
        <v>74.400000000000006</v>
      </c>
      <c r="BL15" s="6" t="str">
        <f t="shared" si="34"/>
        <v>B</v>
      </c>
      <c r="BM15" s="1">
        <f t="shared" si="35"/>
        <v>3</v>
      </c>
      <c r="BN15" s="5">
        <v>2</v>
      </c>
      <c r="BO15" s="2">
        <f t="shared" si="36"/>
        <v>6</v>
      </c>
      <c r="BP15" s="5">
        <v>78.3</v>
      </c>
      <c r="BQ15" s="6" t="str">
        <f t="shared" si="37"/>
        <v>B+</v>
      </c>
      <c r="BR15" s="1">
        <f t="shared" si="38"/>
        <v>3.5</v>
      </c>
      <c r="BS15" s="5">
        <v>2</v>
      </c>
      <c r="BT15" s="2">
        <f t="shared" si="39"/>
        <v>7</v>
      </c>
      <c r="BU15" s="5">
        <v>85</v>
      </c>
      <c r="BV15" s="6" t="str">
        <f t="shared" si="40"/>
        <v>A</v>
      </c>
      <c r="BW15" s="1">
        <f t="shared" si="41"/>
        <v>4</v>
      </c>
      <c r="BX15" s="5">
        <v>2</v>
      </c>
      <c r="BY15" s="2">
        <f t="shared" si="42"/>
        <v>8</v>
      </c>
      <c r="BZ15" s="5">
        <v>79.099999999999994</v>
      </c>
      <c r="CA15" s="6" t="str">
        <f t="shared" si="43"/>
        <v>B+</v>
      </c>
      <c r="CB15" s="1">
        <f t="shared" si="44"/>
        <v>3.5</v>
      </c>
      <c r="CC15" s="5">
        <v>2</v>
      </c>
      <c r="CD15" s="2">
        <f t="shared" si="45"/>
        <v>7</v>
      </c>
      <c r="CE15" s="2">
        <v>85</v>
      </c>
      <c r="CF15" s="6" t="str">
        <f t="shared" si="46"/>
        <v>A</v>
      </c>
      <c r="CG15" s="1">
        <f t="shared" si="47"/>
        <v>4</v>
      </c>
      <c r="CH15" s="5">
        <v>2</v>
      </c>
      <c r="CI15" s="2">
        <f t="shared" si="48"/>
        <v>8</v>
      </c>
      <c r="CJ15" s="2">
        <v>77.2</v>
      </c>
      <c r="CK15" s="6" t="str">
        <f t="shared" si="49"/>
        <v>B+</v>
      </c>
      <c r="CL15" s="1">
        <f t="shared" si="50"/>
        <v>3.5</v>
      </c>
      <c r="CM15" s="2">
        <v>2</v>
      </c>
      <c r="CN15" s="2">
        <f t="shared" si="51"/>
        <v>7</v>
      </c>
      <c r="CO15" s="2">
        <v>80</v>
      </c>
      <c r="CP15" s="6" t="str">
        <f t="shared" si="52"/>
        <v>A</v>
      </c>
      <c r="CQ15" s="1">
        <f t="shared" si="53"/>
        <v>4</v>
      </c>
      <c r="CR15" s="2">
        <v>2</v>
      </c>
      <c r="CS15" s="2">
        <f t="shared" si="54"/>
        <v>8</v>
      </c>
      <c r="CT15" s="2">
        <v>83.3</v>
      </c>
      <c r="CU15" s="6" t="str">
        <f t="shared" si="55"/>
        <v>A</v>
      </c>
      <c r="CV15" s="1">
        <f t="shared" si="56"/>
        <v>4</v>
      </c>
      <c r="CW15" s="2">
        <v>2</v>
      </c>
      <c r="CX15" s="2">
        <f t="shared" si="57"/>
        <v>8</v>
      </c>
      <c r="CY15" s="5">
        <v>69</v>
      </c>
      <c r="CZ15" s="6" t="str">
        <f t="shared" si="58"/>
        <v>C+</v>
      </c>
      <c r="DA15" s="1">
        <f t="shared" si="59"/>
        <v>2.5</v>
      </c>
      <c r="DB15" s="5">
        <v>2</v>
      </c>
      <c r="DC15" s="3">
        <f t="shared" si="60"/>
        <v>5</v>
      </c>
      <c r="DD15" s="5">
        <v>75.099999999999994</v>
      </c>
      <c r="DE15" s="6" t="str">
        <f t="shared" si="61"/>
        <v>B+</v>
      </c>
      <c r="DF15" s="1">
        <f t="shared" si="62"/>
        <v>3.5</v>
      </c>
      <c r="DG15" s="5">
        <v>2</v>
      </c>
      <c r="DH15" s="2">
        <f t="shared" si="63"/>
        <v>7</v>
      </c>
      <c r="DI15" s="5"/>
      <c r="DJ15" s="6" t="str">
        <f t="shared" si="64"/>
        <v>E</v>
      </c>
      <c r="DK15" s="1">
        <f t="shared" si="65"/>
        <v>0</v>
      </c>
      <c r="DL15" s="5">
        <v>4</v>
      </c>
      <c r="DM15" s="2">
        <f t="shared" si="66"/>
        <v>0</v>
      </c>
      <c r="DN15" s="30">
        <f t="shared" si="0"/>
        <v>83</v>
      </c>
      <c r="DO15" s="31">
        <f t="shared" si="67"/>
        <v>24</v>
      </c>
      <c r="DP15" s="5">
        <f t="shared" si="68"/>
        <v>71</v>
      </c>
      <c r="DQ15" s="5">
        <f t="shared" si="69"/>
        <v>24</v>
      </c>
      <c r="DR15" s="5">
        <f t="shared" si="70"/>
        <v>154</v>
      </c>
      <c r="DS15" s="5">
        <f t="shared" si="71"/>
        <v>48</v>
      </c>
      <c r="DT15" s="5">
        <v>2.9583333333333335</v>
      </c>
      <c r="DU15" s="5">
        <f t="shared" si="72"/>
        <v>3.2083333333333335</v>
      </c>
      <c r="DV15" s="10" t="str">
        <f t="shared" si="73"/>
        <v>Sangat Memuaskan</v>
      </c>
      <c r="DW15" s="17" t="str">
        <f t="shared" si="74"/>
        <v>Highly Satisfactory</v>
      </c>
      <c r="DX15" s="17" t="s">
        <v>171</v>
      </c>
    </row>
    <row r="16" spans="1:128" x14ac:dyDescent="0.25">
      <c r="A16" s="10">
        <v>14</v>
      </c>
      <c r="B16" s="15" t="s">
        <v>33</v>
      </c>
      <c r="C16" s="15">
        <v>182412014</v>
      </c>
      <c r="D16" s="15"/>
      <c r="E16" s="7"/>
      <c r="F16" s="15"/>
      <c r="G16" s="15"/>
      <c r="H16" s="5">
        <v>77.25</v>
      </c>
      <c r="I16" s="6" t="str">
        <f t="shared" si="1"/>
        <v>B+</v>
      </c>
      <c r="J16" s="1">
        <f t="shared" si="2"/>
        <v>3.5</v>
      </c>
      <c r="K16" s="5">
        <v>2</v>
      </c>
      <c r="L16" s="2">
        <f t="shared" si="3"/>
        <v>7</v>
      </c>
      <c r="M16" s="5">
        <v>80</v>
      </c>
      <c r="N16" s="6" t="str">
        <f t="shared" si="4"/>
        <v>A</v>
      </c>
      <c r="O16" s="1">
        <f t="shared" si="5"/>
        <v>4</v>
      </c>
      <c r="P16" s="5">
        <v>2</v>
      </c>
      <c r="Q16" s="2">
        <f t="shared" si="6"/>
        <v>8</v>
      </c>
      <c r="R16" s="5">
        <v>77.2</v>
      </c>
      <c r="S16" s="6" t="str">
        <f t="shared" si="7"/>
        <v>B+</v>
      </c>
      <c r="T16" s="1">
        <f t="shared" si="8"/>
        <v>3.5</v>
      </c>
      <c r="U16" s="5">
        <v>2</v>
      </c>
      <c r="V16" s="2">
        <f t="shared" si="9"/>
        <v>7</v>
      </c>
      <c r="W16" s="5">
        <v>78</v>
      </c>
      <c r="X16" s="6" t="str">
        <f t="shared" si="10"/>
        <v>B+</v>
      </c>
      <c r="Y16" s="1">
        <f t="shared" si="11"/>
        <v>3.5</v>
      </c>
      <c r="Z16" s="5">
        <v>3</v>
      </c>
      <c r="AA16" s="2">
        <f t="shared" si="12"/>
        <v>10.5</v>
      </c>
      <c r="AB16" s="2">
        <v>75.55</v>
      </c>
      <c r="AC16" s="6" t="str">
        <f t="shared" si="13"/>
        <v>B+</v>
      </c>
      <c r="AD16" s="1">
        <f t="shared" si="14"/>
        <v>3.5</v>
      </c>
      <c r="AE16" s="2">
        <v>2</v>
      </c>
      <c r="AF16" s="2">
        <f t="shared" si="15"/>
        <v>7</v>
      </c>
      <c r="AG16" s="2">
        <v>78</v>
      </c>
      <c r="AH16" s="6" t="str">
        <f t="shared" si="16"/>
        <v>B+</v>
      </c>
      <c r="AI16" s="1">
        <f t="shared" si="17"/>
        <v>3.5</v>
      </c>
      <c r="AJ16" s="2">
        <v>2</v>
      </c>
      <c r="AK16" s="2">
        <f t="shared" si="18"/>
        <v>7</v>
      </c>
      <c r="AL16" s="2">
        <v>81</v>
      </c>
      <c r="AM16" s="6" t="str">
        <f t="shared" si="19"/>
        <v>A</v>
      </c>
      <c r="AN16" s="1">
        <f t="shared" si="20"/>
        <v>4</v>
      </c>
      <c r="AO16" s="2">
        <v>2</v>
      </c>
      <c r="AP16" s="2">
        <f t="shared" si="21"/>
        <v>8</v>
      </c>
      <c r="AQ16" s="2">
        <v>74</v>
      </c>
      <c r="AR16" s="6" t="str">
        <f t="shared" si="22"/>
        <v>B</v>
      </c>
      <c r="AS16" s="1">
        <f t="shared" si="23"/>
        <v>3</v>
      </c>
      <c r="AT16" s="2">
        <v>2</v>
      </c>
      <c r="AU16" s="2">
        <f t="shared" si="24"/>
        <v>6</v>
      </c>
      <c r="AV16" s="5">
        <v>80.75</v>
      </c>
      <c r="AW16" s="6" t="str">
        <f t="shared" si="25"/>
        <v>A</v>
      </c>
      <c r="AX16" s="1">
        <f t="shared" si="26"/>
        <v>4</v>
      </c>
      <c r="AY16" s="5">
        <v>3</v>
      </c>
      <c r="AZ16" s="3">
        <f t="shared" si="27"/>
        <v>12</v>
      </c>
      <c r="BA16" s="5">
        <v>79.5</v>
      </c>
      <c r="BB16" s="6" t="str">
        <f t="shared" si="28"/>
        <v>B+</v>
      </c>
      <c r="BC16" s="1">
        <f t="shared" si="29"/>
        <v>3.5</v>
      </c>
      <c r="BD16" s="5">
        <v>2</v>
      </c>
      <c r="BE16" s="2">
        <f t="shared" si="30"/>
        <v>7</v>
      </c>
      <c r="BF16" s="5">
        <v>79</v>
      </c>
      <c r="BG16" s="6" t="str">
        <f t="shared" si="31"/>
        <v>B+</v>
      </c>
      <c r="BH16" s="1">
        <f t="shared" si="32"/>
        <v>3.5</v>
      </c>
      <c r="BI16" s="5">
        <v>2</v>
      </c>
      <c r="BJ16" s="2">
        <f t="shared" si="33"/>
        <v>7</v>
      </c>
      <c r="BK16" s="5">
        <v>79.53</v>
      </c>
      <c r="BL16" s="6" t="str">
        <f t="shared" si="34"/>
        <v>B+</v>
      </c>
      <c r="BM16" s="1">
        <f t="shared" si="35"/>
        <v>3.5</v>
      </c>
      <c r="BN16" s="5">
        <v>2</v>
      </c>
      <c r="BO16" s="2">
        <f t="shared" si="36"/>
        <v>7</v>
      </c>
      <c r="BP16" s="5">
        <v>81.8</v>
      </c>
      <c r="BQ16" s="6" t="str">
        <f t="shared" si="37"/>
        <v>A</v>
      </c>
      <c r="BR16" s="1">
        <f t="shared" si="38"/>
        <v>4</v>
      </c>
      <c r="BS16" s="5">
        <v>2</v>
      </c>
      <c r="BT16" s="2">
        <f t="shared" si="39"/>
        <v>8</v>
      </c>
      <c r="BU16" s="5">
        <v>86</v>
      </c>
      <c r="BV16" s="6" t="str">
        <f t="shared" si="40"/>
        <v>A</v>
      </c>
      <c r="BW16" s="1">
        <f t="shared" si="41"/>
        <v>4</v>
      </c>
      <c r="BX16" s="5">
        <v>2</v>
      </c>
      <c r="BY16" s="2">
        <f t="shared" si="42"/>
        <v>8</v>
      </c>
      <c r="BZ16" s="5">
        <v>81</v>
      </c>
      <c r="CA16" s="6" t="str">
        <f t="shared" si="43"/>
        <v>A</v>
      </c>
      <c r="CB16" s="1">
        <f t="shared" si="44"/>
        <v>4</v>
      </c>
      <c r="CC16" s="5">
        <v>2</v>
      </c>
      <c r="CD16" s="2">
        <f t="shared" si="45"/>
        <v>8</v>
      </c>
      <c r="CE16" s="2">
        <v>86</v>
      </c>
      <c r="CF16" s="6" t="str">
        <f t="shared" si="46"/>
        <v>A</v>
      </c>
      <c r="CG16" s="1">
        <f t="shared" si="47"/>
        <v>4</v>
      </c>
      <c r="CH16" s="5">
        <v>2</v>
      </c>
      <c r="CI16" s="2">
        <f t="shared" si="48"/>
        <v>8</v>
      </c>
      <c r="CJ16" s="2">
        <v>78.2</v>
      </c>
      <c r="CK16" s="6" t="str">
        <f t="shared" si="49"/>
        <v>B+</v>
      </c>
      <c r="CL16" s="1">
        <f t="shared" si="50"/>
        <v>3.5</v>
      </c>
      <c r="CM16" s="2">
        <v>2</v>
      </c>
      <c r="CN16" s="2">
        <f t="shared" si="51"/>
        <v>7</v>
      </c>
      <c r="CO16" s="2">
        <v>81.7</v>
      </c>
      <c r="CP16" s="6" t="str">
        <f t="shared" si="52"/>
        <v>A</v>
      </c>
      <c r="CQ16" s="1">
        <f t="shared" si="53"/>
        <v>4</v>
      </c>
      <c r="CR16" s="2">
        <v>2</v>
      </c>
      <c r="CS16" s="2">
        <f t="shared" si="54"/>
        <v>8</v>
      </c>
      <c r="CT16" s="2">
        <v>83.1</v>
      </c>
      <c r="CU16" s="6" t="str">
        <f t="shared" si="55"/>
        <v>A</v>
      </c>
      <c r="CV16" s="1">
        <f t="shared" si="56"/>
        <v>4</v>
      </c>
      <c r="CW16" s="2">
        <v>2</v>
      </c>
      <c r="CX16" s="2">
        <f t="shared" si="57"/>
        <v>8</v>
      </c>
      <c r="CY16" s="5">
        <v>79</v>
      </c>
      <c r="CZ16" s="6" t="str">
        <f t="shared" si="58"/>
        <v>B+</v>
      </c>
      <c r="DA16" s="1">
        <f t="shared" si="59"/>
        <v>3.5</v>
      </c>
      <c r="DB16" s="5">
        <v>2</v>
      </c>
      <c r="DC16" s="3">
        <f t="shared" si="60"/>
        <v>7</v>
      </c>
      <c r="DD16" s="5">
        <v>81.25</v>
      </c>
      <c r="DE16" s="6" t="str">
        <f t="shared" si="61"/>
        <v>A</v>
      </c>
      <c r="DF16" s="1">
        <f t="shared" si="62"/>
        <v>4</v>
      </c>
      <c r="DG16" s="5">
        <v>2</v>
      </c>
      <c r="DH16" s="2">
        <f t="shared" si="63"/>
        <v>8</v>
      </c>
      <c r="DI16" s="5">
        <v>82.5</v>
      </c>
      <c r="DJ16" s="6" t="str">
        <f t="shared" si="64"/>
        <v>A</v>
      </c>
      <c r="DK16" s="1">
        <f t="shared" si="65"/>
        <v>4</v>
      </c>
      <c r="DL16" s="5">
        <v>4</v>
      </c>
      <c r="DM16" s="2">
        <f t="shared" si="66"/>
        <v>16</v>
      </c>
      <c r="DN16" s="30">
        <f t="shared" si="0"/>
        <v>86.5</v>
      </c>
      <c r="DO16" s="31">
        <f t="shared" si="67"/>
        <v>24</v>
      </c>
      <c r="DP16" s="5">
        <f t="shared" si="68"/>
        <v>93</v>
      </c>
      <c r="DQ16" s="5">
        <f t="shared" si="69"/>
        <v>24</v>
      </c>
      <c r="DR16" s="5">
        <f t="shared" si="70"/>
        <v>179.5</v>
      </c>
      <c r="DS16" s="5">
        <f t="shared" si="71"/>
        <v>48</v>
      </c>
      <c r="DT16" s="5">
        <v>3.875</v>
      </c>
      <c r="DU16" s="5">
        <f t="shared" si="72"/>
        <v>3.7395833333333335</v>
      </c>
      <c r="DV16" s="10" t="str">
        <f t="shared" si="73"/>
        <v>Cum Laude</v>
      </c>
      <c r="DW16" s="17" t="str">
        <f t="shared" si="74"/>
        <v>Excellent</v>
      </c>
      <c r="DX16" s="17" t="s">
        <v>157</v>
      </c>
    </row>
    <row r="17" spans="1:128" x14ac:dyDescent="0.2">
      <c r="A17" s="10">
        <v>15</v>
      </c>
      <c r="B17" s="15" t="s">
        <v>34</v>
      </c>
      <c r="C17" s="15">
        <v>182412015</v>
      </c>
      <c r="D17" s="16" t="s">
        <v>115</v>
      </c>
      <c r="E17" s="7" t="s">
        <v>114</v>
      </c>
      <c r="F17" s="15" t="s">
        <v>149</v>
      </c>
      <c r="G17" s="15"/>
      <c r="H17" s="5">
        <v>80.25</v>
      </c>
      <c r="I17" s="6" t="str">
        <f t="shared" si="1"/>
        <v>A</v>
      </c>
      <c r="J17" s="1">
        <f t="shared" si="2"/>
        <v>4</v>
      </c>
      <c r="K17" s="5">
        <v>2</v>
      </c>
      <c r="L17" s="2">
        <f t="shared" si="3"/>
        <v>8</v>
      </c>
      <c r="M17" s="5">
        <v>79</v>
      </c>
      <c r="N17" s="6" t="str">
        <f t="shared" si="4"/>
        <v>B+</v>
      </c>
      <c r="O17" s="1">
        <f t="shared" si="5"/>
        <v>3.5</v>
      </c>
      <c r="P17" s="5">
        <v>2</v>
      </c>
      <c r="Q17" s="2">
        <f t="shared" si="6"/>
        <v>7</v>
      </c>
      <c r="R17" s="5">
        <v>75</v>
      </c>
      <c r="S17" s="6" t="str">
        <f t="shared" si="7"/>
        <v>B+</v>
      </c>
      <c r="T17" s="1">
        <f t="shared" si="8"/>
        <v>3.5</v>
      </c>
      <c r="U17" s="5">
        <v>2</v>
      </c>
      <c r="V17" s="2">
        <f t="shared" si="9"/>
        <v>7</v>
      </c>
      <c r="W17" s="5">
        <v>78</v>
      </c>
      <c r="X17" s="6" t="str">
        <f t="shared" si="10"/>
        <v>B+</v>
      </c>
      <c r="Y17" s="1">
        <f t="shared" si="11"/>
        <v>3.5</v>
      </c>
      <c r="Z17" s="5">
        <v>3</v>
      </c>
      <c r="AA17" s="2">
        <f t="shared" si="12"/>
        <v>10.5</v>
      </c>
      <c r="AB17" s="2">
        <v>70</v>
      </c>
      <c r="AC17" s="6" t="str">
        <f t="shared" si="13"/>
        <v>B</v>
      </c>
      <c r="AD17" s="1">
        <f t="shared" si="14"/>
        <v>3</v>
      </c>
      <c r="AE17" s="2">
        <v>2</v>
      </c>
      <c r="AF17" s="2">
        <f t="shared" si="15"/>
        <v>6</v>
      </c>
      <c r="AG17" s="2">
        <v>78</v>
      </c>
      <c r="AH17" s="6" t="str">
        <f t="shared" si="16"/>
        <v>B+</v>
      </c>
      <c r="AI17" s="1">
        <f t="shared" si="17"/>
        <v>3.5</v>
      </c>
      <c r="AJ17" s="2">
        <v>2</v>
      </c>
      <c r="AK17" s="2">
        <f t="shared" si="18"/>
        <v>7</v>
      </c>
      <c r="AL17" s="2">
        <v>79</v>
      </c>
      <c r="AM17" s="6" t="str">
        <f t="shared" si="19"/>
        <v>B+</v>
      </c>
      <c r="AN17" s="1">
        <f t="shared" si="20"/>
        <v>3.5</v>
      </c>
      <c r="AO17" s="2">
        <v>2</v>
      </c>
      <c r="AP17" s="2">
        <f t="shared" si="21"/>
        <v>7</v>
      </c>
      <c r="AQ17" s="2">
        <v>74</v>
      </c>
      <c r="AR17" s="6" t="str">
        <f t="shared" si="22"/>
        <v>B</v>
      </c>
      <c r="AS17" s="1">
        <f t="shared" si="23"/>
        <v>3</v>
      </c>
      <c r="AT17" s="2">
        <v>2</v>
      </c>
      <c r="AU17" s="2">
        <f t="shared" si="24"/>
        <v>6</v>
      </c>
      <c r="AV17" s="5">
        <v>79.5</v>
      </c>
      <c r="AW17" s="6" t="str">
        <f t="shared" si="25"/>
        <v>B+</v>
      </c>
      <c r="AX17" s="1">
        <f t="shared" si="26"/>
        <v>3.5</v>
      </c>
      <c r="AY17" s="5">
        <v>3</v>
      </c>
      <c r="AZ17" s="3">
        <f t="shared" si="27"/>
        <v>10.5</v>
      </c>
      <c r="BA17" s="5">
        <v>76.25</v>
      </c>
      <c r="BB17" s="6" t="str">
        <f t="shared" si="28"/>
        <v>B+</v>
      </c>
      <c r="BC17" s="1">
        <f t="shared" si="29"/>
        <v>3.5</v>
      </c>
      <c r="BD17" s="5">
        <v>2</v>
      </c>
      <c r="BE17" s="2">
        <f t="shared" si="30"/>
        <v>7</v>
      </c>
      <c r="BF17" s="5">
        <v>79</v>
      </c>
      <c r="BG17" s="6" t="str">
        <f t="shared" si="31"/>
        <v>B+</v>
      </c>
      <c r="BH17" s="1">
        <f t="shared" si="32"/>
        <v>3.5</v>
      </c>
      <c r="BI17" s="5">
        <v>2</v>
      </c>
      <c r="BJ17" s="2">
        <f t="shared" si="33"/>
        <v>7</v>
      </c>
      <c r="BK17" s="5">
        <v>75.400000000000006</v>
      </c>
      <c r="BL17" s="6" t="str">
        <f t="shared" si="34"/>
        <v>B+</v>
      </c>
      <c r="BM17" s="1">
        <f t="shared" si="35"/>
        <v>3.5</v>
      </c>
      <c r="BN17" s="5">
        <v>2</v>
      </c>
      <c r="BO17" s="2">
        <f t="shared" si="36"/>
        <v>7</v>
      </c>
      <c r="BP17" s="5">
        <v>77.099999999999994</v>
      </c>
      <c r="BQ17" s="6" t="str">
        <f t="shared" si="37"/>
        <v>B+</v>
      </c>
      <c r="BR17" s="1">
        <f t="shared" si="38"/>
        <v>3.5</v>
      </c>
      <c r="BS17" s="5">
        <v>2</v>
      </c>
      <c r="BT17" s="2">
        <f t="shared" si="39"/>
        <v>7</v>
      </c>
      <c r="BU17" s="5">
        <v>84</v>
      </c>
      <c r="BV17" s="6" t="str">
        <f t="shared" si="40"/>
        <v>A</v>
      </c>
      <c r="BW17" s="1">
        <f t="shared" si="41"/>
        <v>4</v>
      </c>
      <c r="BX17" s="5">
        <v>2</v>
      </c>
      <c r="BY17" s="2">
        <f t="shared" si="42"/>
        <v>8</v>
      </c>
      <c r="BZ17" s="5">
        <v>75.5</v>
      </c>
      <c r="CA17" s="6" t="str">
        <f t="shared" si="43"/>
        <v>B+</v>
      </c>
      <c r="CB17" s="1">
        <f t="shared" si="44"/>
        <v>3.5</v>
      </c>
      <c r="CC17" s="5">
        <v>2</v>
      </c>
      <c r="CD17" s="2">
        <f t="shared" si="45"/>
        <v>7</v>
      </c>
      <c r="CE17" s="2">
        <v>85</v>
      </c>
      <c r="CF17" s="6" t="str">
        <f t="shared" si="46"/>
        <v>A</v>
      </c>
      <c r="CG17" s="1">
        <f t="shared" si="47"/>
        <v>4</v>
      </c>
      <c r="CH17" s="5">
        <v>2</v>
      </c>
      <c r="CI17" s="2">
        <f t="shared" si="48"/>
        <v>8</v>
      </c>
      <c r="CJ17" s="2">
        <v>76.55</v>
      </c>
      <c r="CK17" s="6" t="str">
        <f t="shared" si="49"/>
        <v>B+</v>
      </c>
      <c r="CL17" s="1">
        <f t="shared" si="50"/>
        <v>3.5</v>
      </c>
      <c r="CM17" s="2">
        <v>2</v>
      </c>
      <c r="CN17" s="2">
        <f t="shared" si="51"/>
        <v>7</v>
      </c>
      <c r="CO17" s="2">
        <v>77.599999999999994</v>
      </c>
      <c r="CP17" s="6" t="str">
        <f t="shared" si="52"/>
        <v>B+</v>
      </c>
      <c r="CQ17" s="1">
        <f t="shared" si="53"/>
        <v>3.5</v>
      </c>
      <c r="CR17" s="2">
        <v>2</v>
      </c>
      <c r="CS17" s="2">
        <f t="shared" si="54"/>
        <v>7</v>
      </c>
      <c r="CT17" s="2">
        <v>81.900000000000006</v>
      </c>
      <c r="CU17" s="6" t="str">
        <f t="shared" si="55"/>
        <v>A</v>
      </c>
      <c r="CV17" s="1">
        <f t="shared" si="56"/>
        <v>4</v>
      </c>
      <c r="CW17" s="2">
        <v>2</v>
      </c>
      <c r="CX17" s="2">
        <f t="shared" si="57"/>
        <v>8</v>
      </c>
      <c r="CY17" s="5">
        <v>84</v>
      </c>
      <c r="CZ17" s="6" t="str">
        <f t="shared" si="58"/>
        <v>A</v>
      </c>
      <c r="DA17" s="1">
        <f t="shared" si="59"/>
        <v>4</v>
      </c>
      <c r="DB17" s="5">
        <v>2</v>
      </c>
      <c r="DC17" s="3">
        <f t="shared" si="60"/>
        <v>8</v>
      </c>
      <c r="DD17" s="5">
        <v>73.5</v>
      </c>
      <c r="DE17" s="6" t="str">
        <f t="shared" si="61"/>
        <v>B</v>
      </c>
      <c r="DF17" s="1">
        <f t="shared" si="62"/>
        <v>3</v>
      </c>
      <c r="DG17" s="5">
        <v>2</v>
      </c>
      <c r="DH17" s="2">
        <f t="shared" si="63"/>
        <v>6</v>
      </c>
      <c r="DI17" s="5"/>
      <c r="DJ17" s="6" t="str">
        <f t="shared" si="64"/>
        <v>E</v>
      </c>
      <c r="DK17" s="1">
        <f t="shared" si="65"/>
        <v>0</v>
      </c>
      <c r="DL17" s="5">
        <v>4</v>
      </c>
      <c r="DM17" s="2">
        <f t="shared" si="66"/>
        <v>0</v>
      </c>
      <c r="DN17" s="30">
        <f t="shared" si="0"/>
        <v>83</v>
      </c>
      <c r="DO17" s="31">
        <f t="shared" si="67"/>
        <v>24</v>
      </c>
      <c r="DP17" s="5">
        <f t="shared" si="68"/>
        <v>73</v>
      </c>
      <c r="DQ17" s="5">
        <f t="shared" si="69"/>
        <v>24</v>
      </c>
      <c r="DR17" s="5">
        <f t="shared" si="70"/>
        <v>156</v>
      </c>
      <c r="DS17" s="5">
        <f t="shared" si="71"/>
        <v>48</v>
      </c>
      <c r="DT17" s="5">
        <v>3.0416666666666665</v>
      </c>
      <c r="DU17" s="5">
        <f t="shared" si="72"/>
        <v>3.25</v>
      </c>
      <c r="DV17" s="10" t="str">
        <f t="shared" si="73"/>
        <v>Sangat Memuaskan</v>
      </c>
      <c r="DW17" s="17" t="str">
        <f t="shared" si="74"/>
        <v>Highly Satisfactory</v>
      </c>
      <c r="DX17" s="17" t="s">
        <v>172</v>
      </c>
    </row>
    <row r="18" spans="1:128" x14ac:dyDescent="0.2">
      <c r="A18" s="10">
        <v>16</v>
      </c>
      <c r="B18" s="15" t="s">
        <v>35</v>
      </c>
      <c r="C18" s="15">
        <v>182412016</v>
      </c>
      <c r="D18" s="16" t="s">
        <v>116</v>
      </c>
      <c r="E18" s="7" t="s">
        <v>117</v>
      </c>
      <c r="F18" s="15" t="s">
        <v>149</v>
      </c>
      <c r="G18" s="15"/>
      <c r="H18" s="5">
        <v>78.75</v>
      </c>
      <c r="I18" s="6" t="str">
        <f t="shared" si="1"/>
        <v>B+</v>
      </c>
      <c r="J18" s="1">
        <f t="shared" si="2"/>
        <v>3.5</v>
      </c>
      <c r="K18" s="5">
        <v>2</v>
      </c>
      <c r="L18" s="2">
        <f t="shared" si="3"/>
        <v>7</v>
      </c>
      <c r="M18" s="5">
        <v>80</v>
      </c>
      <c r="N18" s="6" t="str">
        <f t="shared" si="4"/>
        <v>A</v>
      </c>
      <c r="O18" s="1">
        <f t="shared" si="5"/>
        <v>4</v>
      </c>
      <c r="P18" s="5">
        <v>2</v>
      </c>
      <c r="Q18" s="2">
        <f t="shared" si="6"/>
        <v>8</v>
      </c>
      <c r="R18" s="5">
        <v>79</v>
      </c>
      <c r="S18" s="6" t="str">
        <f t="shared" si="7"/>
        <v>B+</v>
      </c>
      <c r="T18" s="1">
        <f t="shared" si="8"/>
        <v>3.5</v>
      </c>
      <c r="U18" s="5">
        <v>2</v>
      </c>
      <c r="V18" s="2">
        <f t="shared" si="9"/>
        <v>7</v>
      </c>
      <c r="W18" s="5">
        <v>80</v>
      </c>
      <c r="X18" s="6" t="str">
        <f t="shared" si="10"/>
        <v>A</v>
      </c>
      <c r="Y18" s="1">
        <f t="shared" si="11"/>
        <v>4</v>
      </c>
      <c r="Z18" s="5">
        <v>3</v>
      </c>
      <c r="AA18" s="2">
        <f t="shared" si="12"/>
        <v>12</v>
      </c>
      <c r="AB18" s="2">
        <v>75.3</v>
      </c>
      <c r="AC18" s="6" t="str">
        <f t="shared" si="13"/>
        <v>B+</v>
      </c>
      <c r="AD18" s="1">
        <f t="shared" si="14"/>
        <v>3.5</v>
      </c>
      <c r="AE18" s="2">
        <v>2</v>
      </c>
      <c r="AF18" s="2">
        <f t="shared" si="15"/>
        <v>7</v>
      </c>
      <c r="AG18" s="2">
        <v>78</v>
      </c>
      <c r="AH18" s="6" t="str">
        <f t="shared" si="16"/>
        <v>B+</v>
      </c>
      <c r="AI18" s="1">
        <f t="shared" si="17"/>
        <v>3.5</v>
      </c>
      <c r="AJ18" s="2">
        <v>2</v>
      </c>
      <c r="AK18" s="2">
        <f t="shared" si="18"/>
        <v>7</v>
      </c>
      <c r="AL18" s="2">
        <v>79</v>
      </c>
      <c r="AM18" s="6" t="str">
        <f t="shared" si="19"/>
        <v>B+</v>
      </c>
      <c r="AN18" s="1">
        <f t="shared" si="20"/>
        <v>3.5</v>
      </c>
      <c r="AO18" s="2">
        <v>2</v>
      </c>
      <c r="AP18" s="2">
        <f t="shared" si="21"/>
        <v>7</v>
      </c>
      <c r="AQ18" s="2">
        <v>74</v>
      </c>
      <c r="AR18" s="6" t="str">
        <f t="shared" si="22"/>
        <v>B</v>
      </c>
      <c r="AS18" s="1">
        <f t="shared" si="23"/>
        <v>3</v>
      </c>
      <c r="AT18" s="2">
        <v>2</v>
      </c>
      <c r="AU18" s="2">
        <f t="shared" si="24"/>
        <v>6</v>
      </c>
      <c r="AV18" s="5">
        <v>79.5</v>
      </c>
      <c r="AW18" s="6" t="str">
        <f t="shared" si="25"/>
        <v>B+</v>
      </c>
      <c r="AX18" s="1">
        <f t="shared" si="26"/>
        <v>3.5</v>
      </c>
      <c r="AY18" s="5">
        <v>3</v>
      </c>
      <c r="AZ18" s="3">
        <f t="shared" si="27"/>
        <v>10.5</v>
      </c>
      <c r="BA18" s="5">
        <v>80</v>
      </c>
      <c r="BB18" s="6" t="str">
        <f t="shared" si="28"/>
        <v>A</v>
      </c>
      <c r="BC18" s="1">
        <f t="shared" si="29"/>
        <v>4</v>
      </c>
      <c r="BD18" s="5">
        <v>2</v>
      </c>
      <c r="BE18" s="2">
        <f t="shared" si="30"/>
        <v>8</v>
      </c>
      <c r="BF18" s="5">
        <v>80</v>
      </c>
      <c r="BG18" s="6" t="str">
        <f t="shared" si="31"/>
        <v>A</v>
      </c>
      <c r="BH18" s="1">
        <f t="shared" si="32"/>
        <v>4</v>
      </c>
      <c r="BI18" s="5">
        <v>2</v>
      </c>
      <c r="BJ18" s="2">
        <f t="shared" si="33"/>
        <v>8</v>
      </c>
      <c r="BK18" s="5">
        <v>75.47</v>
      </c>
      <c r="BL18" s="6" t="str">
        <f t="shared" si="34"/>
        <v>B+</v>
      </c>
      <c r="BM18" s="1">
        <f t="shared" si="35"/>
        <v>3.5</v>
      </c>
      <c r="BN18" s="5">
        <v>2</v>
      </c>
      <c r="BO18" s="2">
        <f t="shared" si="36"/>
        <v>7</v>
      </c>
      <c r="BP18" s="5">
        <v>77.8</v>
      </c>
      <c r="BQ18" s="6" t="str">
        <f t="shared" si="37"/>
        <v>B+</v>
      </c>
      <c r="BR18" s="1">
        <f t="shared" si="38"/>
        <v>3.5</v>
      </c>
      <c r="BS18" s="5">
        <v>2</v>
      </c>
      <c r="BT18" s="2">
        <f t="shared" si="39"/>
        <v>7</v>
      </c>
      <c r="BU18" s="5">
        <v>80</v>
      </c>
      <c r="BV18" s="6" t="str">
        <f t="shared" si="40"/>
        <v>A</v>
      </c>
      <c r="BW18" s="1">
        <f t="shared" si="41"/>
        <v>4</v>
      </c>
      <c r="BX18" s="5">
        <v>2</v>
      </c>
      <c r="BY18" s="2">
        <f t="shared" si="42"/>
        <v>8</v>
      </c>
      <c r="BZ18" s="5">
        <v>79.2</v>
      </c>
      <c r="CA18" s="6" t="str">
        <f t="shared" si="43"/>
        <v>B+</v>
      </c>
      <c r="CB18" s="1">
        <f t="shared" si="44"/>
        <v>3.5</v>
      </c>
      <c r="CC18" s="5">
        <v>2</v>
      </c>
      <c r="CD18" s="2">
        <f t="shared" si="45"/>
        <v>7</v>
      </c>
      <c r="CE18" s="2">
        <v>87</v>
      </c>
      <c r="CF18" s="6" t="str">
        <f t="shared" si="46"/>
        <v>A</v>
      </c>
      <c r="CG18" s="1">
        <f t="shared" si="47"/>
        <v>4</v>
      </c>
      <c r="CH18" s="5">
        <v>2</v>
      </c>
      <c r="CI18" s="2">
        <f t="shared" si="48"/>
        <v>8</v>
      </c>
      <c r="CJ18" s="2">
        <v>71.349999999999994</v>
      </c>
      <c r="CK18" s="6" t="str">
        <f t="shared" si="49"/>
        <v>B</v>
      </c>
      <c r="CL18" s="1">
        <f t="shared" si="50"/>
        <v>3</v>
      </c>
      <c r="CM18" s="2">
        <v>2</v>
      </c>
      <c r="CN18" s="2">
        <f t="shared" si="51"/>
        <v>6</v>
      </c>
      <c r="CO18" s="2">
        <v>77.3</v>
      </c>
      <c r="CP18" s="6" t="str">
        <f t="shared" si="52"/>
        <v>B+</v>
      </c>
      <c r="CQ18" s="1">
        <f t="shared" si="53"/>
        <v>3.5</v>
      </c>
      <c r="CR18" s="2">
        <v>2</v>
      </c>
      <c r="CS18" s="2">
        <f t="shared" si="54"/>
        <v>7</v>
      </c>
      <c r="CT18" s="2">
        <v>73.3</v>
      </c>
      <c r="CU18" s="6" t="str">
        <f t="shared" si="55"/>
        <v>B</v>
      </c>
      <c r="CV18" s="1">
        <f t="shared" si="56"/>
        <v>3</v>
      </c>
      <c r="CW18" s="2">
        <v>2</v>
      </c>
      <c r="CX18" s="2">
        <f t="shared" si="57"/>
        <v>6</v>
      </c>
      <c r="CY18" s="5">
        <v>81</v>
      </c>
      <c r="CZ18" s="6" t="str">
        <f t="shared" si="58"/>
        <v>A</v>
      </c>
      <c r="DA18" s="1">
        <f t="shared" si="59"/>
        <v>4</v>
      </c>
      <c r="DB18" s="5">
        <v>2</v>
      </c>
      <c r="DC18" s="3">
        <f t="shared" si="60"/>
        <v>8</v>
      </c>
      <c r="DD18" s="5">
        <v>73.5</v>
      </c>
      <c r="DE18" s="6" t="str">
        <f t="shared" si="61"/>
        <v>B</v>
      </c>
      <c r="DF18" s="1">
        <f t="shared" si="62"/>
        <v>3</v>
      </c>
      <c r="DG18" s="5">
        <v>2</v>
      </c>
      <c r="DH18" s="2">
        <f t="shared" si="63"/>
        <v>6</v>
      </c>
      <c r="DI18" s="5">
        <v>80.3</v>
      </c>
      <c r="DJ18" s="6" t="str">
        <f t="shared" si="64"/>
        <v>A</v>
      </c>
      <c r="DK18" s="1">
        <f t="shared" si="65"/>
        <v>4</v>
      </c>
      <c r="DL18" s="5">
        <v>4</v>
      </c>
      <c r="DM18" s="2">
        <f t="shared" si="66"/>
        <v>16</v>
      </c>
      <c r="DN18" s="30">
        <f t="shared" si="0"/>
        <v>87.5</v>
      </c>
      <c r="DO18" s="31">
        <f t="shared" si="67"/>
        <v>24</v>
      </c>
      <c r="DP18" s="5">
        <f t="shared" si="68"/>
        <v>86</v>
      </c>
      <c r="DQ18" s="5">
        <f t="shared" si="69"/>
        <v>24</v>
      </c>
      <c r="DR18" s="5">
        <f t="shared" si="70"/>
        <v>173.5</v>
      </c>
      <c r="DS18" s="5">
        <f t="shared" si="71"/>
        <v>48</v>
      </c>
      <c r="DT18" s="5">
        <v>3.5833333333333335</v>
      </c>
      <c r="DU18" s="5">
        <f t="shared" si="72"/>
        <v>3.6145833333333335</v>
      </c>
      <c r="DV18" s="10" t="str">
        <f t="shared" si="73"/>
        <v>Cum Laude</v>
      </c>
      <c r="DW18" s="17" t="str">
        <f t="shared" si="74"/>
        <v>Excellent</v>
      </c>
      <c r="DX18" s="23" t="s">
        <v>173</v>
      </c>
    </row>
    <row r="19" spans="1:128" x14ac:dyDescent="0.2">
      <c r="A19" s="10">
        <v>17</v>
      </c>
      <c r="B19" s="15" t="s">
        <v>36</v>
      </c>
      <c r="C19" s="15">
        <v>182412017</v>
      </c>
      <c r="D19" s="16" t="s">
        <v>113</v>
      </c>
      <c r="E19" s="7" t="s">
        <v>118</v>
      </c>
      <c r="F19" s="15" t="s">
        <v>149</v>
      </c>
      <c r="G19" s="15"/>
      <c r="H19" s="5">
        <v>78.75</v>
      </c>
      <c r="I19" s="6" t="str">
        <f t="shared" si="1"/>
        <v>B+</v>
      </c>
      <c r="J19" s="1">
        <f t="shared" si="2"/>
        <v>3.5</v>
      </c>
      <c r="K19" s="5">
        <v>2</v>
      </c>
      <c r="L19" s="2">
        <f t="shared" si="3"/>
        <v>7</v>
      </c>
      <c r="M19" s="5">
        <v>82</v>
      </c>
      <c r="N19" s="6" t="str">
        <f t="shared" si="4"/>
        <v>A</v>
      </c>
      <c r="O19" s="1">
        <f t="shared" si="5"/>
        <v>4</v>
      </c>
      <c r="P19" s="5">
        <v>2</v>
      </c>
      <c r="Q19" s="2">
        <f t="shared" si="6"/>
        <v>8</v>
      </c>
      <c r="R19" s="5">
        <v>73</v>
      </c>
      <c r="S19" s="6" t="str">
        <f t="shared" si="7"/>
        <v>B</v>
      </c>
      <c r="T19" s="1">
        <f t="shared" si="8"/>
        <v>3</v>
      </c>
      <c r="U19" s="5">
        <v>2</v>
      </c>
      <c r="V19" s="2">
        <f t="shared" si="9"/>
        <v>6</v>
      </c>
      <c r="W19" s="5">
        <v>80</v>
      </c>
      <c r="X19" s="6" t="str">
        <f t="shared" si="10"/>
        <v>A</v>
      </c>
      <c r="Y19" s="1">
        <f t="shared" si="11"/>
        <v>4</v>
      </c>
      <c r="Z19" s="5">
        <v>3</v>
      </c>
      <c r="AA19" s="2">
        <f t="shared" si="12"/>
        <v>12</v>
      </c>
      <c r="AB19" s="2">
        <v>76.599999999999994</v>
      </c>
      <c r="AC19" s="6" t="str">
        <f t="shared" si="13"/>
        <v>B+</v>
      </c>
      <c r="AD19" s="1">
        <f t="shared" si="14"/>
        <v>3.5</v>
      </c>
      <c r="AE19" s="2">
        <v>2</v>
      </c>
      <c r="AF19" s="2">
        <f t="shared" si="15"/>
        <v>7</v>
      </c>
      <c r="AG19" s="2">
        <v>78</v>
      </c>
      <c r="AH19" s="6" t="str">
        <f t="shared" si="16"/>
        <v>B+</v>
      </c>
      <c r="AI19" s="1">
        <f t="shared" si="17"/>
        <v>3.5</v>
      </c>
      <c r="AJ19" s="2">
        <v>2</v>
      </c>
      <c r="AK19" s="2">
        <f t="shared" si="18"/>
        <v>7</v>
      </c>
      <c r="AL19" s="2">
        <v>82</v>
      </c>
      <c r="AM19" s="6" t="str">
        <f t="shared" si="19"/>
        <v>A</v>
      </c>
      <c r="AN19" s="1">
        <f t="shared" si="20"/>
        <v>4</v>
      </c>
      <c r="AO19" s="2">
        <v>2</v>
      </c>
      <c r="AP19" s="2">
        <f t="shared" si="21"/>
        <v>8</v>
      </c>
      <c r="AQ19" s="2">
        <v>74</v>
      </c>
      <c r="AR19" s="6" t="str">
        <f t="shared" si="22"/>
        <v>B</v>
      </c>
      <c r="AS19" s="1">
        <f t="shared" si="23"/>
        <v>3</v>
      </c>
      <c r="AT19" s="2">
        <v>2</v>
      </c>
      <c r="AU19" s="2">
        <f t="shared" si="24"/>
        <v>6</v>
      </c>
      <c r="AV19" s="5">
        <v>79.5</v>
      </c>
      <c r="AW19" s="6" t="str">
        <f t="shared" si="25"/>
        <v>B+</v>
      </c>
      <c r="AX19" s="1">
        <f t="shared" si="26"/>
        <v>3.5</v>
      </c>
      <c r="AY19" s="5">
        <v>3</v>
      </c>
      <c r="AZ19" s="3">
        <f t="shared" si="27"/>
        <v>10.5</v>
      </c>
      <c r="BA19" s="5">
        <v>80</v>
      </c>
      <c r="BB19" s="6" t="str">
        <f t="shared" si="28"/>
        <v>A</v>
      </c>
      <c r="BC19" s="1">
        <f t="shared" si="29"/>
        <v>4</v>
      </c>
      <c r="BD19" s="5">
        <v>2</v>
      </c>
      <c r="BE19" s="2">
        <f t="shared" si="30"/>
        <v>8</v>
      </c>
      <c r="BF19" s="5">
        <v>77</v>
      </c>
      <c r="BG19" s="6" t="str">
        <f t="shared" si="31"/>
        <v>B+</v>
      </c>
      <c r="BH19" s="1">
        <f t="shared" si="32"/>
        <v>3.5</v>
      </c>
      <c r="BI19" s="5">
        <v>2</v>
      </c>
      <c r="BJ19" s="2">
        <f t="shared" si="33"/>
        <v>7</v>
      </c>
      <c r="BK19" s="5">
        <v>77.73</v>
      </c>
      <c r="BL19" s="6" t="str">
        <f t="shared" si="34"/>
        <v>B+</v>
      </c>
      <c r="BM19" s="1">
        <f t="shared" si="35"/>
        <v>3.5</v>
      </c>
      <c r="BN19" s="5">
        <v>2</v>
      </c>
      <c r="BO19" s="2">
        <f t="shared" si="36"/>
        <v>7</v>
      </c>
      <c r="BP19" s="5">
        <v>78.3</v>
      </c>
      <c r="BQ19" s="6" t="str">
        <f t="shared" si="37"/>
        <v>B+</v>
      </c>
      <c r="BR19" s="1">
        <f t="shared" si="38"/>
        <v>3.5</v>
      </c>
      <c r="BS19" s="5">
        <v>2</v>
      </c>
      <c r="BT19" s="2">
        <f t="shared" si="39"/>
        <v>7</v>
      </c>
      <c r="BU19" s="5">
        <v>81</v>
      </c>
      <c r="BV19" s="6" t="str">
        <f t="shared" si="40"/>
        <v>A</v>
      </c>
      <c r="BW19" s="1">
        <f t="shared" si="41"/>
        <v>4</v>
      </c>
      <c r="BX19" s="5">
        <v>2</v>
      </c>
      <c r="BY19" s="2">
        <f t="shared" si="42"/>
        <v>8</v>
      </c>
      <c r="BZ19" s="5">
        <v>81</v>
      </c>
      <c r="CA19" s="6" t="str">
        <f t="shared" si="43"/>
        <v>A</v>
      </c>
      <c r="CB19" s="1">
        <f t="shared" si="44"/>
        <v>4</v>
      </c>
      <c r="CC19" s="5">
        <v>2</v>
      </c>
      <c r="CD19" s="2">
        <f t="shared" si="45"/>
        <v>8</v>
      </c>
      <c r="CE19" s="2">
        <v>86</v>
      </c>
      <c r="CF19" s="6" t="str">
        <f t="shared" si="46"/>
        <v>A</v>
      </c>
      <c r="CG19" s="1">
        <f t="shared" si="47"/>
        <v>4</v>
      </c>
      <c r="CH19" s="5">
        <v>2</v>
      </c>
      <c r="CI19" s="2">
        <f t="shared" si="48"/>
        <v>8</v>
      </c>
      <c r="CJ19" s="2">
        <v>76.150000000000006</v>
      </c>
      <c r="CK19" s="6" t="str">
        <f t="shared" si="49"/>
        <v>B+</v>
      </c>
      <c r="CL19" s="1">
        <f t="shared" si="50"/>
        <v>3.5</v>
      </c>
      <c r="CM19" s="2">
        <v>2</v>
      </c>
      <c r="CN19" s="2">
        <f t="shared" si="51"/>
        <v>7</v>
      </c>
      <c r="CO19" s="2">
        <v>76.7</v>
      </c>
      <c r="CP19" s="6" t="str">
        <f t="shared" si="52"/>
        <v>B+</v>
      </c>
      <c r="CQ19" s="1">
        <f t="shared" si="53"/>
        <v>3.5</v>
      </c>
      <c r="CR19" s="2">
        <v>2</v>
      </c>
      <c r="CS19" s="2">
        <f t="shared" si="54"/>
        <v>7</v>
      </c>
      <c r="CT19" s="2">
        <v>80.5</v>
      </c>
      <c r="CU19" s="6" t="str">
        <f t="shared" si="55"/>
        <v>A</v>
      </c>
      <c r="CV19" s="1">
        <f t="shared" si="56"/>
        <v>4</v>
      </c>
      <c r="CW19" s="2">
        <v>2</v>
      </c>
      <c r="CX19" s="2">
        <f t="shared" si="57"/>
        <v>8</v>
      </c>
      <c r="CY19" s="5">
        <v>85</v>
      </c>
      <c r="CZ19" s="6" t="str">
        <f t="shared" si="58"/>
        <v>A</v>
      </c>
      <c r="DA19" s="1">
        <f t="shared" si="59"/>
        <v>4</v>
      </c>
      <c r="DB19" s="5">
        <v>2</v>
      </c>
      <c r="DC19" s="3">
        <f t="shared" si="60"/>
        <v>8</v>
      </c>
      <c r="DD19" s="5">
        <v>72.5</v>
      </c>
      <c r="DE19" s="6" t="str">
        <f t="shared" si="61"/>
        <v>B</v>
      </c>
      <c r="DF19" s="1">
        <f t="shared" si="62"/>
        <v>3</v>
      </c>
      <c r="DG19" s="5">
        <v>2</v>
      </c>
      <c r="DH19" s="2">
        <f t="shared" si="63"/>
        <v>6</v>
      </c>
      <c r="DI19" s="5">
        <v>81.2</v>
      </c>
      <c r="DJ19" s="6" t="str">
        <f t="shared" si="64"/>
        <v>A</v>
      </c>
      <c r="DK19" s="1">
        <f t="shared" si="65"/>
        <v>4</v>
      </c>
      <c r="DL19" s="5">
        <v>4</v>
      </c>
      <c r="DM19" s="2">
        <f t="shared" si="66"/>
        <v>16</v>
      </c>
      <c r="DN19" s="30">
        <f t="shared" si="0"/>
        <v>86.5</v>
      </c>
      <c r="DO19" s="31">
        <f t="shared" si="67"/>
        <v>24</v>
      </c>
      <c r="DP19" s="5">
        <f t="shared" si="68"/>
        <v>90</v>
      </c>
      <c r="DQ19" s="5">
        <f t="shared" si="69"/>
        <v>24</v>
      </c>
      <c r="DR19" s="5">
        <f t="shared" si="70"/>
        <v>176.5</v>
      </c>
      <c r="DS19" s="5">
        <f t="shared" si="71"/>
        <v>48</v>
      </c>
      <c r="DT19" s="5">
        <v>3.75</v>
      </c>
      <c r="DU19" s="5">
        <f t="shared" si="72"/>
        <v>3.6770833333333335</v>
      </c>
      <c r="DV19" s="10" t="str">
        <f t="shared" si="73"/>
        <v>Cum Laude</v>
      </c>
      <c r="DW19" s="17" t="str">
        <f t="shared" si="74"/>
        <v>Excellent</v>
      </c>
      <c r="DX19" s="17" t="s">
        <v>158</v>
      </c>
    </row>
    <row r="20" spans="1:128" x14ac:dyDescent="0.25">
      <c r="A20" s="10">
        <v>18</v>
      </c>
      <c r="B20" s="15" t="s">
        <v>37</v>
      </c>
      <c r="C20" s="15">
        <v>182412018</v>
      </c>
      <c r="D20" s="15"/>
      <c r="E20" s="7"/>
      <c r="F20" s="15"/>
      <c r="G20" s="15"/>
      <c r="H20" s="5">
        <v>77.25</v>
      </c>
      <c r="I20" s="6" t="str">
        <f t="shared" si="1"/>
        <v>B+</v>
      </c>
      <c r="J20" s="1">
        <f t="shared" si="2"/>
        <v>3.5</v>
      </c>
      <c r="K20" s="5">
        <v>2</v>
      </c>
      <c r="L20" s="2">
        <f t="shared" si="3"/>
        <v>7</v>
      </c>
      <c r="M20" s="5">
        <v>79</v>
      </c>
      <c r="N20" s="6" t="str">
        <f t="shared" si="4"/>
        <v>B+</v>
      </c>
      <c r="O20" s="1">
        <f t="shared" si="5"/>
        <v>3.5</v>
      </c>
      <c r="P20" s="5">
        <v>2</v>
      </c>
      <c r="Q20" s="2">
        <f t="shared" si="6"/>
        <v>7</v>
      </c>
      <c r="R20" s="5">
        <v>74</v>
      </c>
      <c r="S20" s="6" t="str">
        <f t="shared" si="7"/>
        <v>B</v>
      </c>
      <c r="T20" s="1">
        <f t="shared" si="8"/>
        <v>3</v>
      </c>
      <c r="U20" s="5">
        <v>2</v>
      </c>
      <c r="V20" s="2">
        <f t="shared" si="9"/>
        <v>6</v>
      </c>
      <c r="W20" s="5">
        <v>76</v>
      </c>
      <c r="X20" s="6" t="str">
        <f t="shared" si="10"/>
        <v>B+</v>
      </c>
      <c r="Y20" s="1">
        <f t="shared" si="11"/>
        <v>3.5</v>
      </c>
      <c r="Z20" s="5">
        <v>3</v>
      </c>
      <c r="AA20" s="2">
        <f t="shared" si="12"/>
        <v>10.5</v>
      </c>
      <c r="AB20" s="2">
        <v>70.25</v>
      </c>
      <c r="AC20" s="6" t="str">
        <f t="shared" si="13"/>
        <v>B</v>
      </c>
      <c r="AD20" s="1">
        <f t="shared" si="14"/>
        <v>3</v>
      </c>
      <c r="AE20" s="2">
        <v>2</v>
      </c>
      <c r="AF20" s="2">
        <f t="shared" si="15"/>
        <v>6</v>
      </c>
      <c r="AG20" s="2">
        <v>78</v>
      </c>
      <c r="AH20" s="6" t="str">
        <f t="shared" si="16"/>
        <v>B+</v>
      </c>
      <c r="AI20" s="1">
        <f t="shared" si="17"/>
        <v>3.5</v>
      </c>
      <c r="AJ20" s="2">
        <v>2</v>
      </c>
      <c r="AK20" s="2">
        <f t="shared" si="18"/>
        <v>7</v>
      </c>
      <c r="AL20" s="2">
        <v>80</v>
      </c>
      <c r="AM20" s="6" t="str">
        <f t="shared" si="19"/>
        <v>A</v>
      </c>
      <c r="AN20" s="1">
        <f t="shared" si="20"/>
        <v>4</v>
      </c>
      <c r="AO20" s="2">
        <v>2</v>
      </c>
      <c r="AP20" s="2">
        <f t="shared" si="21"/>
        <v>8</v>
      </c>
      <c r="AQ20" s="2">
        <v>74</v>
      </c>
      <c r="AR20" s="6" t="str">
        <f t="shared" si="22"/>
        <v>B</v>
      </c>
      <c r="AS20" s="1">
        <f t="shared" si="23"/>
        <v>3</v>
      </c>
      <c r="AT20" s="2">
        <v>2</v>
      </c>
      <c r="AU20" s="2">
        <f t="shared" si="24"/>
        <v>6</v>
      </c>
      <c r="AV20" s="5">
        <v>79.5</v>
      </c>
      <c r="AW20" s="6" t="str">
        <f t="shared" si="25"/>
        <v>B+</v>
      </c>
      <c r="AX20" s="1">
        <f t="shared" si="26"/>
        <v>3.5</v>
      </c>
      <c r="AY20" s="5">
        <v>3</v>
      </c>
      <c r="AZ20" s="3">
        <f t="shared" si="27"/>
        <v>10.5</v>
      </c>
      <c r="BA20" s="5">
        <v>76.25</v>
      </c>
      <c r="BB20" s="6" t="str">
        <f t="shared" si="28"/>
        <v>B+</v>
      </c>
      <c r="BC20" s="1">
        <f t="shared" si="29"/>
        <v>3.5</v>
      </c>
      <c r="BD20" s="5">
        <v>2</v>
      </c>
      <c r="BE20" s="2">
        <f t="shared" si="30"/>
        <v>7</v>
      </c>
      <c r="BF20" s="5">
        <v>80</v>
      </c>
      <c r="BG20" s="6" t="str">
        <f t="shared" si="31"/>
        <v>A</v>
      </c>
      <c r="BH20" s="1">
        <f t="shared" si="32"/>
        <v>4</v>
      </c>
      <c r="BI20" s="5">
        <v>2</v>
      </c>
      <c r="BJ20" s="2">
        <f t="shared" si="33"/>
        <v>8</v>
      </c>
      <c r="BK20" s="5">
        <v>76</v>
      </c>
      <c r="BL20" s="6" t="str">
        <f t="shared" si="34"/>
        <v>B+</v>
      </c>
      <c r="BM20" s="1">
        <f t="shared" si="35"/>
        <v>3.5</v>
      </c>
      <c r="BN20" s="5">
        <v>2</v>
      </c>
      <c r="BO20" s="2">
        <f t="shared" si="36"/>
        <v>7</v>
      </c>
      <c r="BP20" s="5">
        <v>80</v>
      </c>
      <c r="BQ20" s="6" t="str">
        <f t="shared" si="37"/>
        <v>A</v>
      </c>
      <c r="BR20" s="1">
        <f t="shared" si="38"/>
        <v>4</v>
      </c>
      <c r="BS20" s="5">
        <v>2</v>
      </c>
      <c r="BT20" s="2">
        <f t="shared" si="39"/>
        <v>8</v>
      </c>
      <c r="BU20" s="5">
        <v>80</v>
      </c>
      <c r="BV20" s="6" t="str">
        <f t="shared" si="40"/>
        <v>A</v>
      </c>
      <c r="BW20" s="1">
        <f t="shared" si="41"/>
        <v>4</v>
      </c>
      <c r="BX20" s="5">
        <v>2</v>
      </c>
      <c r="BY20" s="2">
        <f t="shared" si="42"/>
        <v>8</v>
      </c>
      <c r="BZ20" s="5">
        <v>80.2</v>
      </c>
      <c r="CA20" s="6" t="str">
        <f t="shared" si="43"/>
        <v>A</v>
      </c>
      <c r="CB20" s="1">
        <f t="shared" si="44"/>
        <v>4</v>
      </c>
      <c r="CC20" s="5">
        <v>2</v>
      </c>
      <c r="CD20" s="2">
        <f t="shared" si="45"/>
        <v>8</v>
      </c>
      <c r="CE20" s="2">
        <v>85</v>
      </c>
      <c r="CF20" s="6" t="str">
        <f t="shared" si="46"/>
        <v>A</v>
      </c>
      <c r="CG20" s="1">
        <f t="shared" si="47"/>
        <v>4</v>
      </c>
      <c r="CH20" s="5">
        <v>2</v>
      </c>
      <c r="CI20" s="2">
        <f t="shared" si="48"/>
        <v>8</v>
      </c>
      <c r="CJ20" s="2">
        <v>70.33</v>
      </c>
      <c r="CK20" s="6" t="str">
        <f t="shared" si="49"/>
        <v>B</v>
      </c>
      <c r="CL20" s="1">
        <f t="shared" si="50"/>
        <v>3</v>
      </c>
      <c r="CM20" s="2">
        <v>2</v>
      </c>
      <c r="CN20" s="2">
        <f t="shared" si="51"/>
        <v>6</v>
      </c>
      <c r="CO20" s="2">
        <v>71.8</v>
      </c>
      <c r="CP20" s="6" t="str">
        <f t="shared" si="52"/>
        <v>B</v>
      </c>
      <c r="CQ20" s="1">
        <f t="shared" si="53"/>
        <v>3</v>
      </c>
      <c r="CR20" s="2">
        <v>2</v>
      </c>
      <c r="CS20" s="2">
        <f t="shared" si="54"/>
        <v>6</v>
      </c>
      <c r="CT20" s="2">
        <v>83.5</v>
      </c>
      <c r="CU20" s="6" t="str">
        <f t="shared" si="55"/>
        <v>A</v>
      </c>
      <c r="CV20" s="1">
        <f t="shared" si="56"/>
        <v>4</v>
      </c>
      <c r="CW20" s="2">
        <v>2</v>
      </c>
      <c r="CX20" s="2">
        <f t="shared" si="57"/>
        <v>8</v>
      </c>
      <c r="CY20" s="5">
        <v>79</v>
      </c>
      <c r="CZ20" s="6" t="str">
        <f t="shared" si="58"/>
        <v>B+</v>
      </c>
      <c r="DA20" s="1">
        <f t="shared" si="59"/>
        <v>3.5</v>
      </c>
      <c r="DB20" s="5">
        <v>2</v>
      </c>
      <c r="DC20" s="3">
        <f t="shared" si="60"/>
        <v>7</v>
      </c>
      <c r="DD20" s="5">
        <v>72.5</v>
      </c>
      <c r="DE20" s="6" t="str">
        <f t="shared" si="61"/>
        <v>B</v>
      </c>
      <c r="DF20" s="1">
        <f t="shared" si="62"/>
        <v>3</v>
      </c>
      <c r="DG20" s="5">
        <v>2</v>
      </c>
      <c r="DH20" s="2">
        <f t="shared" si="63"/>
        <v>6</v>
      </c>
      <c r="DI20" s="5">
        <v>80.5</v>
      </c>
      <c r="DJ20" s="6" t="str">
        <f t="shared" si="64"/>
        <v>A</v>
      </c>
      <c r="DK20" s="1">
        <f t="shared" si="65"/>
        <v>4</v>
      </c>
      <c r="DL20" s="5">
        <v>4</v>
      </c>
      <c r="DM20" s="2">
        <f t="shared" si="66"/>
        <v>16</v>
      </c>
      <c r="DN20" s="30">
        <f t="shared" si="0"/>
        <v>83</v>
      </c>
      <c r="DO20" s="31">
        <f t="shared" si="67"/>
        <v>24</v>
      </c>
      <c r="DP20" s="5">
        <f t="shared" si="68"/>
        <v>88</v>
      </c>
      <c r="DQ20" s="5">
        <f t="shared" si="69"/>
        <v>24</v>
      </c>
      <c r="DR20" s="5">
        <f t="shared" si="70"/>
        <v>171</v>
      </c>
      <c r="DS20" s="5">
        <f t="shared" si="71"/>
        <v>48</v>
      </c>
      <c r="DT20" s="5">
        <v>3.6666666666666665</v>
      </c>
      <c r="DU20" s="5">
        <f t="shared" si="72"/>
        <v>3.5625</v>
      </c>
      <c r="DV20" s="10" t="str">
        <f t="shared" si="73"/>
        <v>Cum Laude</v>
      </c>
      <c r="DW20" s="17" t="str">
        <f t="shared" si="74"/>
        <v>Excellent</v>
      </c>
      <c r="DX20" s="17" t="s">
        <v>159</v>
      </c>
    </row>
    <row r="21" spans="1:128" x14ac:dyDescent="0.2">
      <c r="A21" s="10">
        <v>19</v>
      </c>
      <c r="B21" s="15" t="s">
        <v>38</v>
      </c>
      <c r="C21" s="15">
        <v>182412019</v>
      </c>
      <c r="D21" s="16" t="s">
        <v>119</v>
      </c>
      <c r="E21" s="7" t="s">
        <v>120</v>
      </c>
      <c r="F21" s="15" t="s">
        <v>149</v>
      </c>
      <c r="G21" s="15"/>
      <c r="H21" s="5">
        <v>72.5</v>
      </c>
      <c r="I21" s="6" t="str">
        <f t="shared" si="1"/>
        <v>B</v>
      </c>
      <c r="J21" s="1">
        <f t="shared" si="2"/>
        <v>3</v>
      </c>
      <c r="K21" s="5">
        <v>2</v>
      </c>
      <c r="L21" s="2">
        <f t="shared" si="3"/>
        <v>6</v>
      </c>
      <c r="M21" s="5">
        <v>77</v>
      </c>
      <c r="N21" s="6" t="str">
        <f t="shared" si="4"/>
        <v>B+</v>
      </c>
      <c r="O21" s="1">
        <f t="shared" si="5"/>
        <v>3.5</v>
      </c>
      <c r="P21" s="5">
        <v>2</v>
      </c>
      <c r="Q21" s="2">
        <f t="shared" si="6"/>
        <v>7</v>
      </c>
      <c r="R21" s="5">
        <v>72.599999999999994</v>
      </c>
      <c r="S21" s="6" t="str">
        <f t="shared" si="7"/>
        <v>B</v>
      </c>
      <c r="T21" s="1">
        <f t="shared" si="8"/>
        <v>3</v>
      </c>
      <c r="U21" s="5">
        <v>2</v>
      </c>
      <c r="V21" s="2">
        <f t="shared" si="9"/>
        <v>6</v>
      </c>
      <c r="W21" s="5">
        <v>80</v>
      </c>
      <c r="X21" s="6" t="str">
        <f t="shared" si="10"/>
        <v>A</v>
      </c>
      <c r="Y21" s="1">
        <f t="shared" si="11"/>
        <v>4</v>
      </c>
      <c r="Z21" s="5">
        <v>3</v>
      </c>
      <c r="AA21" s="2">
        <f t="shared" si="12"/>
        <v>12</v>
      </c>
      <c r="AB21" s="2">
        <v>71.7</v>
      </c>
      <c r="AC21" s="6" t="str">
        <f t="shared" si="13"/>
        <v>B</v>
      </c>
      <c r="AD21" s="1">
        <f t="shared" si="14"/>
        <v>3</v>
      </c>
      <c r="AE21" s="2">
        <v>2</v>
      </c>
      <c r="AF21" s="2">
        <f t="shared" si="15"/>
        <v>6</v>
      </c>
      <c r="AG21" s="2">
        <v>78</v>
      </c>
      <c r="AH21" s="6" t="str">
        <f t="shared" si="16"/>
        <v>B+</v>
      </c>
      <c r="AI21" s="1">
        <f t="shared" si="17"/>
        <v>3.5</v>
      </c>
      <c r="AJ21" s="2">
        <v>2</v>
      </c>
      <c r="AK21" s="2">
        <f t="shared" si="18"/>
        <v>7</v>
      </c>
      <c r="AL21" s="2">
        <v>80</v>
      </c>
      <c r="AM21" s="6" t="str">
        <f t="shared" si="19"/>
        <v>A</v>
      </c>
      <c r="AN21" s="1">
        <f t="shared" si="20"/>
        <v>4</v>
      </c>
      <c r="AO21" s="2">
        <v>2</v>
      </c>
      <c r="AP21" s="2">
        <f t="shared" si="21"/>
        <v>8</v>
      </c>
      <c r="AQ21" s="2">
        <v>74</v>
      </c>
      <c r="AR21" s="6" t="str">
        <f t="shared" si="22"/>
        <v>B</v>
      </c>
      <c r="AS21" s="1">
        <f t="shared" si="23"/>
        <v>3</v>
      </c>
      <c r="AT21" s="2">
        <v>2</v>
      </c>
      <c r="AU21" s="2">
        <f t="shared" si="24"/>
        <v>6</v>
      </c>
      <c r="AV21" s="5">
        <v>80.75</v>
      </c>
      <c r="AW21" s="6" t="str">
        <f t="shared" si="25"/>
        <v>A</v>
      </c>
      <c r="AX21" s="1">
        <f t="shared" si="26"/>
        <v>4</v>
      </c>
      <c r="AY21" s="5">
        <v>3</v>
      </c>
      <c r="AZ21" s="3">
        <f t="shared" si="27"/>
        <v>12</v>
      </c>
      <c r="BA21" s="5">
        <v>76.25</v>
      </c>
      <c r="BB21" s="6" t="str">
        <f t="shared" si="28"/>
        <v>B+</v>
      </c>
      <c r="BC21" s="1">
        <f t="shared" si="29"/>
        <v>3.5</v>
      </c>
      <c r="BD21" s="5">
        <v>2</v>
      </c>
      <c r="BE21" s="2">
        <f t="shared" si="30"/>
        <v>7</v>
      </c>
      <c r="BF21" s="5">
        <v>78</v>
      </c>
      <c r="BG21" s="6" t="str">
        <f t="shared" si="31"/>
        <v>B+</v>
      </c>
      <c r="BH21" s="1">
        <f t="shared" si="32"/>
        <v>3.5</v>
      </c>
      <c r="BI21" s="5">
        <v>2</v>
      </c>
      <c r="BJ21" s="2">
        <f t="shared" si="33"/>
        <v>7</v>
      </c>
      <c r="BK21" s="5">
        <v>79.069999999999993</v>
      </c>
      <c r="BL21" s="6" t="str">
        <f t="shared" si="34"/>
        <v>B+</v>
      </c>
      <c r="BM21" s="1">
        <f t="shared" si="35"/>
        <v>3.5</v>
      </c>
      <c r="BN21" s="5">
        <v>2</v>
      </c>
      <c r="BO21" s="2">
        <f t="shared" si="36"/>
        <v>7</v>
      </c>
      <c r="BP21" s="5">
        <v>82.1</v>
      </c>
      <c r="BQ21" s="6" t="str">
        <f t="shared" si="37"/>
        <v>A</v>
      </c>
      <c r="BR21" s="1">
        <f t="shared" si="38"/>
        <v>4</v>
      </c>
      <c r="BS21" s="5">
        <v>2</v>
      </c>
      <c r="BT21" s="2">
        <f t="shared" si="39"/>
        <v>8</v>
      </c>
      <c r="BU21" s="5">
        <v>82</v>
      </c>
      <c r="BV21" s="6" t="str">
        <f t="shared" si="40"/>
        <v>A</v>
      </c>
      <c r="BW21" s="1">
        <f t="shared" si="41"/>
        <v>4</v>
      </c>
      <c r="BX21" s="5">
        <v>2</v>
      </c>
      <c r="BY21" s="2">
        <f t="shared" si="42"/>
        <v>8</v>
      </c>
      <c r="BZ21" s="5">
        <v>77.8</v>
      </c>
      <c r="CA21" s="6" t="str">
        <f t="shared" si="43"/>
        <v>B+</v>
      </c>
      <c r="CB21" s="1">
        <f t="shared" si="44"/>
        <v>3.5</v>
      </c>
      <c r="CC21" s="5">
        <v>2</v>
      </c>
      <c r="CD21" s="2">
        <f t="shared" si="45"/>
        <v>7</v>
      </c>
      <c r="CE21" s="2">
        <v>86</v>
      </c>
      <c r="CF21" s="6" t="str">
        <f t="shared" si="46"/>
        <v>A</v>
      </c>
      <c r="CG21" s="1">
        <f t="shared" si="47"/>
        <v>4</v>
      </c>
      <c r="CH21" s="5">
        <v>2</v>
      </c>
      <c r="CI21" s="2">
        <f t="shared" si="48"/>
        <v>8</v>
      </c>
      <c r="CJ21" s="2">
        <v>75.33</v>
      </c>
      <c r="CK21" s="6" t="str">
        <f t="shared" si="49"/>
        <v>B+</v>
      </c>
      <c r="CL21" s="1">
        <f t="shared" si="50"/>
        <v>3.5</v>
      </c>
      <c r="CM21" s="2">
        <v>2</v>
      </c>
      <c r="CN21" s="2">
        <f t="shared" si="51"/>
        <v>7</v>
      </c>
      <c r="CO21" s="2">
        <v>75.8</v>
      </c>
      <c r="CP21" s="6" t="str">
        <f t="shared" si="52"/>
        <v>B+</v>
      </c>
      <c r="CQ21" s="1">
        <f t="shared" si="53"/>
        <v>3.5</v>
      </c>
      <c r="CR21" s="2">
        <v>2</v>
      </c>
      <c r="CS21" s="2">
        <f t="shared" si="54"/>
        <v>7</v>
      </c>
      <c r="CT21" s="2">
        <v>82.8</v>
      </c>
      <c r="CU21" s="6" t="str">
        <f t="shared" si="55"/>
        <v>A</v>
      </c>
      <c r="CV21" s="1">
        <f t="shared" si="56"/>
        <v>4</v>
      </c>
      <c r="CW21" s="2">
        <v>2</v>
      </c>
      <c r="CX21" s="2">
        <f t="shared" si="57"/>
        <v>8</v>
      </c>
      <c r="CY21" s="5">
        <v>72</v>
      </c>
      <c r="CZ21" s="6" t="str">
        <f t="shared" si="58"/>
        <v>B</v>
      </c>
      <c r="DA21" s="1">
        <f t="shared" si="59"/>
        <v>3</v>
      </c>
      <c r="DB21" s="5">
        <v>2</v>
      </c>
      <c r="DC21" s="3">
        <f t="shared" si="60"/>
        <v>6</v>
      </c>
      <c r="DD21" s="5">
        <v>75.099999999999994</v>
      </c>
      <c r="DE21" s="6" t="str">
        <f t="shared" si="61"/>
        <v>B+</v>
      </c>
      <c r="DF21" s="1">
        <f t="shared" si="62"/>
        <v>3.5</v>
      </c>
      <c r="DG21" s="5">
        <v>2</v>
      </c>
      <c r="DH21" s="2">
        <f t="shared" si="63"/>
        <v>7</v>
      </c>
      <c r="DI21" s="5">
        <v>79.3</v>
      </c>
      <c r="DJ21" s="6" t="str">
        <f t="shared" si="64"/>
        <v>B+</v>
      </c>
      <c r="DK21" s="1">
        <f t="shared" si="65"/>
        <v>3.5</v>
      </c>
      <c r="DL21" s="5">
        <v>4</v>
      </c>
      <c r="DM21" s="2">
        <f t="shared" si="66"/>
        <v>14</v>
      </c>
      <c r="DN21" s="30">
        <f t="shared" si="0"/>
        <v>84</v>
      </c>
      <c r="DO21" s="31">
        <f t="shared" si="67"/>
        <v>24</v>
      </c>
      <c r="DP21" s="5">
        <f t="shared" si="68"/>
        <v>87</v>
      </c>
      <c r="DQ21" s="5">
        <f t="shared" si="69"/>
        <v>24</v>
      </c>
      <c r="DR21" s="5">
        <f t="shared" si="70"/>
        <v>171</v>
      </c>
      <c r="DS21" s="5">
        <f t="shared" si="71"/>
        <v>48</v>
      </c>
      <c r="DT21" s="5">
        <v>3.625</v>
      </c>
      <c r="DU21" s="5">
        <f t="shared" si="72"/>
        <v>3.5625</v>
      </c>
      <c r="DV21" s="10" t="str">
        <f t="shared" si="73"/>
        <v>Cum Laude</v>
      </c>
      <c r="DW21" s="17" t="str">
        <f t="shared" si="74"/>
        <v>Excellent</v>
      </c>
      <c r="DX21" s="17" t="s">
        <v>174</v>
      </c>
    </row>
    <row r="22" spans="1:128" x14ac:dyDescent="0.2">
      <c r="A22" s="10">
        <v>20</v>
      </c>
      <c r="B22" s="15" t="s">
        <v>39</v>
      </c>
      <c r="C22" s="15">
        <v>182412020</v>
      </c>
      <c r="D22" s="16" t="s">
        <v>121</v>
      </c>
      <c r="E22" s="7" t="s">
        <v>122</v>
      </c>
      <c r="F22" s="15" t="s">
        <v>149</v>
      </c>
      <c r="G22" s="15"/>
      <c r="H22" s="5">
        <v>75.75</v>
      </c>
      <c r="I22" s="6" t="str">
        <f t="shared" si="1"/>
        <v>B+</v>
      </c>
      <c r="J22" s="1">
        <f t="shared" si="2"/>
        <v>3.5</v>
      </c>
      <c r="K22" s="5">
        <v>2</v>
      </c>
      <c r="L22" s="2">
        <f t="shared" si="3"/>
        <v>7</v>
      </c>
      <c r="M22" s="5">
        <v>76</v>
      </c>
      <c r="N22" s="6" t="str">
        <f t="shared" si="4"/>
        <v>B+</v>
      </c>
      <c r="O22" s="1">
        <f t="shared" si="5"/>
        <v>3.5</v>
      </c>
      <c r="P22" s="5">
        <v>2</v>
      </c>
      <c r="Q22" s="2">
        <f t="shared" si="6"/>
        <v>7</v>
      </c>
      <c r="R22" s="5">
        <v>83.2</v>
      </c>
      <c r="S22" s="6" t="str">
        <f t="shared" si="7"/>
        <v>A</v>
      </c>
      <c r="T22" s="1">
        <f t="shared" si="8"/>
        <v>4</v>
      </c>
      <c r="U22" s="5">
        <v>2</v>
      </c>
      <c r="V22" s="2">
        <f t="shared" si="9"/>
        <v>8</v>
      </c>
      <c r="W22" s="5">
        <v>78</v>
      </c>
      <c r="X22" s="6" t="str">
        <f t="shared" si="10"/>
        <v>B+</v>
      </c>
      <c r="Y22" s="1">
        <f t="shared" si="11"/>
        <v>3.5</v>
      </c>
      <c r="Z22" s="5">
        <v>3</v>
      </c>
      <c r="AA22" s="2">
        <f t="shared" si="12"/>
        <v>10.5</v>
      </c>
      <c r="AB22" s="2">
        <v>83.3</v>
      </c>
      <c r="AC22" s="6" t="str">
        <f t="shared" si="13"/>
        <v>A</v>
      </c>
      <c r="AD22" s="1">
        <f t="shared" si="14"/>
        <v>4</v>
      </c>
      <c r="AE22" s="2">
        <v>2</v>
      </c>
      <c r="AF22" s="2">
        <f t="shared" si="15"/>
        <v>8</v>
      </c>
      <c r="AG22" s="2">
        <v>78</v>
      </c>
      <c r="AH22" s="6" t="str">
        <f t="shared" si="16"/>
        <v>B+</v>
      </c>
      <c r="AI22" s="1">
        <f t="shared" si="17"/>
        <v>3.5</v>
      </c>
      <c r="AJ22" s="2">
        <v>2</v>
      </c>
      <c r="AK22" s="2">
        <f t="shared" si="18"/>
        <v>7</v>
      </c>
      <c r="AL22" s="2">
        <v>76</v>
      </c>
      <c r="AM22" s="6" t="str">
        <f t="shared" si="19"/>
        <v>B+</v>
      </c>
      <c r="AN22" s="1">
        <f t="shared" si="20"/>
        <v>3.5</v>
      </c>
      <c r="AO22" s="2">
        <v>2</v>
      </c>
      <c r="AP22" s="2">
        <f t="shared" si="21"/>
        <v>7</v>
      </c>
      <c r="AQ22" s="2">
        <v>74</v>
      </c>
      <c r="AR22" s="6" t="str">
        <f t="shared" si="22"/>
        <v>B</v>
      </c>
      <c r="AS22" s="1">
        <f t="shared" si="23"/>
        <v>3</v>
      </c>
      <c r="AT22" s="2">
        <v>2</v>
      </c>
      <c r="AU22" s="2">
        <f t="shared" si="24"/>
        <v>6</v>
      </c>
      <c r="AV22" s="5">
        <v>78</v>
      </c>
      <c r="AW22" s="6" t="str">
        <f t="shared" si="25"/>
        <v>B+</v>
      </c>
      <c r="AX22" s="1">
        <f t="shared" si="26"/>
        <v>3.5</v>
      </c>
      <c r="AY22" s="5">
        <v>3</v>
      </c>
      <c r="AZ22" s="3">
        <f t="shared" si="27"/>
        <v>10.5</v>
      </c>
      <c r="BA22" s="5">
        <v>76.25</v>
      </c>
      <c r="BB22" s="6" t="str">
        <f t="shared" si="28"/>
        <v>B+</v>
      </c>
      <c r="BC22" s="1">
        <f t="shared" si="29"/>
        <v>3.5</v>
      </c>
      <c r="BD22" s="5">
        <v>2</v>
      </c>
      <c r="BE22" s="2">
        <f t="shared" si="30"/>
        <v>7</v>
      </c>
      <c r="BF22" s="5">
        <v>80</v>
      </c>
      <c r="BG22" s="6" t="str">
        <f t="shared" si="31"/>
        <v>A</v>
      </c>
      <c r="BH22" s="1">
        <f t="shared" si="32"/>
        <v>4</v>
      </c>
      <c r="BI22" s="5">
        <v>2</v>
      </c>
      <c r="BJ22" s="2">
        <f t="shared" si="33"/>
        <v>8</v>
      </c>
      <c r="BK22" s="5">
        <v>77.650000000000006</v>
      </c>
      <c r="BL22" s="6" t="str">
        <f t="shared" si="34"/>
        <v>B+</v>
      </c>
      <c r="BM22" s="1">
        <f t="shared" si="35"/>
        <v>3.5</v>
      </c>
      <c r="BN22" s="5">
        <v>2</v>
      </c>
      <c r="BO22" s="2">
        <f t="shared" si="36"/>
        <v>7</v>
      </c>
      <c r="BP22" s="5">
        <v>79.3</v>
      </c>
      <c r="BQ22" s="6" t="str">
        <f t="shared" si="37"/>
        <v>B+</v>
      </c>
      <c r="BR22" s="1">
        <f t="shared" si="38"/>
        <v>3.5</v>
      </c>
      <c r="BS22" s="5">
        <v>2</v>
      </c>
      <c r="BT22" s="2">
        <f t="shared" si="39"/>
        <v>7</v>
      </c>
      <c r="BU22" s="5">
        <v>80</v>
      </c>
      <c r="BV22" s="6" t="str">
        <f t="shared" si="40"/>
        <v>A</v>
      </c>
      <c r="BW22" s="1">
        <f t="shared" si="41"/>
        <v>4</v>
      </c>
      <c r="BX22" s="5">
        <v>2</v>
      </c>
      <c r="BY22" s="2">
        <f t="shared" si="42"/>
        <v>8</v>
      </c>
      <c r="BZ22" s="5">
        <v>76.8</v>
      </c>
      <c r="CA22" s="6" t="str">
        <f t="shared" si="43"/>
        <v>B+</v>
      </c>
      <c r="CB22" s="1">
        <f t="shared" si="44"/>
        <v>3.5</v>
      </c>
      <c r="CC22" s="5">
        <v>2</v>
      </c>
      <c r="CD22" s="2">
        <f t="shared" si="45"/>
        <v>7</v>
      </c>
      <c r="CE22" s="2">
        <v>85</v>
      </c>
      <c r="CF22" s="6" t="str">
        <f t="shared" si="46"/>
        <v>A</v>
      </c>
      <c r="CG22" s="1">
        <f t="shared" si="47"/>
        <v>4</v>
      </c>
      <c r="CH22" s="5">
        <v>2</v>
      </c>
      <c r="CI22" s="2">
        <f t="shared" si="48"/>
        <v>8</v>
      </c>
      <c r="CJ22" s="2">
        <v>74.150000000000006</v>
      </c>
      <c r="CK22" s="6" t="str">
        <f t="shared" si="49"/>
        <v>B</v>
      </c>
      <c r="CL22" s="1">
        <f t="shared" si="50"/>
        <v>3</v>
      </c>
      <c r="CM22" s="2">
        <v>2</v>
      </c>
      <c r="CN22" s="2">
        <f t="shared" si="51"/>
        <v>6</v>
      </c>
      <c r="CO22" s="2">
        <v>77.599999999999994</v>
      </c>
      <c r="CP22" s="6" t="str">
        <f t="shared" si="52"/>
        <v>B+</v>
      </c>
      <c r="CQ22" s="1">
        <f t="shared" si="53"/>
        <v>3.5</v>
      </c>
      <c r="CR22" s="2">
        <v>2</v>
      </c>
      <c r="CS22" s="2">
        <f t="shared" si="54"/>
        <v>7</v>
      </c>
      <c r="CT22" s="2">
        <v>82.5</v>
      </c>
      <c r="CU22" s="6" t="str">
        <f t="shared" si="55"/>
        <v>A</v>
      </c>
      <c r="CV22" s="1">
        <f t="shared" si="56"/>
        <v>4</v>
      </c>
      <c r="CW22" s="2">
        <v>2</v>
      </c>
      <c r="CX22" s="2">
        <f t="shared" si="57"/>
        <v>8</v>
      </c>
      <c r="CY22" s="5">
        <v>77</v>
      </c>
      <c r="CZ22" s="6" t="str">
        <f t="shared" si="58"/>
        <v>B+</v>
      </c>
      <c r="DA22" s="1">
        <f t="shared" si="59"/>
        <v>3.5</v>
      </c>
      <c r="DB22" s="5">
        <v>2</v>
      </c>
      <c r="DC22" s="3">
        <f t="shared" si="60"/>
        <v>7</v>
      </c>
      <c r="DD22" s="5">
        <v>76</v>
      </c>
      <c r="DE22" s="6" t="str">
        <f t="shared" si="61"/>
        <v>B+</v>
      </c>
      <c r="DF22" s="1">
        <f t="shared" si="62"/>
        <v>3.5</v>
      </c>
      <c r="DG22" s="5">
        <v>2</v>
      </c>
      <c r="DH22" s="2">
        <f t="shared" si="63"/>
        <v>7</v>
      </c>
      <c r="DI22" s="5">
        <v>81.400000000000006</v>
      </c>
      <c r="DJ22" s="6" t="str">
        <f t="shared" si="64"/>
        <v>A</v>
      </c>
      <c r="DK22" s="1">
        <f t="shared" si="65"/>
        <v>4</v>
      </c>
      <c r="DL22" s="5">
        <v>4</v>
      </c>
      <c r="DM22" s="2">
        <f t="shared" si="66"/>
        <v>16</v>
      </c>
      <c r="DN22" s="30">
        <f t="shared" si="0"/>
        <v>86</v>
      </c>
      <c r="DO22" s="31">
        <f t="shared" si="67"/>
        <v>24</v>
      </c>
      <c r="DP22" s="5">
        <f t="shared" si="68"/>
        <v>88</v>
      </c>
      <c r="DQ22" s="5">
        <f t="shared" si="69"/>
        <v>24</v>
      </c>
      <c r="DR22" s="5">
        <f t="shared" si="70"/>
        <v>174</v>
      </c>
      <c r="DS22" s="5">
        <f t="shared" si="71"/>
        <v>48</v>
      </c>
      <c r="DT22" s="5">
        <v>3.6666666666666665</v>
      </c>
      <c r="DU22" s="5">
        <f t="shared" si="72"/>
        <v>3.625</v>
      </c>
      <c r="DV22" s="10" t="str">
        <f t="shared" si="73"/>
        <v>Cum Laude</v>
      </c>
      <c r="DW22" s="17" t="str">
        <f t="shared" si="74"/>
        <v>Excellent</v>
      </c>
      <c r="DX22" s="17" t="s">
        <v>175</v>
      </c>
    </row>
    <row r="23" spans="1:128" x14ac:dyDescent="0.25">
      <c r="A23" s="10">
        <v>21</v>
      </c>
      <c r="B23" s="15" t="s">
        <v>40</v>
      </c>
      <c r="C23" s="15">
        <v>182412021</v>
      </c>
      <c r="D23" s="15"/>
      <c r="E23" s="7"/>
      <c r="F23" s="15"/>
      <c r="G23" s="15"/>
      <c r="H23" s="5">
        <v>75.75</v>
      </c>
      <c r="I23" s="6" t="str">
        <f t="shared" si="1"/>
        <v>B+</v>
      </c>
      <c r="J23" s="1">
        <f t="shared" si="2"/>
        <v>3.5</v>
      </c>
      <c r="K23" s="5">
        <v>2</v>
      </c>
      <c r="L23" s="2">
        <f t="shared" si="3"/>
        <v>7</v>
      </c>
      <c r="M23" s="5">
        <v>75</v>
      </c>
      <c r="N23" s="6" t="str">
        <f t="shared" si="4"/>
        <v>B+</v>
      </c>
      <c r="O23" s="1">
        <f t="shared" si="5"/>
        <v>3.5</v>
      </c>
      <c r="P23" s="5">
        <v>2</v>
      </c>
      <c r="Q23" s="2">
        <f t="shared" si="6"/>
        <v>7</v>
      </c>
      <c r="R23" s="5">
        <v>79</v>
      </c>
      <c r="S23" s="6" t="str">
        <f t="shared" si="7"/>
        <v>B+</v>
      </c>
      <c r="T23" s="1">
        <f t="shared" si="8"/>
        <v>3.5</v>
      </c>
      <c r="U23" s="5">
        <v>2</v>
      </c>
      <c r="V23" s="2">
        <f t="shared" si="9"/>
        <v>7</v>
      </c>
      <c r="W23" s="5">
        <v>78</v>
      </c>
      <c r="X23" s="6" t="str">
        <f t="shared" si="10"/>
        <v>B+</v>
      </c>
      <c r="Y23" s="1">
        <f t="shared" si="11"/>
        <v>3.5</v>
      </c>
      <c r="Z23" s="5">
        <v>3</v>
      </c>
      <c r="AA23" s="2">
        <f t="shared" si="12"/>
        <v>10.5</v>
      </c>
      <c r="AB23" s="2">
        <v>77.8</v>
      </c>
      <c r="AC23" s="6" t="str">
        <f t="shared" si="13"/>
        <v>B+</v>
      </c>
      <c r="AD23" s="1">
        <f t="shared" si="14"/>
        <v>3.5</v>
      </c>
      <c r="AE23" s="2">
        <v>2</v>
      </c>
      <c r="AF23" s="2">
        <f t="shared" si="15"/>
        <v>7</v>
      </c>
      <c r="AG23" s="2">
        <v>78</v>
      </c>
      <c r="AH23" s="6" t="str">
        <f t="shared" si="16"/>
        <v>B+</v>
      </c>
      <c r="AI23" s="1">
        <f t="shared" si="17"/>
        <v>3.5</v>
      </c>
      <c r="AJ23" s="2">
        <v>2</v>
      </c>
      <c r="AK23" s="2">
        <f t="shared" si="18"/>
        <v>7</v>
      </c>
      <c r="AL23" s="2">
        <v>79</v>
      </c>
      <c r="AM23" s="6" t="str">
        <f t="shared" si="19"/>
        <v>B+</v>
      </c>
      <c r="AN23" s="1">
        <f t="shared" si="20"/>
        <v>3.5</v>
      </c>
      <c r="AO23" s="2">
        <v>2</v>
      </c>
      <c r="AP23" s="2">
        <f t="shared" si="21"/>
        <v>7</v>
      </c>
      <c r="AQ23" s="2">
        <v>74</v>
      </c>
      <c r="AR23" s="6" t="str">
        <f t="shared" si="22"/>
        <v>B</v>
      </c>
      <c r="AS23" s="1">
        <f t="shared" si="23"/>
        <v>3</v>
      </c>
      <c r="AT23" s="2">
        <v>2</v>
      </c>
      <c r="AU23" s="2">
        <f t="shared" si="24"/>
        <v>6</v>
      </c>
      <c r="AV23" s="5">
        <v>79.5</v>
      </c>
      <c r="AW23" s="6" t="str">
        <f t="shared" si="25"/>
        <v>B+</v>
      </c>
      <c r="AX23" s="1">
        <f t="shared" si="26"/>
        <v>3.5</v>
      </c>
      <c r="AY23" s="5">
        <v>3</v>
      </c>
      <c r="AZ23" s="3">
        <f t="shared" si="27"/>
        <v>10.5</v>
      </c>
      <c r="BA23" s="5">
        <v>76.25</v>
      </c>
      <c r="BB23" s="6" t="str">
        <f t="shared" si="28"/>
        <v>B+</v>
      </c>
      <c r="BC23" s="1">
        <f t="shared" si="29"/>
        <v>3.5</v>
      </c>
      <c r="BD23" s="5">
        <v>2</v>
      </c>
      <c r="BE23" s="2">
        <f t="shared" si="30"/>
        <v>7</v>
      </c>
      <c r="BF23" s="5">
        <v>81</v>
      </c>
      <c r="BG23" s="6" t="str">
        <f t="shared" si="31"/>
        <v>A</v>
      </c>
      <c r="BH23" s="1">
        <f t="shared" si="32"/>
        <v>4</v>
      </c>
      <c r="BI23" s="5">
        <v>2</v>
      </c>
      <c r="BJ23" s="2">
        <f t="shared" si="33"/>
        <v>8</v>
      </c>
      <c r="BK23" s="5">
        <v>78.13</v>
      </c>
      <c r="BL23" s="6" t="str">
        <f t="shared" si="34"/>
        <v>B+</v>
      </c>
      <c r="BM23" s="1">
        <f t="shared" si="35"/>
        <v>3.5</v>
      </c>
      <c r="BN23" s="5">
        <v>2</v>
      </c>
      <c r="BO23" s="2">
        <f t="shared" si="36"/>
        <v>7</v>
      </c>
      <c r="BP23" s="5">
        <v>79</v>
      </c>
      <c r="BQ23" s="6" t="str">
        <f t="shared" si="37"/>
        <v>B+</v>
      </c>
      <c r="BR23" s="1">
        <f t="shared" si="38"/>
        <v>3.5</v>
      </c>
      <c r="BS23" s="5">
        <v>2</v>
      </c>
      <c r="BT23" s="2">
        <f t="shared" si="39"/>
        <v>7</v>
      </c>
      <c r="BU23" s="5">
        <v>83</v>
      </c>
      <c r="BV23" s="6" t="str">
        <f t="shared" si="40"/>
        <v>A</v>
      </c>
      <c r="BW23" s="1">
        <f t="shared" si="41"/>
        <v>4</v>
      </c>
      <c r="BX23" s="5">
        <v>2</v>
      </c>
      <c r="BY23" s="2">
        <f t="shared" si="42"/>
        <v>8</v>
      </c>
      <c r="BZ23" s="5">
        <v>76.900000000000006</v>
      </c>
      <c r="CA23" s="6" t="str">
        <f t="shared" si="43"/>
        <v>B+</v>
      </c>
      <c r="CB23" s="1">
        <f t="shared" si="44"/>
        <v>3.5</v>
      </c>
      <c r="CC23" s="5">
        <v>2</v>
      </c>
      <c r="CD23" s="2">
        <f t="shared" si="45"/>
        <v>7</v>
      </c>
      <c r="CE23" s="2">
        <v>87</v>
      </c>
      <c r="CF23" s="6" t="str">
        <f t="shared" si="46"/>
        <v>A</v>
      </c>
      <c r="CG23" s="1">
        <f t="shared" si="47"/>
        <v>4</v>
      </c>
      <c r="CH23" s="5">
        <v>2</v>
      </c>
      <c r="CI23" s="2">
        <f t="shared" si="48"/>
        <v>8</v>
      </c>
      <c r="CJ23" s="2">
        <v>67.33</v>
      </c>
      <c r="CK23" s="6" t="str">
        <f t="shared" si="49"/>
        <v>C+</v>
      </c>
      <c r="CL23" s="1">
        <f t="shared" si="50"/>
        <v>2.5</v>
      </c>
      <c r="CM23" s="2">
        <v>2</v>
      </c>
      <c r="CN23" s="2">
        <f t="shared" si="51"/>
        <v>5</v>
      </c>
      <c r="CO23" s="2">
        <v>75.2</v>
      </c>
      <c r="CP23" s="6" t="str">
        <f t="shared" si="52"/>
        <v>B+</v>
      </c>
      <c r="CQ23" s="1">
        <f t="shared" si="53"/>
        <v>3.5</v>
      </c>
      <c r="CR23" s="2">
        <v>2</v>
      </c>
      <c r="CS23" s="2">
        <f t="shared" si="54"/>
        <v>7</v>
      </c>
      <c r="CT23" s="2">
        <v>73.3</v>
      </c>
      <c r="CU23" s="6" t="str">
        <f t="shared" si="55"/>
        <v>B</v>
      </c>
      <c r="CV23" s="1">
        <f t="shared" si="56"/>
        <v>3</v>
      </c>
      <c r="CW23" s="2">
        <v>2</v>
      </c>
      <c r="CX23" s="2">
        <f t="shared" si="57"/>
        <v>6</v>
      </c>
      <c r="CY23" s="5">
        <v>77</v>
      </c>
      <c r="CZ23" s="6" t="str">
        <f t="shared" si="58"/>
        <v>B+</v>
      </c>
      <c r="DA23" s="1">
        <f t="shared" si="59"/>
        <v>3.5</v>
      </c>
      <c r="DB23" s="5">
        <v>2</v>
      </c>
      <c r="DC23" s="3">
        <f t="shared" si="60"/>
        <v>7</v>
      </c>
      <c r="DD23" s="5">
        <v>73.5</v>
      </c>
      <c r="DE23" s="6" t="str">
        <f t="shared" si="61"/>
        <v>B</v>
      </c>
      <c r="DF23" s="1">
        <f t="shared" si="62"/>
        <v>3</v>
      </c>
      <c r="DG23" s="5">
        <v>2</v>
      </c>
      <c r="DH23" s="2">
        <f t="shared" si="63"/>
        <v>6</v>
      </c>
      <c r="DI23" s="5"/>
      <c r="DJ23" s="6" t="str">
        <f t="shared" si="64"/>
        <v>E</v>
      </c>
      <c r="DK23" s="1">
        <f t="shared" si="65"/>
        <v>0</v>
      </c>
      <c r="DL23" s="5">
        <v>4</v>
      </c>
      <c r="DM23" s="2">
        <f t="shared" si="66"/>
        <v>0</v>
      </c>
      <c r="DN23" s="30">
        <f t="shared" si="0"/>
        <v>84</v>
      </c>
      <c r="DO23" s="31">
        <f t="shared" si="67"/>
        <v>24</v>
      </c>
      <c r="DP23" s="5">
        <f t="shared" si="68"/>
        <v>68</v>
      </c>
      <c r="DQ23" s="5">
        <f t="shared" si="69"/>
        <v>24</v>
      </c>
      <c r="DR23" s="5">
        <f t="shared" si="70"/>
        <v>152</v>
      </c>
      <c r="DS23" s="5">
        <f t="shared" si="71"/>
        <v>48</v>
      </c>
      <c r="DT23" s="5">
        <v>2.8333333333333335</v>
      </c>
      <c r="DU23" s="5">
        <f t="shared" si="72"/>
        <v>3.1666666666666665</v>
      </c>
      <c r="DV23" s="10" t="str">
        <f t="shared" si="73"/>
        <v>Sangat Memuaskan</v>
      </c>
      <c r="DW23" s="17" t="str">
        <f t="shared" si="74"/>
        <v>Highly Satisfactory</v>
      </c>
      <c r="DX23" s="17" t="s">
        <v>176</v>
      </c>
    </row>
    <row r="24" spans="1:128" x14ac:dyDescent="0.25">
      <c r="A24" s="10">
        <v>22</v>
      </c>
      <c r="B24" s="15" t="s">
        <v>41</v>
      </c>
      <c r="C24" s="15">
        <v>182412022</v>
      </c>
      <c r="D24" s="15"/>
      <c r="E24" s="7"/>
      <c r="F24" s="15"/>
      <c r="G24" s="15"/>
      <c r="H24" s="5">
        <v>71</v>
      </c>
      <c r="I24" s="6" t="str">
        <f t="shared" si="1"/>
        <v>B</v>
      </c>
      <c r="J24" s="1">
        <f t="shared" si="2"/>
        <v>3</v>
      </c>
      <c r="K24" s="5">
        <v>2</v>
      </c>
      <c r="L24" s="2">
        <f t="shared" si="3"/>
        <v>6</v>
      </c>
      <c r="M24" s="5">
        <v>78</v>
      </c>
      <c r="N24" s="6" t="str">
        <f t="shared" si="4"/>
        <v>B+</v>
      </c>
      <c r="O24" s="1">
        <f t="shared" si="5"/>
        <v>3.5</v>
      </c>
      <c r="P24" s="5">
        <v>2</v>
      </c>
      <c r="Q24" s="2">
        <f t="shared" si="6"/>
        <v>7</v>
      </c>
      <c r="R24" s="5">
        <v>79</v>
      </c>
      <c r="S24" s="6" t="str">
        <f t="shared" si="7"/>
        <v>B+</v>
      </c>
      <c r="T24" s="1">
        <f t="shared" si="8"/>
        <v>3.5</v>
      </c>
      <c r="U24" s="5">
        <v>2</v>
      </c>
      <c r="V24" s="2">
        <f t="shared" si="9"/>
        <v>7</v>
      </c>
      <c r="W24" s="5">
        <v>78</v>
      </c>
      <c r="X24" s="6" t="str">
        <f t="shared" si="10"/>
        <v>B+</v>
      </c>
      <c r="Y24" s="1">
        <f t="shared" si="11"/>
        <v>3.5</v>
      </c>
      <c r="Z24" s="5">
        <v>3</v>
      </c>
      <c r="AA24" s="2">
        <f t="shared" si="12"/>
        <v>10.5</v>
      </c>
      <c r="AB24" s="2">
        <v>70.8</v>
      </c>
      <c r="AC24" s="6" t="str">
        <f t="shared" si="13"/>
        <v>B</v>
      </c>
      <c r="AD24" s="1">
        <f t="shared" si="14"/>
        <v>3</v>
      </c>
      <c r="AE24" s="2">
        <v>2</v>
      </c>
      <c r="AF24" s="2">
        <f t="shared" si="15"/>
        <v>6</v>
      </c>
      <c r="AG24" s="2">
        <v>78</v>
      </c>
      <c r="AH24" s="6" t="str">
        <f t="shared" si="16"/>
        <v>B+</v>
      </c>
      <c r="AI24" s="1">
        <f t="shared" si="17"/>
        <v>3.5</v>
      </c>
      <c r="AJ24" s="2">
        <v>2</v>
      </c>
      <c r="AK24" s="2">
        <f t="shared" si="18"/>
        <v>7</v>
      </c>
      <c r="AL24" s="2">
        <v>82</v>
      </c>
      <c r="AM24" s="6" t="str">
        <f t="shared" si="19"/>
        <v>A</v>
      </c>
      <c r="AN24" s="1">
        <f t="shared" si="20"/>
        <v>4</v>
      </c>
      <c r="AO24" s="2">
        <v>2</v>
      </c>
      <c r="AP24" s="2">
        <f t="shared" si="21"/>
        <v>8</v>
      </c>
      <c r="AQ24" s="2">
        <v>74</v>
      </c>
      <c r="AR24" s="6" t="str">
        <f t="shared" si="22"/>
        <v>B</v>
      </c>
      <c r="AS24" s="1">
        <f t="shared" si="23"/>
        <v>3</v>
      </c>
      <c r="AT24" s="2">
        <v>2</v>
      </c>
      <c r="AU24" s="2">
        <f t="shared" si="24"/>
        <v>6</v>
      </c>
      <c r="AV24" s="5">
        <v>78</v>
      </c>
      <c r="AW24" s="6" t="str">
        <f t="shared" si="25"/>
        <v>B+</v>
      </c>
      <c r="AX24" s="1">
        <f t="shared" si="26"/>
        <v>3.5</v>
      </c>
      <c r="AY24" s="5">
        <v>3</v>
      </c>
      <c r="AZ24" s="3">
        <f t="shared" si="27"/>
        <v>10.5</v>
      </c>
      <c r="BA24" s="5">
        <v>76.25</v>
      </c>
      <c r="BB24" s="6" t="str">
        <f t="shared" si="28"/>
        <v>B+</v>
      </c>
      <c r="BC24" s="1">
        <f t="shared" si="29"/>
        <v>3.5</v>
      </c>
      <c r="BD24" s="5">
        <v>2</v>
      </c>
      <c r="BE24" s="2">
        <f t="shared" si="30"/>
        <v>7</v>
      </c>
      <c r="BF24" s="5">
        <v>82</v>
      </c>
      <c r="BG24" s="6" t="str">
        <f t="shared" si="31"/>
        <v>A</v>
      </c>
      <c r="BH24" s="1">
        <f t="shared" si="32"/>
        <v>4</v>
      </c>
      <c r="BI24" s="5">
        <v>2</v>
      </c>
      <c r="BJ24" s="2">
        <f t="shared" si="33"/>
        <v>8</v>
      </c>
      <c r="BK24" s="5">
        <v>77.08</v>
      </c>
      <c r="BL24" s="6" t="str">
        <f t="shared" si="34"/>
        <v>B+</v>
      </c>
      <c r="BM24" s="1">
        <f t="shared" si="35"/>
        <v>3.5</v>
      </c>
      <c r="BN24" s="5">
        <v>2</v>
      </c>
      <c r="BO24" s="2">
        <f t="shared" si="36"/>
        <v>7</v>
      </c>
      <c r="BP24" s="5">
        <v>78.8</v>
      </c>
      <c r="BQ24" s="6" t="str">
        <f t="shared" si="37"/>
        <v>B+</v>
      </c>
      <c r="BR24" s="1">
        <f t="shared" si="38"/>
        <v>3.5</v>
      </c>
      <c r="BS24" s="5">
        <v>2</v>
      </c>
      <c r="BT24" s="2">
        <f t="shared" si="39"/>
        <v>7</v>
      </c>
      <c r="BU24" s="5">
        <v>85</v>
      </c>
      <c r="BV24" s="6" t="str">
        <f t="shared" si="40"/>
        <v>A</v>
      </c>
      <c r="BW24" s="1">
        <f t="shared" si="41"/>
        <v>4</v>
      </c>
      <c r="BX24" s="5">
        <v>2</v>
      </c>
      <c r="BY24" s="2">
        <f t="shared" si="42"/>
        <v>8</v>
      </c>
      <c r="BZ24" s="5">
        <v>77</v>
      </c>
      <c r="CA24" s="6" t="str">
        <f t="shared" si="43"/>
        <v>B+</v>
      </c>
      <c r="CB24" s="1">
        <f t="shared" si="44"/>
        <v>3.5</v>
      </c>
      <c r="CC24" s="5">
        <v>2</v>
      </c>
      <c r="CD24" s="2">
        <f t="shared" si="45"/>
        <v>7</v>
      </c>
      <c r="CE24" s="2">
        <v>86</v>
      </c>
      <c r="CF24" s="6" t="str">
        <f t="shared" si="46"/>
        <v>A</v>
      </c>
      <c r="CG24" s="1">
        <f t="shared" si="47"/>
        <v>4</v>
      </c>
      <c r="CH24" s="5">
        <v>2</v>
      </c>
      <c r="CI24" s="2">
        <f t="shared" si="48"/>
        <v>8</v>
      </c>
      <c r="CJ24" s="2">
        <v>72.33</v>
      </c>
      <c r="CK24" s="6" t="str">
        <f t="shared" si="49"/>
        <v>B</v>
      </c>
      <c r="CL24" s="1">
        <f t="shared" si="50"/>
        <v>3</v>
      </c>
      <c r="CM24" s="2">
        <v>2</v>
      </c>
      <c r="CN24" s="2">
        <f t="shared" si="51"/>
        <v>6</v>
      </c>
      <c r="CO24" s="2">
        <v>77.2</v>
      </c>
      <c r="CP24" s="6" t="str">
        <f t="shared" si="52"/>
        <v>B+</v>
      </c>
      <c r="CQ24" s="1">
        <f t="shared" si="53"/>
        <v>3.5</v>
      </c>
      <c r="CR24" s="2">
        <v>2</v>
      </c>
      <c r="CS24" s="2">
        <f t="shared" si="54"/>
        <v>7</v>
      </c>
      <c r="CT24" s="2">
        <v>84</v>
      </c>
      <c r="CU24" s="6" t="str">
        <f t="shared" si="55"/>
        <v>A</v>
      </c>
      <c r="CV24" s="1">
        <f t="shared" si="56"/>
        <v>4</v>
      </c>
      <c r="CW24" s="2">
        <v>2</v>
      </c>
      <c r="CX24" s="2">
        <f t="shared" si="57"/>
        <v>8</v>
      </c>
      <c r="CY24" s="5">
        <v>69</v>
      </c>
      <c r="CZ24" s="6" t="str">
        <f t="shared" si="58"/>
        <v>C+</v>
      </c>
      <c r="DA24" s="1">
        <f t="shared" si="59"/>
        <v>2.5</v>
      </c>
      <c r="DB24" s="5">
        <v>2</v>
      </c>
      <c r="DC24" s="3">
        <f t="shared" si="60"/>
        <v>5</v>
      </c>
      <c r="DD24" s="5">
        <v>73.5</v>
      </c>
      <c r="DE24" s="6" t="str">
        <f t="shared" si="61"/>
        <v>B</v>
      </c>
      <c r="DF24" s="1">
        <f t="shared" si="62"/>
        <v>3</v>
      </c>
      <c r="DG24" s="5">
        <v>2</v>
      </c>
      <c r="DH24" s="2">
        <f t="shared" si="63"/>
        <v>6</v>
      </c>
      <c r="DI24" s="5">
        <v>79.7</v>
      </c>
      <c r="DJ24" s="6" t="str">
        <f t="shared" si="64"/>
        <v>B+</v>
      </c>
      <c r="DK24" s="1">
        <f t="shared" si="65"/>
        <v>3.5</v>
      </c>
      <c r="DL24" s="5">
        <v>4</v>
      </c>
      <c r="DM24" s="2">
        <f t="shared" si="66"/>
        <v>14</v>
      </c>
      <c r="DN24" s="30">
        <f>L24+Q24+V24+AA24+AF24+AK24+AP24+AU24+AZ24+BE24+BJ24</f>
        <v>83</v>
      </c>
      <c r="DO24" s="31">
        <f t="shared" si="67"/>
        <v>24</v>
      </c>
      <c r="DP24" s="5">
        <f t="shared" si="68"/>
        <v>83</v>
      </c>
      <c r="DQ24" s="5">
        <f t="shared" si="69"/>
        <v>24</v>
      </c>
      <c r="DR24" s="5">
        <f t="shared" si="70"/>
        <v>166</v>
      </c>
      <c r="DS24" s="5">
        <f t="shared" si="71"/>
        <v>48</v>
      </c>
      <c r="DT24" s="5">
        <v>3.4583333333333335</v>
      </c>
      <c r="DU24" s="5">
        <f t="shared" si="72"/>
        <v>3.4583333333333335</v>
      </c>
      <c r="DV24" s="10" t="str">
        <f t="shared" si="73"/>
        <v>Sangat Memuaskan</v>
      </c>
      <c r="DW24" s="17" t="str">
        <f t="shared" si="74"/>
        <v>Highly Satisfactory</v>
      </c>
      <c r="DX24" s="17" t="s">
        <v>177</v>
      </c>
    </row>
    <row r="25" spans="1:128" x14ac:dyDescent="0.2">
      <c r="A25" s="10">
        <v>23</v>
      </c>
      <c r="B25" s="15" t="s">
        <v>42</v>
      </c>
      <c r="C25" s="15">
        <v>182412023</v>
      </c>
      <c r="D25" s="16" t="s">
        <v>123</v>
      </c>
      <c r="E25" s="7" t="s">
        <v>124</v>
      </c>
      <c r="F25" s="15" t="s">
        <v>149</v>
      </c>
      <c r="G25" s="15"/>
      <c r="H25" s="5">
        <v>75.75</v>
      </c>
      <c r="I25" s="6" t="str">
        <f t="shared" si="1"/>
        <v>B+</v>
      </c>
      <c r="J25" s="1">
        <f t="shared" si="2"/>
        <v>3.5</v>
      </c>
      <c r="K25" s="5">
        <v>2</v>
      </c>
      <c r="L25" s="2">
        <f t="shared" si="3"/>
        <v>7</v>
      </c>
      <c r="M25" s="5">
        <v>76</v>
      </c>
      <c r="N25" s="6" t="str">
        <f t="shared" si="4"/>
        <v>B+</v>
      </c>
      <c r="O25" s="1">
        <f t="shared" si="5"/>
        <v>3.5</v>
      </c>
      <c r="P25" s="5">
        <v>2</v>
      </c>
      <c r="Q25" s="2">
        <f t="shared" si="6"/>
        <v>7</v>
      </c>
      <c r="R25" s="5">
        <v>80</v>
      </c>
      <c r="S25" s="6" t="str">
        <f t="shared" si="7"/>
        <v>A</v>
      </c>
      <c r="T25" s="1">
        <f t="shared" si="8"/>
        <v>4</v>
      </c>
      <c r="U25" s="5">
        <v>2</v>
      </c>
      <c r="V25" s="2">
        <f t="shared" si="9"/>
        <v>8</v>
      </c>
      <c r="W25" s="5">
        <v>78</v>
      </c>
      <c r="X25" s="6" t="str">
        <f t="shared" si="10"/>
        <v>B+</v>
      </c>
      <c r="Y25" s="1">
        <f t="shared" si="11"/>
        <v>3.5</v>
      </c>
      <c r="Z25" s="5">
        <v>3</v>
      </c>
      <c r="AA25" s="2">
        <f t="shared" si="12"/>
        <v>10.5</v>
      </c>
      <c r="AB25" s="2">
        <v>84.8</v>
      </c>
      <c r="AC25" s="6" t="str">
        <f t="shared" si="13"/>
        <v>A</v>
      </c>
      <c r="AD25" s="1">
        <f t="shared" si="14"/>
        <v>4</v>
      </c>
      <c r="AE25" s="2">
        <v>2</v>
      </c>
      <c r="AF25" s="2">
        <f t="shared" si="15"/>
        <v>8</v>
      </c>
      <c r="AG25" s="2">
        <v>78</v>
      </c>
      <c r="AH25" s="6" t="str">
        <f t="shared" si="16"/>
        <v>B+</v>
      </c>
      <c r="AI25" s="1">
        <f t="shared" si="17"/>
        <v>3.5</v>
      </c>
      <c r="AJ25" s="2">
        <v>2</v>
      </c>
      <c r="AK25" s="2">
        <f t="shared" si="18"/>
        <v>7</v>
      </c>
      <c r="AL25" s="2">
        <v>77</v>
      </c>
      <c r="AM25" s="6" t="str">
        <f t="shared" si="19"/>
        <v>B+</v>
      </c>
      <c r="AN25" s="1">
        <f t="shared" si="20"/>
        <v>3.5</v>
      </c>
      <c r="AO25" s="2">
        <v>2</v>
      </c>
      <c r="AP25" s="2">
        <f t="shared" si="21"/>
        <v>7</v>
      </c>
      <c r="AQ25" s="2">
        <v>74</v>
      </c>
      <c r="AR25" s="6" t="str">
        <f t="shared" si="22"/>
        <v>B</v>
      </c>
      <c r="AS25" s="1">
        <f t="shared" si="23"/>
        <v>3</v>
      </c>
      <c r="AT25" s="2">
        <v>2</v>
      </c>
      <c r="AU25" s="2">
        <f t="shared" si="24"/>
        <v>6</v>
      </c>
      <c r="AV25" s="5">
        <v>78</v>
      </c>
      <c r="AW25" s="6" t="str">
        <f t="shared" si="25"/>
        <v>B+</v>
      </c>
      <c r="AX25" s="1">
        <f t="shared" si="26"/>
        <v>3.5</v>
      </c>
      <c r="AY25" s="5">
        <v>3</v>
      </c>
      <c r="AZ25" s="3">
        <f t="shared" si="27"/>
        <v>10.5</v>
      </c>
      <c r="BA25" s="5">
        <v>76.25</v>
      </c>
      <c r="BB25" s="6" t="str">
        <f t="shared" si="28"/>
        <v>B+</v>
      </c>
      <c r="BC25" s="1">
        <f t="shared" si="29"/>
        <v>3.5</v>
      </c>
      <c r="BD25" s="5">
        <v>2</v>
      </c>
      <c r="BE25" s="2">
        <f t="shared" si="30"/>
        <v>7</v>
      </c>
      <c r="BF25" s="5">
        <v>77</v>
      </c>
      <c r="BG25" s="6" t="str">
        <f t="shared" si="31"/>
        <v>B+</v>
      </c>
      <c r="BH25" s="1">
        <f t="shared" si="32"/>
        <v>3.5</v>
      </c>
      <c r="BI25" s="5">
        <v>2</v>
      </c>
      <c r="BJ25" s="2">
        <f t="shared" si="33"/>
        <v>7</v>
      </c>
      <c r="BK25" s="5">
        <v>76.67</v>
      </c>
      <c r="BL25" s="6" t="str">
        <f t="shared" si="34"/>
        <v>B+</v>
      </c>
      <c r="BM25" s="1">
        <f t="shared" si="35"/>
        <v>3.5</v>
      </c>
      <c r="BN25" s="5">
        <v>2</v>
      </c>
      <c r="BO25" s="2">
        <f t="shared" si="36"/>
        <v>7</v>
      </c>
      <c r="BP25" s="5">
        <v>80.8</v>
      </c>
      <c r="BQ25" s="6" t="str">
        <f t="shared" si="37"/>
        <v>A</v>
      </c>
      <c r="BR25" s="1">
        <f t="shared" si="38"/>
        <v>4</v>
      </c>
      <c r="BS25" s="5">
        <v>2</v>
      </c>
      <c r="BT25" s="2">
        <f t="shared" si="39"/>
        <v>8</v>
      </c>
      <c r="BU25" s="5">
        <v>86</v>
      </c>
      <c r="BV25" s="6" t="str">
        <f t="shared" si="40"/>
        <v>A</v>
      </c>
      <c r="BW25" s="1">
        <f t="shared" si="41"/>
        <v>4</v>
      </c>
      <c r="BX25" s="5">
        <v>2</v>
      </c>
      <c r="BY25" s="2">
        <f t="shared" si="42"/>
        <v>8</v>
      </c>
      <c r="BZ25" s="5">
        <v>78.8</v>
      </c>
      <c r="CA25" s="6" t="str">
        <f t="shared" si="43"/>
        <v>B+</v>
      </c>
      <c r="CB25" s="1">
        <f t="shared" si="44"/>
        <v>3.5</v>
      </c>
      <c r="CC25" s="5">
        <v>2</v>
      </c>
      <c r="CD25" s="2">
        <f t="shared" si="45"/>
        <v>7</v>
      </c>
      <c r="CE25" s="2">
        <v>85</v>
      </c>
      <c r="CF25" s="6" t="str">
        <f t="shared" si="46"/>
        <v>A</v>
      </c>
      <c r="CG25" s="1">
        <f t="shared" si="47"/>
        <v>4</v>
      </c>
      <c r="CH25" s="5">
        <v>2</v>
      </c>
      <c r="CI25" s="2">
        <f t="shared" si="48"/>
        <v>8</v>
      </c>
      <c r="CJ25" s="2">
        <v>72.930000000000007</v>
      </c>
      <c r="CK25" s="6" t="str">
        <f t="shared" si="49"/>
        <v>B</v>
      </c>
      <c r="CL25" s="1">
        <f t="shared" si="50"/>
        <v>3</v>
      </c>
      <c r="CM25" s="2">
        <v>2</v>
      </c>
      <c r="CN25" s="2">
        <f t="shared" si="51"/>
        <v>6</v>
      </c>
      <c r="CO25" s="2">
        <v>77</v>
      </c>
      <c r="CP25" s="6" t="str">
        <f t="shared" si="52"/>
        <v>B+</v>
      </c>
      <c r="CQ25" s="1">
        <f t="shared" si="53"/>
        <v>3.5</v>
      </c>
      <c r="CR25" s="2">
        <v>2</v>
      </c>
      <c r="CS25" s="2">
        <f t="shared" si="54"/>
        <v>7</v>
      </c>
      <c r="CT25" s="2">
        <v>82.8</v>
      </c>
      <c r="CU25" s="6" t="str">
        <f t="shared" si="55"/>
        <v>A</v>
      </c>
      <c r="CV25" s="1">
        <f t="shared" si="56"/>
        <v>4</v>
      </c>
      <c r="CW25" s="2">
        <v>2</v>
      </c>
      <c r="CX25" s="2">
        <f t="shared" si="57"/>
        <v>8</v>
      </c>
      <c r="CY25" s="5">
        <v>77</v>
      </c>
      <c r="CZ25" s="6" t="str">
        <f t="shared" si="58"/>
        <v>B+</v>
      </c>
      <c r="DA25" s="1">
        <f t="shared" si="59"/>
        <v>3.5</v>
      </c>
      <c r="DB25" s="5">
        <v>2</v>
      </c>
      <c r="DC25" s="3">
        <f t="shared" si="60"/>
        <v>7</v>
      </c>
      <c r="DD25" s="5">
        <v>74.900000000000006</v>
      </c>
      <c r="DE25" s="6" t="str">
        <f t="shared" si="61"/>
        <v>B</v>
      </c>
      <c r="DF25" s="1">
        <f t="shared" si="62"/>
        <v>3</v>
      </c>
      <c r="DG25" s="5">
        <v>2</v>
      </c>
      <c r="DH25" s="2">
        <f t="shared" si="63"/>
        <v>6</v>
      </c>
      <c r="DI25" s="5">
        <v>80</v>
      </c>
      <c r="DJ25" s="6" t="str">
        <f t="shared" si="64"/>
        <v>A</v>
      </c>
      <c r="DK25" s="1">
        <f t="shared" si="65"/>
        <v>4</v>
      </c>
      <c r="DL25" s="5">
        <v>4</v>
      </c>
      <c r="DM25" s="2">
        <f t="shared" si="66"/>
        <v>16</v>
      </c>
      <c r="DN25" s="30">
        <f t="shared" ref="DN25:DN54" si="75">L25+Q25+V25+AA25+AF25+AK25+AP25+AU25+AZ25+BE25+BJ25</f>
        <v>85</v>
      </c>
      <c r="DO25" s="31">
        <f t="shared" si="67"/>
        <v>24</v>
      </c>
      <c r="DP25" s="5">
        <f t="shared" si="68"/>
        <v>88</v>
      </c>
      <c r="DQ25" s="5">
        <f t="shared" si="69"/>
        <v>24</v>
      </c>
      <c r="DR25" s="5">
        <f t="shared" si="70"/>
        <v>173</v>
      </c>
      <c r="DS25" s="5">
        <f t="shared" si="71"/>
        <v>48</v>
      </c>
      <c r="DT25" s="5">
        <v>3.6666666666666665</v>
      </c>
      <c r="DU25" s="5">
        <f t="shared" si="72"/>
        <v>3.6041666666666665</v>
      </c>
      <c r="DV25" s="10" t="str">
        <f t="shared" si="73"/>
        <v>Cum Laude</v>
      </c>
      <c r="DW25" s="17" t="str">
        <f t="shared" si="74"/>
        <v>Excellent</v>
      </c>
      <c r="DX25" s="17" t="s">
        <v>160</v>
      </c>
    </row>
    <row r="26" spans="1:128" x14ac:dyDescent="0.25">
      <c r="A26" s="10">
        <v>24</v>
      </c>
      <c r="B26" s="18" t="s">
        <v>43</v>
      </c>
      <c r="C26" s="15">
        <v>182412025</v>
      </c>
      <c r="D26" s="15"/>
      <c r="E26" s="7"/>
      <c r="F26" s="15"/>
      <c r="G26" s="15"/>
      <c r="H26" s="5">
        <v>77.25</v>
      </c>
      <c r="I26" s="6" t="str">
        <f t="shared" si="1"/>
        <v>B+</v>
      </c>
      <c r="J26" s="1">
        <f t="shared" si="2"/>
        <v>3.5</v>
      </c>
      <c r="K26" s="5">
        <v>2</v>
      </c>
      <c r="L26" s="2">
        <f t="shared" si="3"/>
        <v>7</v>
      </c>
      <c r="M26" s="5">
        <v>80</v>
      </c>
      <c r="N26" s="6" t="str">
        <f t="shared" si="4"/>
        <v>A</v>
      </c>
      <c r="O26" s="1">
        <f t="shared" si="5"/>
        <v>4</v>
      </c>
      <c r="P26" s="5">
        <v>2</v>
      </c>
      <c r="Q26" s="2">
        <f t="shared" si="6"/>
        <v>8</v>
      </c>
      <c r="R26" s="5">
        <v>75.599999999999994</v>
      </c>
      <c r="S26" s="6" t="str">
        <f t="shared" si="7"/>
        <v>B+</v>
      </c>
      <c r="T26" s="1">
        <f t="shared" si="8"/>
        <v>3.5</v>
      </c>
      <c r="U26" s="5">
        <v>2</v>
      </c>
      <c r="V26" s="2">
        <f t="shared" si="9"/>
        <v>7</v>
      </c>
      <c r="W26" s="5">
        <v>78</v>
      </c>
      <c r="X26" s="6" t="str">
        <f t="shared" si="10"/>
        <v>B+</v>
      </c>
      <c r="Y26" s="1">
        <f t="shared" si="11"/>
        <v>3.5</v>
      </c>
      <c r="Z26" s="5">
        <v>3</v>
      </c>
      <c r="AA26" s="2">
        <f t="shared" si="12"/>
        <v>10.5</v>
      </c>
      <c r="AB26" s="2">
        <v>77</v>
      </c>
      <c r="AC26" s="6" t="str">
        <f t="shared" si="13"/>
        <v>B+</v>
      </c>
      <c r="AD26" s="1">
        <f t="shared" si="14"/>
        <v>3.5</v>
      </c>
      <c r="AE26" s="2">
        <v>2</v>
      </c>
      <c r="AF26" s="2">
        <f t="shared" si="15"/>
        <v>7</v>
      </c>
      <c r="AG26" s="2">
        <v>78</v>
      </c>
      <c r="AH26" s="6" t="str">
        <f t="shared" si="16"/>
        <v>B+</v>
      </c>
      <c r="AI26" s="1">
        <f t="shared" si="17"/>
        <v>3.5</v>
      </c>
      <c r="AJ26" s="2">
        <v>2</v>
      </c>
      <c r="AK26" s="2">
        <f t="shared" si="18"/>
        <v>7</v>
      </c>
      <c r="AL26" s="2">
        <v>78</v>
      </c>
      <c r="AM26" s="6" t="str">
        <f t="shared" si="19"/>
        <v>B+</v>
      </c>
      <c r="AN26" s="1">
        <f t="shared" si="20"/>
        <v>3.5</v>
      </c>
      <c r="AO26" s="2">
        <v>2</v>
      </c>
      <c r="AP26" s="2">
        <f t="shared" si="21"/>
        <v>7</v>
      </c>
      <c r="AQ26" s="2">
        <v>74</v>
      </c>
      <c r="AR26" s="6" t="str">
        <f t="shared" si="22"/>
        <v>B</v>
      </c>
      <c r="AS26" s="1">
        <f t="shared" si="23"/>
        <v>3</v>
      </c>
      <c r="AT26" s="2">
        <v>2</v>
      </c>
      <c r="AU26" s="2">
        <f t="shared" si="24"/>
        <v>6</v>
      </c>
      <c r="AV26" s="5">
        <v>78</v>
      </c>
      <c r="AW26" s="6" t="str">
        <f t="shared" si="25"/>
        <v>B+</v>
      </c>
      <c r="AX26" s="1">
        <f t="shared" si="26"/>
        <v>3.5</v>
      </c>
      <c r="AY26" s="5">
        <v>3</v>
      </c>
      <c r="AZ26" s="3">
        <f t="shared" si="27"/>
        <v>10.5</v>
      </c>
      <c r="BA26" s="5">
        <v>80</v>
      </c>
      <c r="BB26" s="6" t="str">
        <f t="shared" si="28"/>
        <v>A</v>
      </c>
      <c r="BC26" s="1">
        <f t="shared" si="29"/>
        <v>4</v>
      </c>
      <c r="BD26" s="5">
        <v>2</v>
      </c>
      <c r="BE26" s="2">
        <f t="shared" si="30"/>
        <v>8</v>
      </c>
      <c r="BF26" s="5">
        <v>78</v>
      </c>
      <c r="BG26" s="6" t="str">
        <f t="shared" si="31"/>
        <v>B+</v>
      </c>
      <c r="BH26" s="1">
        <f t="shared" si="32"/>
        <v>3.5</v>
      </c>
      <c r="BI26" s="5">
        <v>2</v>
      </c>
      <c r="BJ26" s="2">
        <f t="shared" si="33"/>
        <v>7</v>
      </c>
      <c r="BK26" s="5">
        <v>77.08</v>
      </c>
      <c r="BL26" s="6" t="str">
        <f t="shared" si="34"/>
        <v>B+</v>
      </c>
      <c r="BM26" s="1">
        <f t="shared" si="35"/>
        <v>3.5</v>
      </c>
      <c r="BN26" s="5">
        <v>2</v>
      </c>
      <c r="BO26" s="2">
        <f t="shared" si="36"/>
        <v>7</v>
      </c>
      <c r="BP26" s="5">
        <v>79.3</v>
      </c>
      <c r="BQ26" s="6" t="str">
        <f t="shared" si="37"/>
        <v>B+</v>
      </c>
      <c r="BR26" s="1">
        <f t="shared" si="38"/>
        <v>3.5</v>
      </c>
      <c r="BS26" s="5">
        <v>2</v>
      </c>
      <c r="BT26" s="2">
        <f t="shared" si="39"/>
        <v>7</v>
      </c>
      <c r="BU26" s="5">
        <v>84</v>
      </c>
      <c r="BV26" s="6" t="str">
        <f t="shared" si="40"/>
        <v>A</v>
      </c>
      <c r="BW26" s="1">
        <f t="shared" si="41"/>
        <v>4</v>
      </c>
      <c r="BX26" s="5">
        <v>2</v>
      </c>
      <c r="BY26" s="2">
        <f t="shared" si="42"/>
        <v>8</v>
      </c>
      <c r="BZ26" s="5">
        <v>77.2</v>
      </c>
      <c r="CA26" s="6" t="str">
        <f t="shared" si="43"/>
        <v>B+</v>
      </c>
      <c r="CB26" s="1">
        <f t="shared" si="44"/>
        <v>3.5</v>
      </c>
      <c r="CC26" s="5">
        <v>2</v>
      </c>
      <c r="CD26" s="2">
        <f t="shared" si="45"/>
        <v>7</v>
      </c>
      <c r="CE26" s="2">
        <v>86</v>
      </c>
      <c r="CF26" s="6" t="str">
        <f t="shared" si="46"/>
        <v>A</v>
      </c>
      <c r="CG26" s="1">
        <f t="shared" si="47"/>
        <v>4</v>
      </c>
      <c r="CH26" s="5">
        <v>2</v>
      </c>
      <c r="CI26" s="2">
        <f t="shared" si="48"/>
        <v>8</v>
      </c>
      <c r="CJ26" s="2">
        <v>69.930000000000007</v>
      </c>
      <c r="CK26" s="6" t="str">
        <f t="shared" si="49"/>
        <v>C+</v>
      </c>
      <c r="CL26" s="1">
        <f t="shared" si="50"/>
        <v>2.5</v>
      </c>
      <c r="CM26" s="2">
        <v>2</v>
      </c>
      <c r="CN26" s="2">
        <f t="shared" si="51"/>
        <v>5</v>
      </c>
      <c r="CO26" s="2">
        <v>78.2</v>
      </c>
      <c r="CP26" s="6" t="str">
        <f t="shared" si="52"/>
        <v>B+</v>
      </c>
      <c r="CQ26" s="1">
        <f t="shared" si="53"/>
        <v>3.5</v>
      </c>
      <c r="CR26" s="2">
        <v>2</v>
      </c>
      <c r="CS26" s="2">
        <f t="shared" si="54"/>
        <v>7</v>
      </c>
      <c r="CT26" s="2">
        <v>73</v>
      </c>
      <c r="CU26" s="6" t="str">
        <f t="shared" si="55"/>
        <v>B</v>
      </c>
      <c r="CV26" s="1">
        <f t="shared" si="56"/>
        <v>3</v>
      </c>
      <c r="CW26" s="2">
        <v>2</v>
      </c>
      <c r="CX26" s="2">
        <f t="shared" si="57"/>
        <v>6</v>
      </c>
      <c r="CY26" s="5">
        <v>79</v>
      </c>
      <c r="CZ26" s="6" t="str">
        <f t="shared" si="58"/>
        <v>B+</v>
      </c>
      <c r="DA26" s="1">
        <f t="shared" si="59"/>
        <v>3.5</v>
      </c>
      <c r="DB26" s="5">
        <v>2</v>
      </c>
      <c r="DC26" s="3">
        <f t="shared" si="60"/>
        <v>7</v>
      </c>
      <c r="DD26" s="5">
        <v>75</v>
      </c>
      <c r="DE26" s="6" t="str">
        <f t="shared" si="61"/>
        <v>B+</v>
      </c>
      <c r="DF26" s="1">
        <f t="shared" si="62"/>
        <v>3.5</v>
      </c>
      <c r="DG26" s="5">
        <v>2</v>
      </c>
      <c r="DH26" s="2">
        <f t="shared" si="63"/>
        <v>7</v>
      </c>
      <c r="DI26" s="5"/>
      <c r="DJ26" s="6" t="str">
        <f t="shared" si="64"/>
        <v>E</v>
      </c>
      <c r="DK26" s="1">
        <f t="shared" si="65"/>
        <v>0</v>
      </c>
      <c r="DL26" s="5">
        <v>4</v>
      </c>
      <c r="DM26" s="2">
        <f t="shared" si="66"/>
        <v>0</v>
      </c>
      <c r="DN26" s="30">
        <f t="shared" si="75"/>
        <v>85</v>
      </c>
      <c r="DO26" s="31">
        <f t="shared" si="67"/>
        <v>24</v>
      </c>
      <c r="DP26" s="5">
        <f t="shared" si="68"/>
        <v>69</v>
      </c>
      <c r="DQ26" s="5">
        <f t="shared" si="69"/>
        <v>24</v>
      </c>
      <c r="DR26" s="5">
        <f t="shared" si="70"/>
        <v>154</v>
      </c>
      <c r="DS26" s="5">
        <f t="shared" si="71"/>
        <v>48</v>
      </c>
      <c r="DT26" s="5">
        <v>2.875</v>
      </c>
      <c r="DU26" s="5">
        <f t="shared" si="72"/>
        <v>3.2083333333333335</v>
      </c>
      <c r="DV26" s="10" t="str">
        <f t="shared" si="73"/>
        <v>Sangat Memuaskan</v>
      </c>
      <c r="DW26" s="17" t="str">
        <f t="shared" si="74"/>
        <v>Highly Satisfactory</v>
      </c>
      <c r="DX26" s="17"/>
    </row>
    <row r="27" spans="1:128" x14ac:dyDescent="0.2">
      <c r="A27" s="10">
        <v>25</v>
      </c>
      <c r="B27" s="15" t="s">
        <v>44</v>
      </c>
      <c r="C27" s="15">
        <v>182412026</v>
      </c>
      <c r="D27" s="16" t="s">
        <v>125</v>
      </c>
      <c r="E27" s="7" t="s">
        <v>126</v>
      </c>
      <c r="F27" s="15" t="s">
        <v>149</v>
      </c>
      <c r="G27" s="15"/>
      <c r="H27" s="5">
        <v>74</v>
      </c>
      <c r="I27" s="6" t="str">
        <f t="shared" si="1"/>
        <v>B</v>
      </c>
      <c r="J27" s="1">
        <f t="shared" si="2"/>
        <v>3</v>
      </c>
      <c r="K27" s="5">
        <v>2</v>
      </c>
      <c r="L27" s="2">
        <f t="shared" si="3"/>
        <v>6</v>
      </c>
      <c r="M27" s="5">
        <v>79</v>
      </c>
      <c r="N27" s="6" t="str">
        <f t="shared" si="4"/>
        <v>B+</v>
      </c>
      <c r="O27" s="1">
        <f t="shared" si="5"/>
        <v>3.5</v>
      </c>
      <c r="P27" s="5">
        <v>2</v>
      </c>
      <c r="Q27" s="2">
        <f t="shared" si="6"/>
        <v>7</v>
      </c>
      <c r="R27" s="5">
        <v>72.2</v>
      </c>
      <c r="S27" s="6" t="str">
        <f t="shared" si="7"/>
        <v>B</v>
      </c>
      <c r="T27" s="1">
        <f t="shared" si="8"/>
        <v>3</v>
      </c>
      <c r="U27" s="5">
        <v>2</v>
      </c>
      <c r="V27" s="2">
        <f t="shared" si="9"/>
        <v>6</v>
      </c>
      <c r="W27" s="5">
        <v>76</v>
      </c>
      <c r="X27" s="6" t="str">
        <f t="shared" si="10"/>
        <v>B+</v>
      </c>
      <c r="Y27" s="1">
        <f t="shared" si="11"/>
        <v>3.5</v>
      </c>
      <c r="Z27" s="5">
        <v>3</v>
      </c>
      <c r="AA27" s="2">
        <f t="shared" si="12"/>
        <v>10.5</v>
      </c>
      <c r="AB27" s="2">
        <v>70.8</v>
      </c>
      <c r="AC27" s="6" t="str">
        <f t="shared" si="13"/>
        <v>B</v>
      </c>
      <c r="AD27" s="1">
        <f t="shared" si="14"/>
        <v>3</v>
      </c>
      <c r="AE27" s="2">
        <v>2</v>
      </c>
      <c r="AF27" s="2">
        <f t="shared" si="15"/>
        <v>6</v>
      </c>
      <c r="AG27" s="2">
        <v>78</v>
      </c>
      <c r="AH27" s="6" t="str">
        <f t="shared" si="16"/>
        <v>B+</v>
      </c>
      <c r="AI27" s="1">
        <f t="shared" si="17"/>
        <v>3.5</v>
      </c>
      <c r="AJ27" s="2">
        <v>2</v>
      </c>
      <c r="AK27" s="2">
        <f t="shared" si="18"/>
        <v>7</v>
      </c>
      <c r="AL27" s="2">
        <v>80</v>
      </c>
      <c r="AM27" s="6" t="str">
        <f t="shared" si="19"/>
        <v>A</v>
      </c>
      <c r="AN27" s="1">
        <f t="shared" si="20"/>
        <v>4</v>
      </c>
      <c r="AO27" s="2">
        <v>2</v>
      </c>
      <c r="AP27" s="2">
        <f t="shared" si="21"/>
        <v>8</v>
      </c>
      <c r="AQ27" s="2">
        <v>74</v>
      </c>
      <c r="AR27" s="6" t="str">
        <f t="shared" si="22"/>
        <v>B</v>
      </c>
      <c r="AS27" s="1">
        <f t="shared" si="23"/>
        <v>3</v>
      </c>
      <c r="AT27" s="2">
        <v>2</v>
      </c>
      <c r="AU27" s="2">
        <f t="shared" si="24"/>
        <v>6</v>
      </c>
      <c r="AV27" s="5">
        <v>78</v>
      </c>
      <c r="AW27" s="6" t="str">
        <f t="shared" si="25"/>
        <v>B+</v>
      </c>
      <c r="AX27" s="1">
        <f t="shared" si="26"/>
        <v>3.5</v>
      </c>
      <c r="AY27" s="5">
        <v>3</v>
      </c>
      <c r="AZ27" s="3">
        <f t="shared" si="27"/>
        <v>10.5</v>
      </c>
      <c r="BA27" s="5">
        <v>76.25</v>
      </c>
      <c r="BB27" s="6" t="str">
        <f t="shared" si="28"/>
        <v>B+</v>
      </c>
      <c r="BC27" s="1">
        <f t="shared" si="29"/>
        <v>3.5</v>
      </c>
      <c r="BD27" s="5">
        <v>2</v>
      </c>
      <c r="BE27" s="2">
        <f t="shared" si="30"/>
        <v>7</v>
      </c>
      <c r="BF27" s="5">
        <v>80</v>
      </c>
      <c r="BG27" s="6" t="str">
        <f t="shared" si="31"/>
        <v>A</v>
      </c>
      <c r="BH27" s="1">
        <f t="shared" si="32"/>
        <v>4</v>
      </c>
      <c r="BI27" s="5">
        <v>2</v>
      </c>
      <c r="BJ27" s="2">
        <f t="shared" si="33"/>
        <v>8</v>
      </c>
      <c r="BK27" s="5">
        <v>72.400000000000006</v>
      </c>
      <c r="BL27" s="6" t="str">
        <f t="shared" si="34"/>
        <v>B</v>
      </c>
      <c r="BM27" s="1">
        <f t="shared" si="35"/>
        <v>3</v>
      </c>
      <c r="BN27" s="5">
        <v>2</v>
      </c>
      <c r="BO27" s="2">
        <f t="shared" si="36"/>
        <v>6</v>
      </c>
      <c r="BP27" s="5">
        <v>80</v>
      </c>
      <c r="BQ27" s="6" t="str">
        <f t="shared" si="37"/>
        <v>A</v>
      </c>
      <c r="BR27" s="1">
        <f t="shared" si="38"/>
        <v>4</v>
      </c>
      <c r="BS27" s="5">
        <v>2</v>
      </c>
      <c r="BT27" s="2">
        <f t="shared" si="39"/>
        <v>8</v>
      </c>
      <c r="BU27" s="5">
        <v>80</v>
      </c>
      <c r="BV27" s="6" t="str">
        <f t="shared" si="40"/>
        <v>A</v>
      </c>
      <c r="BW27" s="1">
        <f t="shared" si="41"/>
        <v>4</v>
      </c>
      <c r="BX27" s="5">
        <v>2</v>
      </c>
      <c r="BY27" s="2">
        <f t="shared" si="42"/>
        <v>8</v>
      </c>
      <c r="BZ27" s="5">
        <v>80.5</v>
      </c>
      <c r="CA27" s="6" t="str">
        <f t="shared" si="43"/>
        <v>A</v>
      </c>
      <c r="CB27" s="1">
        <f t="shared" si="44"/>
        <v>4</v>
      </c>
      <c r="CC27" s="5">
        <v>2</v>
      </c>
      <c r="CD27" s="2">
        <f t="shared" si="45"/>
        <v>8</v>
      </c>
      <c r="CE27" s="2">
        <v>85</v>
      </c>
      <c r="CF27" s="6" t="str">
        <f t="shared" si="46"/>
        <v>A</v>
      </c>
      <c r="CG27" s="1">
        <f t="shared" si="47"/>
        <v>4</v>
      </c>
      <c r="CH27" s="5">
        <v>2</v>
      </c>
      <c r="CI27" s="2">
        <f t="shared" si="48"/>
        <v>8</v>
      </c>
      <c r="CJ27" s="2">
        <v>71.95</v>
      </c>
      <c r="CK27" s="6" t="str">
        <f t="shared" si="49"/>
        <v>B</v>
      </c>
      <c r="CL27" s="1">
        <f t="shared" si="50"/>
        <v>3</v>
      </c>
      <c r="CM27" s="2">
        <v>2</v>
      </c>
      <c r="CN27" s="2">
        <f t="shared" si="51"/>
        <v>6</v>
      </c>
      <c r="CO27" s="2">
        <v>75</v>
      </c>
      <c r="CP27" s="6" t="str">
        <f t="shared" si="52"/>
        <v>B+</v>
      </c>
      <c r="CQ27" s="1">
        <f t="shared" si="53"/>
        <v>3.5</v>
      </c>
      <c r="CR27" s="2">
        <v>2</v>
      </c>
      <c r="CS27" s="2">
        <f t="shared" si="54"/>
        <v>7</v>
      </c>
      <c r="CT27" s="2">
        <v>80</v>
      </c>
      <c r="CU27" s="6" t="str">
        <f t="shared" si="55"/>
        <v>A</v>
      </c>
      <c r="CV27" s="1">
        <f t="shared" si="56"/>
        <v>4</v>
      </c>
      <c r="CW27" s="2">
        <v>2</v>
      </c>
      <c r="CX27" s="2">
        <f t="shared" si="57"/>
        <v>8</v>
      </c>
      <c r="CY27" s="5">
        <v>81</v>
      </c>
      <c r="CZ27" s="6" t="str">
        <f t="shared" si="58"/>
        <v>A</v>
      </c>
      <c r="DA27" s="1">
        <f t="shared" si="59"/>
        <v>4</v>
      </c>
      <c r="DB27" s="5">
        <v>2</v>
      </c>
      <c r="DC27" s="3">
        <f t="shared" si="60"/>
        <v>8</v>
      </c>
      <c r="DD27" s="5">
        <v>75.3</v>
      </c>
      <c r="DE27" s="6" t="str">
        <f t="shared" si="61"/>
        <v>B+</v>
      </c>
      <c r="DF27" s="1">
        <f t="shared" si="62"/>
        <v>3.5</v>
      </c>
      <c r="DG27" s="5">
        <v>2</v>
      </c>
      <c r="DH27" s="2">
        <f t="shared" si="63"/>
        <v>7</v>
      </c>
      <c r="DI27" s="5">
        <v>79.8</v>
      </c>
      <c r="DJ27" s="6" t="str">
        <f t="shared" si="64"/>
        <v>B+</v>
      </c>
      <c r="DK27" s="1">
        <f t="shared" si="65"/>
        <v>3.5</v>
      </c>
      <c r="DL27" s="5">
        <v>4</v>
      </c>
      <c r="DM27" s="2">
        <f t="shared" si="66"/>
        <v>14</v>
      </c>
      <c r="DN27" s="30">
        <f t="shared" si="75"/>
        <v>82</v>
      </c>
      <c r="DO27" s="31">
        <f t="shared" si="67"/>
        <v>24</v>
      </c>
      <c r="DP27" s="5">
        <f t="shared" si="68"/>
        <v>88</v>
      </c>
      <c r="DQ27" s="5">
        <f t="shared" si="69"/>
        <v>24</v>
      </c>
      <c r="DR27" s="5">
        <f t="shared" si="70"/>
        <v>170</v>
      </c>
      <c r="DS27" s="5">
        <f t="shared" si="71"/>
        <v>48</v>
      </c>
      <c r="DT27" s="5">
        <v>3.6666666666666665</v>
      </c>
      <c r="DU27" s="5">
        <f t="shared" si="72"/>
        <v>3.5416666666666665</v>
      </c>
      <c r="DV27" s="10" t="str">
        <f t="shared" si="73"/>
        <v>Cum Laude</v>
      </c>
      <c r="DW27" s="17" t="str">
        <f t="shared" si="74"/>
        <v>Excellent</v>
      </c>
      <c r="DX27" s="17" t="s">
        <v>178</v>
      </c>
    </row>
    <row r="28" spans="1:128" x14ac:dyDescent="0.25">
      <c r="A28" s="10">
        <v>26</v>
      </c>
      <c r="B28" s="18" t="s">
        <v>45</v>
      </c>
      <c r="C28" s="15">
        <v>182412027</v>
      </c>
      <c r="D28" s="15"/>
      <c r="E28" s="7"/>
      <c r="F28" s="15"/>
      <c r="G28" s="15"/>
      <c r="H28" s="5">
        <v>75.75</v>
      </c>
      <c r="I28" s="6" t="str">
        <f t="shared" si="1"/>
        <v>B+</v>
      </c>
      <c r="J28" s="1">
        <f t="shared" si="2"/>
        <v>3.5</v>
      </c>
      <c r="K28" s="5">
        <v>2</v>
      </c>
      <c r="L28" s="2">
        <f t="shared" si="3"/>
        <v>7</v>
      </c>
      <c r="M28" s="5">
        <v>77</v>
      </c>
      <c r="N28" s="6" t="str">
        <f t="shared" si="4"/>
        <v>B+</v>
      </c>
      <c r="O28" s="1">
        <f t="shared" si="5"/>
        <v>3.5</v>
      </c>
      <c r="P28" s="5">
        <v>2</v>
      </c>
      <c r="Q28" s="2">
        <f t="shared" si="6"/>
        <v>7</v>
      </c>
      <c r="R28" s="5">
        <v>79</v>
      </c>
      <c r="S28" s="6" t="str">
        <f t="shared" si="7"/>
        <v>B+</v>
      </c>
      <c r="T28" s="1">
        <f t="shared" si="8"/>
        <v>3.5</v>
      </c>
      <c r="U28" s="5">
        <v>2</v>
      </c>
      <c r="V28" s="2">
        <f t="shared" si="9"/>
        <v>7</v>
      </c>
      <c r="W28" s="5">
        <v>78</v>
      </c>
      <c r="X28" s="6" t="str">
        <f t="shared" si="10"/>
        <v>B+</v>
      </c>
      <c r="Y28" s="1">
        <f t="shared" si="11"/>
        <v>3.5</v>
      </c>
      <c r="Z28" s="5">
        <v>3</v>
      </c>
      <c r="AA28" s="2">
        <f t="shared" si="12"/>
        <v>10.5</v>
      </c>
      <c r="AB28" s="2">
        <v>87.75</v>
      </c>
      <c r="AC28" s="6" t="str">
        <f t="shared" si="13"/>
        <v>A</v>
      </c>
      <c r="AD28" s="1">
        <f t="shared" si="14"/>
        <v>4</v>
      </c>
      <c r="AE28" s="2">
        <v>2</v>
      </c>
      <c r="AF28" s="2">
        <f t="shared" si="15"/>
        <v>8</v>
      </c>
      <c r="AG28" s="2">
        <v>78</v>
      </c>
      <c r="AH28" s="6" t="str">
        <f t="shared" si="16"/>
        <v>B+</v>
      </c>
      <c r="AI28" s="1">
        <f t="shared" si="17"/>
        <v>3.5</v>
      </c>
      <c r="AJ28" s="2">
        <v>2</v>
      </c>
      <c r="AK28" s="2">
        <f t="shared" si="18"/>
        <v>7</v>
      </c>
      <c r="AL28" s="2">
        <v>78</v>
      </c>
      <c r="AM28" s="6" t="str">
        <f t="shared" si="19"/>
        <v>B+</v>
      </c>
      <c r="AN28" s="1">
        <f t="shared" si="20"/>
        <v>3.5</v>
      </c>
      <c r="AO28" s="2">
        <v>2</v>
      </c>
      <c r="AP28" s="2">
        <f t="shared" si="21"/>
        <v>7</v>
      </c>
      <c r="AQ28" s="2">
        <v>74</v>
      </c>
      <c r="AR28" s="6" t="str">
        <f t="shared" si="22"/>
        <v>B</v>
      </c>
      <c r="AS28" s="1">
        <f t="shared" si="23"/>
        <v>3</v>
      </c>
      <c r="AT28" s="2">
        <v>2</v>
      </c>
      <c r="AU28" s="2">
        <f t="shared" si="24"/>
        <v>6</v>
      </c>
      <c r="AV28" s="5">
        <v>80.75</v>
      </c>
      <c r="AW28" s="6" t="str">
        <f t="shared" si="25"/>
        <v>A</v>
      </c>
      <c r="AX28" s="1">
        <f t="shared" si="26"/>
        <v>4</v>
      </c>
      <c r="AY28" s="5">
        <v>3</v>
      </c>
      <c r="AZ28" s="3">
        <f t="shared" si="27"/>
        <v>12</v>
      </c>
      <c r="BA28" s="5">
        <v>76.25</v>
      </c>
      <c r="BB28" s="6" t="str">
        <f t="shared" si="28"/>
        <v>B+</v>
      </c>
      <c r="BC28" s="1">
        <f t="shared" si="29"/>
        <v>3.5</v>
      </c>
      <c r="BD28" s="5">
        <v>2</v>
      </c>
      <c r="BE28" s="2">
        <f t="shared" si="30"/>
        <v>7</v>
      </c>
      <c r="BF28" s="5">
        <v>78</v>
      </c>
      <c r="BG28" s="6" t="str">
        <f t="shared" si="31"/>
        <v>B+</v>
      </c>
      <c r="BH28" s="1">
        <f t="shared" si="32"/>
        <v>3.5</v>
      </c>
      <c r="BI28" s="5">
        <v>2</v>
      </c>
      <c r="BJ28" s="2">
        <f t="shared" si="33"/>
        <v>7</v>
      </c>
      <c r="BK28" s="5">
        <v>77.08</v>
      </c>
      <c r="BL28" s="6" t="str">
        <f t="shared" si="34"/>
        <v>B+</v>
      </c>
      <c r="BM28" s="1">
        <f t="shared" si="35"/>
        <v>3.5</v>
      </c>
      <c r="BN28" s="5">
        <v>2</v>
      </c>
      <c r="BO28" s="2">
        <f t="shared" si="36"/>
        <v>7</v>
      </c>
      <c r="BP28" s="5">
        <v>80.3</v>
      </c>
      <c r="BQ28" s="6" t="str">
        <f t="shared" si="37"/>
        <v>A</v>
      </c>
      <c r="BR28" s="1">
        <f t="shared" si="38"/>
        <v>4</v>
      </c>
      <c r="BS28" s="5">
        <v>2</v>
      </c>
      <c r="BT28" s="2">
        <f t="shared" si="39"/>
        <v>8</v>
      </c>
      <c r="BU28" s="5">
        <v>81</v>
      </c>
      <c r="BV28" s="6" t="str">
        <f t="shared" si="40"/>
        <v>A</v>
      </c>
      <c r="BW28" s="1">
        <f t="shared" si="41"/>
        <v>4</v>
      </c>
      <c r="BX28" s="5">
        <v>2</v>
      </c>
      <c r="BY28" s="2">
        <f t="shared" si="42"/>
        <v>8</v>
      </c>
      <c r="BZ28" s="5">
        <v>79.400000000000006</v>
      </c>
      <c r="CA28" s="6" t="str">
        <f t="shared" si="43"/>
        <v>B+</v>
      </c>
      <c r="CB28" s="1">
        <f t="shared" si="44"/>
        <v>3.5</v>
      </c>
      <c r="CC28" s="5">
        <v>2</v>
      </c>
      <c r="CD28" s="2">
        <f t="shared" si="45"/>
        <v>7</v>
      </c>
      <c r="CE28" s="2">
        <v>87</v>
      </c>
      <c r="CF28" s="6" t="str">
        <f t="shared" si="46"/>
        <v>A</v>
      </c>
      <c r="CG28" s="1">
        <f t="shared" si="47"/>
        <v>4</v>
      </c>
      <c r="CH28" s="5">
        <v>2</v>
      </c>
      <c r="CI28" s="2">
        <f t="shared" si="48"/>
        <v>8</v>
      </c>
      <c r="CJ28" s="2">
        <v>74.150000000000006</v>
      </c>
      <c r="CK28" s="6" t="str">
        <f t="shared" si="49"/>
        <v>B</v>
      </c>
      <c r="CL28" s="1">
        <f t="shared" si="50"/>
        <v>3</v>
      </c>
      <c r="CM28" s="2">
        <v>2</v>
      </c>
      <c r="CN28" s="2">
        <f t="shared" si="51"/>
        <v>6</v>
      </c>
      <c r="CO28" s="2">
        <v>77</v>
      </c>
      <c r="CP28" s="6" t="str">
        <f t="shared" si="52"/>
        <v>B+</v>
      </c>
      <c r="CQ28" s="1">
        <f t="shared" si="53"/>
        <v>3.5</v>
      </c>
      <c r="CR28" s="2">
        <v>2</v>
      </c>
      <c r="CS28" s="2">
        <f t="shared" si="54"/>
        <v>7</v>
      </c>
      <c r="CT28" s="2">
        <v>80.2</v>
      </c>
      <c r="CU28" s="6" t="str">
        <f t="shared" si="55"/>
        <v>A</v>
      </c>
      <c r="CV28" s="1">
        <f t="shared" si="56"/>
        <v>4</v>
      </c>
      <c r="CW28" s="2">
        <v>2</v>
      </c>
      <c r="CX28" s="2">
        <f t="shared" si="57"/>
        <v>8</v>
      </c>
      <c r="CY28" s="5">
        <v>77</v>
      </c>
      <c r="CZ28" s="6" t="str">
        <f t="shared" si="58"/>
        <v>B+</v>
      </c>
      <c r="DA28" s="1">
        <f t="shared" si="59"/>
        <v>3.5</v>
      </c>
      <c r="DB28" s="5">
        <v>2</v>
      </c>
      <c r="DC28" s="3">
        <f t="shared" si="60"/>
        <v>7</v>
      </c>
      <c r="DD28" s="5">
        <v>75.099999999999994</v>
      </c>
      <c r="DE28" s="6" t="str">
        <f t="shared" si="61"/>
        <v>B+</v>
      </c>
      <c r="DF28" s="1">
        <f t="shared" si="62"/>
        <v>3.5</v>
      </c>
      <c r="DG28" s="5">
        <v>2</v>
      </c>
      <c r="DH28" s="2">
        <f t="shared" si="63"/>
        <v>7</v>
      </c>
      <c r="DI28" s="5"/>
      <c r="DJ28" s="6" t="str">
        <f t="shared" si="64"/>
        <v>E</v>
      </c>
      <c r="DK28" s="1">
        <f t="shared" si="65"/>
        <v>0</v>
      </c>
      <c r="DL28" s="5">
        <v>4</v>
      </c>
      <c r="DM28" s="2">
        <f t="shared" si="66"/>
        <v>0</v>
      </c>
      <c r="DN28" s="30">
        <f t="shared" si="75"/>
        <v>85.5</v>
      </c>
      <c r="DO28" s="31">
        <f t="shared" si="67"/>
        <v>24</v>
      </c>
      <c r="DP28" s="5">
        <f t="shared" si="68"/>
        <v>73</v>
      </c>
      <c r="DQ28" s="5">
        <f t="shared" si="69"/>
        <v>24</v>
      </c>
      <c r="DR28" s="5">
        <f t="shared" si="70"/>
        <v>158.5</v>
      </c>
      <c r="DS28" s="5">
        <f t="shared" si="71"/>
        <v>48</v>
      </c>
      <c r="DT28" s="5">
        <v>3.0416666666666665</v>
      </c>
      <c r="DU28" s="5">
        <f t="shared" si="72"/>
        <v>3.3020833333333335</v>
      </c>
      <c r="DV28" s="10" t="str">
        <f t="shared" si="73"/>
        <v>Sangat Memuaskan</v>
      </c>
      <c r="DW28" s="17" t="str">
        <f t="shared" si="74"/>
        <v>Highly Satisfactory</v>
      </c>
      <c r="DX28" s="17"/>
    </row>
    <row r="29" spans="1:128" x14ac:dyDescent="0.25">
      <c r="A29" s="10">
        <v>27</v>
      </c>
      <c r="B29" s="18" t="s">
        <v>46</v>
      </c>
      <c r="C29" s="15">
        <v>182412028</v>
      </c>
      <c r="D29" s="15"/>
      <c r="E29" s="7"/>
      <c r="F29" s="15"/>
      <c r="G29" s="15"/>
      <c r="H29" s="5">
        <v>77.25</v>
      </c>
      <c r="I29" s="6" t="str">
        <f t="shared" si="1"/>
        <v>B+</v>
      </c>
      <c r="J29" s="1">
        <f t="shared" si="2"/>
        <v>3.5</v>
      </c>
      <c r="K29" s="5">
        <v>2</v>
      </c>
      <c r="L29" s="2">
        <f t="shared" si="3"/>
        <v>7</v>
      </c>
      <c r="M29" s="5">
        <v>76</v>
      </c>
      <c r="N29" s="6" t="str">
        <f t="shared" si="4"/>
        <v>B+</v>
      </c>
      <c r="O29" s="1">
        <f t="shared" si="5"/>
        <v>3.5</v>
      </c>
      <c r="P29" s="5">
        <v>2</v>
      </c>
      <c r="Q29" s="2">
        <f t="shared" si="6"/>
        <v>7</v>
      </c>
      <c r="R29" s="5">
        <v>72.400000000000006</v>
      </c>
      <c r="S29" s="6" t="str">
        <f t="shared" si="7"/>
        <v>B</v>
      </c>
      <c r="T29" s="1">
        <f t="shared" si="8"/>
        <v>3</v>
      </c>
      <c r="U29" s="5">
        <v>2</v>
      </c>
      <c r="V29" s="2">
        <f t="shared" si="9"/>
        <v>6</v>
      </c>
      <c r="W29" s="5">
        <v>78</v>
      </c>
      <c r="X29" s="6" t="str">
        <f t="shared" si="10"/>
        <v>B+</v>
      </c>
      <c r="Y29" s="1">
        <f t="shared" si="11"/>
        <v>3.5</v>
      </c>
      <c r="Z29" s="5">
        <v>3</v>
      </c>
      <c r="AA29" s="2">
        <f t="shared" si="12"/>
        <v>10.5</v>
      </c>
      <c r="AB29" s="2">
        <v>76.95</v>
      </c>
      <c r="AC29" s="6" t="str">
        <f t="shared" si="13"/>
        <v>B+</v>
      </c>
      <c r="AD29" s="1">
        <f t="shared" si="14"/>
        <v>3.5</v>
      </c>
      <c r="AE29" s="2">
        <v>2</v>
      </c>
      <c r="AF29" s="2">
        <f t="shared" si="15"/>
        <v>7</v>
      </c>
      <c r="AG29" s="2">
        <v>78</v>
      </c>
      <c r="AH29" s="6" t="str">
        <f t="shared" si="16"/>
        <v>B+</v>
      </c>
      <c r="AI29" s="1">
        <f t="shared" si="17"/>
        <v>3.5</v>
      </c>
      <c r="AJ29" s="2">
        <v>2</v>
      </c>
      <c r="AK29" s="2">
        <f t="shared" si="18"/>
        <v>7</v>
      </c>
      <c r="AL29" s="2">
        <v>76</v>
      </c>
      <c r="AM29" s="6" t="str">
        <f t="shared" si="19"/>
        <v>B+</v>
      </c>
      <c r="AN29" s="1">
        <f t="shared" si="20"/>
        <v>3.5</v>
      </c>
      <c r="AO29" s="2">
        <v>2</v>
      </c>
      <c r="AP29" s="2">
        <f t="shared" si="21"/>
        <v>7</v>
      </c>
      <c r="AQ29" s="2">
        <v>74</v>
      </c>
      <c r="AR29" s="6" t="str">
        <f t="shared" si="22"/>
        <v>B</v>
      </c>
      <c r="AS29" s="1">
        <f t="shared" si="23"/>
        <v>3</v>
      </c>
      <c r="AT29" s="2">
        <v>2</v>
      </c>
      <c r="AU29" s="2">
        <f t="shared" si="24"/>
        <v>6</v>
      </c>
      <c r="AV29" s="5">
        <v>76.75</v>
      </c>
      <c r="AW29" s="6" t="str">
        <f t="shared" si="25"/>
        <v>B+</v>
      </c>
      <c r="AX29" s="1">
        <f t="shared" si="26"/>
        <v>3.5</v>
      </c>
      <c r="AY29" s="5">
        <v>3</v>
      </c>
      <c r="AZ29" s="3">
        <f t="shared" si="27"/>
        <v>10.5</v>
      </c>
      <c r="BA29" s="5">
        <v>76.25</v>
      </c>
      <c r="BB29" s="6" t="str">
        <f t="shared" si="28"/>
        <v>B+</v>
      </c>
      <c r="BC29" s="1">
        <f t="shared" si="29"/>
        <v>3.5</v>
      </c>
      <c r="BD29" s="5">
        <v>2</v>
      </c>
      <c r="BE29" s="2">
        <f t="shared" si="30"/>
        <v>7</v>
      </c>
      <c r="BF29" s="5">
        <v>76</v>
      </c>
      <c r="BG29" s="6" t="str">
        <f t="shared" si="31"/>
        <v>B+</v>
      </c>
      <c r="BH29" s="1">
        <f t="shared" si="32"/>
        <v>3.5</v>
      </c>
      <c r="BI29" s="5">
        <v>2</v>
      </c>
      <c r="BJ29" s="2">
        <f t="shared" si="33"/>
        <v>7</v>
      </c>
      <c r="BK29" s="5">
        <v>0</v>
      </c>
      <c r="BL29" s="6" t="str">
        <f t="shared" si="34"/>
        <v>E</v>
      </c>
      <c r="BM29" s="1">
        <f t="shared" si="35"/>
        <v>0</v>
      </c>
      <c r="BN29" s="5">
        <v>2</v>
      </c>
      <c r="BO29" s="2">
        <f t="shared" si="36"/>
        <v>0</v>
      </c>
      <c r="BP29" s="5">
        <v>80.599999999999994</v>
      </c>
      <c r="BQ29" s="6" t="str">
        <f t="shared" si="37"/>
        <v>A</v>
      </c>
      <c r="BR29" s="1">
        <f t="shared" si="38"/>
        <v>4</v>
      </c>
      <c r="BS29" s="5">
        <v>2</v>
      </c>
      <c r="BT29" s="2">
        <f t="shared" si="39"/>
        <v>8</v>
      </c>
      <c r="BU29" s="5">
        <v>80</v>
      </c>
      <c r="BV29" s="6" t="str">
        <f t="shared" si="40"/>
        <v>A</v>
      </c>
      <c r="BW29" s="1">
        <f t="shared" si="41"/>
        <v>4</v>
      </c>
      <c r="BX29" s="5">
        <v>2</v>
      </c>
      <c r="BY29" s="2">
        <f t="shared" si="42"/>
        <v>8</v>
      </c>
      <c r="BZ29" s="5">
        <v>77.8</v>
      </c>
      <c r="CA29" s="6" t="str">
        <f t="shared" si="43"/>
        <v>B+</v>
      </c>
      <c r="CB29" s="1">
        <f t="shared" si="44"/>
        <v>3.5</v>
      </c>
      <c r="CC29" s="5">
        <v>2</v>
      </c>
      <c r="CD29" s="2">
        <f t="shared" si="45"/>
        <v>7</v>
      </c>
      <c r="CE29" s="2">
        <v>86</v>
      </c>
      <c r="CF29" s="6" t="str">
        <f t="shared" si="46"/>
        <v>A</v>
      </c>
      <c r="CG29" s="1">
        <f t="shared" si="47"/>
        <v>4</v>
      </c>
      <c r="CH29" s="5">
        <v>2</v>
      </c>
      <c r="CI29" s="2">
        <f t="shared" si="48"/>
        <v>8</v>
      </c>
      <c r="CJ29" s="2">
        <v>70.930000000000007</v>
      </c>
      <c r="CK29" s="6" t="str">
        <f t="shared" si="49"/>
        <v>B</v>
      </c>
      <c r="CL29" s="1">
        <f t="shared" si="50"/>
        <v>3</v>
      </c>
      <c r="CM29" s="2">
        <v>2</v>
      </c>
      <c r="CN29" s="2">
        <f t="shared" si="51"/>
        <v>6</v>
      </c>
      <c r="CO29" s="2">
        <v>77</v>
      </c>
      <c r="CP29" s="6" t="str">
        <f t="shared" si="52"/>
        <v>B+</v>
      </c>
      <c r="CQ29" s="1">
        <f t="shared" si="53"/>
        <v>3.5</v>
      </c>
      <c r="CR29" s="2">
        <v>2</v>
      </c>
      <c r="CS29" s="2">
        <f t="shared" si="54"/>
        <v>7</v>
      </c>
      <c r="CT29" s="2">
        <v>71.8</v>
      </c>
      <c r="CU29" s="6" t="str">
        <f t="shared" si="55"/>
        <v>B</v>
      </c>
      <c r="CV29" s="1">
        <f t="shared" si="56"/>
        <v>3</v>
      </c>
      <c r="CW29" s="2">
        <v>2</v>
      </c>
      <c r="CX29" s="2">
        <f t="shared" si="57"/>
        <v>6</v>
      </c>
      <c r="CY29" s="5">
        <v>77</v>
      </c>
      <c r="CZ29" s="6" t="str">
        <f t="shared" si="58"/>
        <v>B+</v>
      </c>
      <c r="DA29" s="1">
        <f t="shared" si="59"/>
        <v>3.5</v>
      </c>
      <c r="DB29" s="5">
        <v>2</v>
      </c>
      <c r="DC29" s="3">
        <f t="shared" si="60"/>
        <v>7</v>
      </c>
      <c r="DD29" s="5">
        <v>70</v>
      </c>
      <c r="DE29" s="6" t="str">
        <f t="shared" si="61"/>
        <v>B</v>
      </c>
      <c r="DF29" s="1">
        <f t="shared" si="62"/>
        <v>3</v>
      </c>
      <c r="DG29" s="5">
        <v>2</v>
      </c>
      <c r="DH29" s="2">
        <f t="shared" si="63"/>
        <v>6</v>
      </c>
      <c r="DI29" s="5"/>
      <c r="DJ29" s="6" t="str">
        <f t="shared" si="64"/>
        <v>E</v>
      </c>
      <c r="DK29" s="1">
        <f t="shared" si="65"/>
        <v>0</v>
      </c>
      <c r="DL29" s="5">
        <v>4</v>
      </c>
      <c r="DM29" s="2">
        <f t="shared" si="66"/>
        <v>0</v>
      </c>
      <c r="DN29" s="30">
        <f t="shared" si="75"/>
        <v>82</v>
      </c>
      <c r="DO29" s="31">
        <f t="shared" si="67"/>
        <v>24</v>
      </c>
      <c r="DP29" s="5">
        <f t="shared" si="68"/>
        <v>63</v>
      </c>
      <c r="DQ29" s="5">
        <f t="shared" si="69"/>
        <v>24</v>
      </c>
      <c r="DR29" s="5">
        <f t="shared" si="70"/>
        <v>145</v>
      </c>
      <c r="DS29" s="5">
        <f t="shared" si="71"/>
        <v>48</v>
      </c>
      <c r="DT29" s="5">
        <v>2.625</v>
      </c>
      <c r="DU29" s="5">
        <f t="shared" si="72"/>
        <v>3.0208333333333335</v>
      </c>
      <c r="DV29" s="10" t="str">
        <f t="shared" si="73"/>
        <v>Sangat Memuaskan</v>
      </c>
      <c r="DW29" s="17" t="str">
        <f t="shared" si="74"/>
        <v>Highly Satisfactory</v>
      </c>
      <c r="DX29" s="17"/>
    </row>
    <row r="30" spans="1:128" x14ac:dyDescent="0.2">
      <c r="A30" s="10">
        <v>28</v>
      </c>
      <c r="B30" s="18" t="s">
        <v>47</v>
      </c>
      <c r="C30" s="15">
        <v>182412029</v>
      </c>
      <c r="D30" s="16" t="s">
        <v>95</v>
      </c>
      <c r="E30" s="7" t="s">
        <v>127</v>
      </c>
      <c r="F30" s="15" t="s">
        <v>149</v>
      </c>
      <c r="G30" s="15"/>
      <c r="H30" s="5">
        <v>75.75</v>
      </c>
      <c r="I30" s="11" t="str">
        <f t="shared" si="1"/>
        <v>B+</v>
      </c>
      <c r="J30" s="12">
        <f t="shared" si="2"/>
        <v>3.5</v>
      </c>
      <c r="K30" s="5">
        <v>2</v>
      </c>
      <c r="L30" s="13">
        <f t="shared" si="3"/>
        <v>7</v>
      </c>
      <c r="M30" s="5">
        <v>75</v>
      </c>
      <c r="N30" s="11" t="str">
        <f t="shared" si="4"/>
        <v>B+</v>
      </c>
      <c r="O30" s="12">
        <f t="shared" si="5"/>
        <v>3.5</v>
      </c>
      <c r="P30" s="5">
        <v>2</v>
      </c>
      <c r="Q30" s="13">
        <f t="shared" si="6"/>
        <v>7</v>
      </c>
      <c r="R30" s="5">
        <v>72</v>
      </c>
      <c r="S30" s="11" t="str">
        <f t="shared" si="7"/>
        <v>B</v>
      </c>
      <c r="T30" s="12">
        <f t="shared" si="8"/>
        <v>3</v>
      </c>
      <c r="U30" s="5">
        <v>2</v>
      </c>
      <c r="V30" s="13">
        <f t="shared" si="9"/>
        <v>6</v>
      </c>
      <c r="W30" s="5">
        <v>78</v>
      </c>
      <c r="X30" s="11" t="str">
        <f t="shared" si="10"/>
        <v>B+</v>
      </c>
      <c r="Y30" s="12">
        <f t="shared" si="11"/>
        <v>3.5</v>
      </c>
      <c r="Z30" s="5">
        <v>3</v>
      </c>
      <c r="AA30" s="13">
        <f t="shared" si="12"/>
        <v>10.5</v>
      </c>
      <c r="AB30" s="13">
        <v>79.3</v>
      </c>
      <c r="AC30" s="11" t="str">
        <f t="shared" si="13"/>
        <v>B+</v>
      </c>
      <c r="AD30" s="12">
        <f t="shared" si="14"/>
        <v>3.5</v>
      </c>
      <c r="AE30" s="13">
        <v>2</v>
      </c>
      <c r="AF30" s="13">
        <f t="shared" si="15"/>
        <v>7</v>
      </c>
      <c r="AG30" s="13">
        <v>78</v>
      </c>
      <c r="AH30" s="11" t="str">
        <f t="shared" si="16"/>
        <v>B+</v>
      </c>
      <c r="AI30" s="12">
        <f t="shared" si="17"/>
        <v>3.5</v>
      </c>
      <c r="AJ30" s="13">
        <v>2</v>
      </c>
      <c r="AK30" s="13">
        <f t="shared" si="18"/>
        <v>7</v>
      </c>
      <c r="AL30" s="13">
        <v>79</v>
      </c>
      <c r="AM30" s="11" t="str">
        <f t="shared" si="19"/>
        <v>B+</v>
      </c>
      <c r="AN30" s="12">
        <f t="shared" si="20"/>
        <v>3.5</v>
      </c>
      <c r="AO30" s="13">
        <v>2</v>
      </c>
      <c r="AP30" s="13">
        <f t="shared" si="21"/>
        <v>7</v>
      </c>
      <c r="AQ30" s="13">
        <v>74</v>
      </c>
      <c r="AR30" s="11" t="str">
        <f t="shared" si="22"/>
        <v>B</v>
      </c>
      <c r="AS30" s="12">
        <f t="shared" si="23"/>
        <v>3</v>
      </c>
      <c r="AT30" s="13">
        <v>2</v>
      </c>
      <c r="AU30" s="13">
        <f t="shared" si="24"/>
        <v>6</v>
      </c>
      <c r="AV30" s="5">
        <v>78</v>
      </c>
      <c r="AW30" s="11" t="str">
        <f t="shared" si="25"/>
        <v>B+</v>
      </c>
      <c r="AX30" s="12">
        <f t="shared" si="26"/>
        <v>3.5</v>
      </c>
      <c r="AY30" s="5">
        <v>3</v>
      </c>
      <c r="AZ30" s="14">
        <f t="shared" si="27"/>
        <v>10.5</v>
      </c>
      <c r="BA30" s="5">
        <v>76.25</v>
      </c>
      <c r="BB30" s="11" t="str">
        <f t="shared" si="28"/>
        <v>B+</v>
      </c>
      <c r="BC30" s="12">
        <f t="shared" si="29"/>
        <v>3.5</v>
      </c>
      <c r="BD30" s="5">
        <v>2</v>
      </c>
      <c r="BE30" s="13">
        <f t="shared" si="30"/>
        <v>7</v>
      </c>
      <c r="BF30" s="5">
        <v>82</v>
      </c>
      <c r="BG30" s="11" t="str">
        <f t="shared" si="31"/>
        <v>A</v>
      </c>
      <c r="BH30" s="12">
        <f t="shared" si="32"/>
        <v>4</v>
      </c>
      <c r="BI30" s="5">
        <v>2</v>
      </c>
      <c r="BJ30" s="13">
        <f t="shared" si="33"/>
        <v>8</v>
      </c>
      <c r="BK30" s="5">
        <v>79.069999999999993</v>
      </c>
      <c r="BL30" s="11" t="str">
        <f t="shared" si="34"/>
        <v>B+</v>
      </c>
      <c r="BM30" s="12">
        <f t="shared" si="35"/>
        <v>3.5</v>
      </c>
      <c r="BN30" s="5">
        <v>2</v>
      </c>
      <c r="BO30" s="13">
        <f t="shared" si="36"/>
        <v>7</v>
      </c>
      <c r="BP30" s="5">
        <v>79</v>
      </c>
      <c r="BQ30" s="11" t="str">
        <f t="shared" si="37"/>
        <v>B+</v>
      </c>
      <c r="BR30" s="12">
        <f t="shared" si="38"/>
        <v>3.5</v>
      </c>
      <c r="BS30" s="5">
        <v>2</v>
      </c>
      <c r="BT30" s="13">
        <f t="shared" si="39"/>
        <v>7</v>
      </c>
      <c r="BU30" s="5">
        <v>82</v>
      </c>
      <c r="BV30" s="11" t="str">
        <f t="shared" si="40"/>
        <v>A</v>
      </c>
      <c r="BW30" s="12">
        <f t="shared" si="41"/>
        <v>4</v>
      </c>
      <c r="BX30" s="5">
        <v>2</v>
      </c>
      <c r="BY30" s="13">
        <f t="shared" si="42"/>
        <v>8</v>
      </c>
      <c r="BZ30" s="5">
        <v>77</v>
      </c>
      <c r="CA30" s="11" t="str">
        <f t="shared" si="43"/>
        <v>B+</v>
      </c>
      <c r="CB30" s="12">
        <f t="shared" si="44"/>
        <v>3.5</v>
      </c>
      <c r="CC30" s="5">
        <v>2</v>
      </c>
      <c r="CD30" s="13">
        <f t="shared" si="45"/>
        <v>7</v>
      </c>
      <c r="CE30" s="13">
        <v>85</v>
      </c>
      <c r="CF30" s="11" t="str">
        <f t="shared" si="46"/>
        <v>A</v>
      </c>
      <c r="CG30" s="12">
        <f t="shared" si="47"/>
        <v>4</v>
      </c>
      <c r="CH30" s="5">
        <v>2</v>
      </c>
      <c r="CI30" s="13">
        <f t="shared" si="48"/>
        <v>8</v>
      </c>
      <c r="CJ30" s="13">
        <v>77.53</v>
      </c>
      <c r="CK30" s="11" t="str">
        <f t="shared" si="49"/>
        <v>B+</v>
      </c>
      <c r="CL30" s="12">
        <f t="shared" si="50"/>
        <v>3.5</v>
      </c>
      <c r="CM30" s="13">
        <v>2</v>
      </c>
      <c r="CN30" s="13">
        <f t="shared" si="51"/>
        <v>7</v>
      </c>
      <c r="CO30" s="13">
        <v>77.599999999999994</v>
      </c>
      <c r="CP30" s="11" t="str">
        <f t="shared" si="52"/>
        <v>B+</v>
      </c>
      <c r="CQ30" s="12">
        <f t="shared" si="53"/>
        <v>3.5</v>
      </c>
      <c r="CR30" s="13">
        <v>2</v>
      </c>
      <c r="CS30" s="13">
        <f t="shared" si="54"/>
        <v>7</v>
      </c>
      <c r="CT30" s="13">
        <v>70</v>
      </c>
      <c r="CU30" s="11" t="str">
        <f t="shared" si="55"/>
        <v>B</v>
      </c>
      <c r="CV30" s="12">
        <f t="shared" si="56"/>
        <v>3</v>
      </c>
      <c r="CW30" s="13">
        <v>2</v>
      </c>
      <c r="CX30" s="13">
        <f t="shared" si="57"/>
        <v>6</v>
      </c>
      <c r="CY30" s="5">
        <v>79</v>
      </c>
      <c r="CZ30" s="11" t="str">
        <f t="shared" si="58"/>
        <v>B+</v>
      </c>
      <c r="DA30" s="12">
        <f t="shared" si="59"/>
        <v>3.5</v>
      </c>
      <c r="DB30" s="5">
        <v>2</v>
      </c>
      <c r="DC30" s="14">
        <f t="shared" si="60"/>
        <v>7</v>
      </c>
      <c r="DD30" s="5">
        <v>75.099999999999994</v>
      </c>
      <c r="DE30" s="11" t="str">
        <f t="shared" si="61"/>
        <v>B+</v>
      </c>
      <c r="DF30" s="12">
        <f t="shared" si="62"/>
        <v>3.5</v>
      </c>
      <c r="DG30" s="5">
        <v>2</v>
      </c>
      <c r="DH30" s="13">
        <f t="shared" si="63"/>
        <v>7</v>
      </c>
      <c r="DI30" s="5">
        <v>78.5</v>
      </c>
      <c r="DJ30" s="11" t="str">
        <f t="shared" si="64"/>
        <v>B+</v>
      </c>
      <c r="DK30" s="12">
        <f t="shared" si="65"/>
        <v>3.5</v>
      </c>
      <c r="DL30" s="5">
        <v>4</v>
      </c>
      <c r="DM30" s="13">
        <f t="shared" si="66"/>
        <v>14</v>
      </c>
      <c r="DN30" s="30">
        <f t="shared" si="75"/>
        <v>83</v>
      </c>
      <c r="DO30" s="31">
        <f t="shared" si="67"/>
        <v>24</v>
      </c>
      <c r="DP30" s="5">
        <f t="shared" si="68"/>
        <v>85</v>
      </c>
      <c r="DQ30" s="5">
        <f t="shared" si="69"/>
        <v>24</v>
      </c>
      <c r="DR30" s="5">
        <f t="shared" si="70"/>
        <v>168</v>
      </c>
      <c r="DS30" s="5">
        <f t="shared" si="71"/>
        <v>48</v>
      </c>
      <c r="DT30" s="5">
        <v>3.5416666666666665</v>
      </c>
      <c r="DU30" s="5">
        <f t="shared" si="72"/>
        <v>3.5</v>
      </c>
      <c r="DV30" s="10" t="str">
        <f t="shared" si="73"/>
        <v>Sangat Memuaskan</v>
      </c>
      <c r="DW30" s="17" t="str">
        <f t="shared" si="74"/>
        <v>Highly Satisfactory</v>
      </c>
      <c r="DX30" s="17"/>
    </row>
    <row r="31" spans="1:128" x14ac:dyDescent="0.25">
      <c r="A31" s="10">
        <v>29</v>
      </c>
      <c r="B31" s="15" t="s">
        <v>48</v>
      </c>
      <c r="C31" s="15">
        <v>182412030</v>
      </c>
      <c r="D31" s="15"/>
      <c r="E31" s="7"/>
      <c r="F31" s="15"/>
      <c r="G31" s="15"/>
      <c r="H31" s="5">
        <v>78.75</v>
      </c>
      <c r="I31" s="6" t="str">
        <f t="shared" si="1"/>
        <v>B+</v>
      </c>
      <c r="J31" s="1">
        <f t="shared" si="2"/>
        <v>3.5</v>
      </c>
      <c r="K31" s="5">
        <v>2</v>
      </c>
      <c r="L31" s="2">
        <f t="shared" si="3"/>
        <v>7</v>
      </c>
      <c r="M31" s="5">
        <v>80</v>
      </c>
      <c r="N31" s="6" t="str">
        <f t="shared" si="4"/>
        <v>A</v>
      </c>
      <c r="O31" s="1">
        <f t="shared" si="5"/>
        <v>4</v>
      </c>
      <c r="P31" s="5">
        <v>2</v>
      </c>
      <c r="Q31" s="2">
        <f t="shared" si="6"/>
        <v>8</v>
      </c>
      <c r="R31" s="5">
        <v>74.2</v>
      </c>
      <c r="S31" s="6" t="str">
        <f t="shared" si="7"/>
        <v>B</v>
      </c>
      <c r="T31" s="1">
        <f t="shared" si="8"/>
        <v>3</v>
      </c>
      <c r="U31" s="5">
        <v>2</v>
      </c>
      <c r="V31" s="2">
        <f t="shared" si="9"/>
        <v>6</v>
      </c>
      <c r="W31" s="5">
        <v>80</v>
      </c>
      <c r="X31" s="6" t="str">
        <f t="shared" si="10"/>
        <v>A</v>
      </c>
      <c r="Y31" s="1">
        <f t="shared" si="11"/>
        <v>4</v>
      </c>
      <c r="Z31" s="5">
        <v>3</v>
      </c>
      <c r="AA31" s="2">
        <f t="shared" si="12"/>
        <v>12</v>
      </c>
      <c r="AB31" s="2">
        <v>78.7</v>
      </c>
      <c r="AC31" s="6" t="str">
        <f t="shared" si="13"/>
        <v>B+</v>
      </c>
      <c r="AD31" s="1">
        <f t="shared" si="14"/>
        <v>3.5</v>
      </c>
      <c r="AE31" s="2">
        <v>2</v>
      </c>
      <c r="AF31" s="2">
        <f t="shared" si="15"/>
        <v>7</v>
      </c>
      <c r="AG31" s="2">
        <v>78</v>
      </c>
      <c r="AH31" s="6" t="str">
        <f t="shared" si="16"/>
        <v>B+</v>
      </c>
      <c r="AI31" s="1">
        <f t="shared" si="17"/>
        <v>3.5</v>
      </c>
      <c r="AJ31" s="2">
        <v>2</v>
      </c>
      <c r="AK31" s="2">
        <f t="shared" si="18"/>
        <v>7</v>
      </c>
      <c r="AL31" s="2">
        <v>80</v>
      </c>
      <c r="AM31" s="6" t="str">
        <f t="shared" si="19"/>
        <v>A</v>
      </c>
      <c r="AN31" s="1">
        <f t="shared" si="20"/>
        <v>4</v>
      </c>
      <c r="AO31" s="2">
        <v>2</v>
      </c>
      <c r="AP31" s="2">
        <f t="shared" si="21"/>
        <v>8</v>
      </c>
      <c r="AQ31" s="2">
        <v>74</v>
      </c>
      <c r="AR31" s="6" t="str">
        <f t="shared" si="22"/>
        <v>B</v>
      </c>
      <c r="AS31" s="1">
        <f t="shared" si="23"/>
        <v>3</v>
      </c>
      <c r="AT31" s="2">
        <v>2</v>
      </c>
      <c r="AU31" s="2">
        <f t="shared" si="24"/>
        <v>6</v>
      </c>
      <c r="AV31" s="5">
        <v>80.75</v>
      </c>
      <c r="AW31" s="6" t="str">
        <f t="shared" si="25"/>
        <v>A</v>
      </c>
      <c r="AX31" s="1">
        <f t="shared" si="26"/>
        <v>4</v>
      </c>
      <c r="AY31" s="5">
        <v>3</v>
      </c>
      <c r="AZ31" s="3">
        <f t="shared" si="27"/>
        <v>12</v>
      </c>
      <c r="BA31" s="5">
        <v>80</v>
      </c>
      <c r="BB31" s="6" t="str">
        <f t="shared" si="28"/>
        <v>A</v>
      </c>
      <c r="BC31" s="1">
        <f t="shared" si="29"/>
        <v>4</v>
      </c>
      <c r="BD31" s="5">
        <v>2</v>
      </c>
      <c r="BE31" s="2">
        <f t="shared" si="30"/>
        <v>8</v>
      </c>
      <c r="BF31" s="5">
        <v>77</v>
      </c>
      <c r="BG31" s="6" t="str">
        <f t="shared" si="31"/>
        <v>B+</v>
      </c>
      <c r="BH31" s="1">
        <f t="shared" si="32"/>
        <v>3.5</v>
      </c>
      <c r="BI31" s="5">
        <v>2</v>
      </c>
      <c r="BJ31" s="2">
        <f t="shared" si="33"/>
        <v>7</v>
      </c>
      <c r="BK31" s="5">
        <v>78.67</v>
      </c>
      <c r="BL31" s="6" t="str">
        <f t="shared" si="34"/>
        <v>B+</v>
      </c>
      <c r="BM31" s="1">
        <f t="shared" si="35"/>
        <v>3.5</v>
      </c>
      <c r="BN31" s="5">
        <v>2</v>
      </c>
      <c r="BO31" s="2">
        <f t="shared" si="36"/>
        <v>7</v>
      </c>
      <c r="BP31" s="5">
        <v>79.3</v>
      </c>
      <c r="BQ31" s="6" t="str">
        <f t="shared" si="37"/>
        <v>B+</v>
      </c>
      <c r="BR31" s="1">
        <f t="shared" si="38"/>
        <v>3.5</v>
      </c>
      <c r="BS31" s="5">
        <v>2</v>
      </c>
      <c r="BT31" s="2">
        <f t="shared" si="39"/>
        <v>7</v>
      </c>
      <c r="BU31" s="5">
        <v>80</v>
      </c>
      <c r="BV31" s="6" t="str">
        <f t="shared" si="40"/>
        <v>A</v>
      </c>
      <c r="BW31" s="1">
        <f t="shared" si="41"/>
        <v>4</v>
      </c>
      <c r="BX31" s="5">
        <v>2</v>
      </c>
      <c r="BY31" s="2">
        <f t="shared" si="42"/>
        <v>8</v>
      </c>
      <c r="BZ31" s="5">
        <v>80.7</v>
      </c>
      <c r="CA31" s="6" t="str">
        <f t="shared" si="43"/>
        <v>A</v>
      </c>
      <c r="CB31" s="1">
        <f t="shared" si="44"/>
        <v>4</v>
      </c>
      <c r="CC31" s="5">
        <v>2</v>
      </c>
      <c r="CD31" s="2">
        <f t="shared" si="45"/>
        <v>8</v>
      </c>
      <c r="CE31" s="2">
        <v>86</v>
      </c>
      <c r="CF31" s="6" t="str">
        <f t="shared" si="46"/>
        <v>A</v>
      </c>
      <c r="CG31" s="1">
        <f t="shared" si="47"/>
        <v>4</v>
      </c>
      <c r="CH31" s="5">
        <v>2</v>
      </c>
      <c r="CI31" s="2">
        <f t="shared" si="48"/>
        <v>8</v>
      </c>
      <c r="CJ31" s="2">
        <v>74.13</v>
      </c>
      <c r="CK31" s="6" t="str">
        <f t="shared" si="49"/>
        <v>B</v>
      </c>
      <c r="CL31" s="1">
        <f t="shared" si="50"/>
        <v>3</v>
      </c>
      <c r="CM31" s="2">
        <v>2</v>
      </c>
      <c r="CN31" s="2">
        <f t="shared" si="51"/>
        <v>6</v>
      </c>
      <c r="CO31" s="2">
        <v>74.400000000000006</v>
      </c>
      <c r="CP31" s="6" t="str">
        <f t="shared" si="52"/>
        <v>B</v>
      </c>
      <c r="CQ31" s="1">
        <f t="shared" si="53"/>
        <v>3</v>
      </c>
      <c r="CR31" s="2">
        <v>2</v>
      </c>
      <c r="CS31" s="2">
        <f t="shared" si="54"/>
        <v>6</v>
      </c>
      <c r="CT31" s="2">
        <v>82.8</v>
      </c>
      <c r="CU31" s="6" t="str">
        <f t="shared" si="55"/>
        <v>A</v>
      </c>
      <c r="CV31" s="1">
        <f t="shared" si="56"/>
        <v>4</v>
      </c>
      <c r="CW31" s="2">
        <v>2</v>
      </c>
      <c r="CX31" s="2">
        <f t="shared" si="57"/>
        <v>8</v>
      </c>
      <c r="CY31" s="5">
        <v>80</v>
      </c>
      <c r="CZ31" s="6" t="str">
        <f t="shared" si="58"/>
        <v>A</v>
      </c>
      <c r="DA31" s="1">
        <f t="shared" si="59"/>
        <v>4</v>
      </c>
      <c r="DB31" s="5">
        <v>2</v>
      </c>
      <c r="DC31" s="3">
        <f t="shared" si="60"/>
        <v>8</v>
      </c>
      <c r="DD31" s="5">
        <v>72.5</v>
      </c>
      <c r="DE31" s="6" t="str">
        <f t="shared" si="61"/>
        <v>B</v>
      </c>
      <c r="DF31" s="1">
        <f t="shared" si="62"/>
        <v>3</v>
      </c>
      <c r="DG31" s="5">
        <v>2</v>
      </c>
      <c r="DH31" s="2">
        <f t="shared" si="63"/>
        <v>6</v>
      </c>
      <c r="DI31" s="5">
        <v>80.3</v>
      </c>
      <c r="DJ31" s="6" t="str">
        <f t="shared" si="64"/>
        <v>A</v>
      </c>
      <c r="DK31" s="1">
        <f t="shared" si="65"/>
        <v>4</v>
      </c>
      <c r="DL31" s="5">
        <v>4</v>
      </c>
      <c r="DM31" s="2">
        <f t="shared" si="66"/>
        <v>16</v>
      </c>
      <c r="DN31" s="30">
        <f t="shared" si="75"/>
        <v>88</v>
      </c>
      <c r="DO31" s="31">
        <f t="shared" si="67"/>
        <v>24</v>
      </c>
      <c r="DP31" s="5">
        <f t="shared" si="68"/>
        <v>88</v>
      </c>
      <c r="DQ31" s="5">
        <f t="shared" si="69"/>
        <v>24</v>
      </c>
      <c r="DR31" s="5">
        <f t="shared" si="70"/>
        <v>176</v>
      </c>
      <c r="DS31" s="5">
        <f t="shared" si="71"/>
        <v>48</v>
      </c>
      <c r="DT31" s="5">
        <v>3.6666666666666665</v>
      </c>
      <c r="DU31" s="5">
        <f t="shared" si="72"/>
        <v>3.6666666666666665</v>
      </c>
      <c r="DV31" s="10" t="str">
        <f t="shared" si="73"/>
        <v>Cum Laude</v>
      </c>
      <c r="DW31" s="17" t="str">
        <f t="shared" si="74"/>
        <v>Excellent</v>
      </c>
      <c r="DX31" s="17" t="s">
        <v>161</v>
      </c>
    </row>
    <row r="32" spans="1:128" x14ac:dyDescent="0.25">
      <c r="A32" s="10">
        <v>30</v>
      </c>
      <c r="B32" s="15" t="s">
        <v>49</v>
      </c>
      <c r="C32" s="15">
        <v>182412031</v>
      </c>
      <c r="D32" s="15"/>
      <c r="E32" s="7"/>
      <c r="F32" s="15"/>
      <c r="G32" s="15"/>
      <c r="H32" s="5">
        <v>74</v>
      </c>
      <c r="I32" s="6" t="str">
        <f t="shared" si="1"/>
        <v>B</v>
      </c>
      <c r="J32" s="1">
        <f t="shared" si="2"/>
        <v>3</v>
      </c>
      <c r="K32" s="5">
        <v>2</v>
      </c>
      <c r="L32" s="2">
        <f t="shared" si="3"/>
        <v>6</v>
      </c>
      <c r="M32" s="5">
        <v>76</v>
      </c>
      <c r="N32" s="6" t="str">
        <f t="shared" si="4"/>
        <v>B+</v>
      </c>
      <c r="O32" s="1">
        <f t="shared" si="5"/>
        <v>3.5</v>
      </c>
      <c r="P32" s="5">
        <v>2</v>
      </c>
      <c r="Q32" s="2">
        <f t="shared" si="6"/>
        <v>7</v>
      </c>
      <c r="R32" s="5">
        <v>77</v>
      </c>
      <c r="S32" s="6" t="str">
        <f t="shared" si="7"/>
        <v>B+</v>
      </c>
      <c r="T32" s="1">
        <f t="shared" si="8"/>
        <v>3.5</v>
      </c>
      <c r="U32" s="5">
        <v>2</v>
      </c>
      <c r="V32" s="2">
        <f t="shared" si="9"/>
        <v>7</v>
      </c>
      <c r="W32" s="5">
        <v>80</v>
      </c>
      <c r="X32" s="6" t="str">
        <f t="shared" si="10"/>
        <v>A</v>
      </c>
      <c r="Y32" s="1">
        <f t="shared" si="11"/>
        <v>4</v>
      </c>
      <c r="Z32" s="5">
        <v>3</v>
      </c>
      <c r="AA32" s="2">
        <f t="shared" si="12"/>
        <v>12</v>
      </c>
      <c r="AB32" s="2">
        <v>77.3</v>
      </c>
      <c r="AC32" s="6" t="str">
        <f t="shared" si="13"/>
        <v>B+</v>
      </c>
      <c r="AD32" s="1">
        <f t="shared" si="14"/>
        <v>3.5</v>
      </c>
      <c r="AE32" s="2">
        <v>2</v>
      </c>
      <c r="AF32" s="2">
        <f t="shared" si="15"/>
        <v>7</v>
      </c>
      <c r="AG32" s="2">
        <v>78</v>
      </c>
      <c r="AH32" s="6" t="str">
        <f t="shared" si="16"/>
        <v>B+</v>
      </c>
      <c r="AI32" s="1">
        <f t="shared" si="17"/>
        <v>3.5</v>
      </c>
      <c r="AJ32" s="2">
        <v>2</v>
      </c>
      <c r="AK32" s="2">
        <f t="shared" si="18"/>
        <v>7</v>
      </c>
      <c r="AL32" s="2">
        <v>81</v>
      </c>
      <c r="AM32" s="6" t="str">
        <f t="shared" si="19"/>
        <v>A</v>
      </c>
      <c r="AN32" s="1">
        <f t="shared" si="20"/>
        <v>4</v>
      </c>
      <c r="AO32" s="2">
        <v>2</v>
      </c>
      <c r="AP32" s="2">
        <f t="shared" si="21"/>
        <v>8</v>
      </c>
      <c r="AQ32" s="2">
        <v>75</v>
      </c>
      <c r="AR32" s="6" t="str">
        <f t="shared" si="22"/>
        <v>B+</v>
      </c>
      <c r="AS32" s="1">
        <f t="shared" si="23"/>
        <v>3.5</v>
      </c>
      <c r="AT32" s="2">
        <v>2</v>
      </c>
      <c r="AU32" s="2">
        <f t="shared" si="24"/>
        <v>7</v>
      </c>
      <c r="AV32" s="5">
        <v>80.75</v>
      </c>
      <c r="AW32" s="6" t="str">
        <f t="shared" si="25"/>
        <v>A</v>
      </c>
      <c r="AX32" s="1">
        <f t="shared" si="26"/>
        <v>4</v>
      </c>
      <c r="AY32" s="5">
        <v>3</v>
      </c>
      <c r="AZ32" s="3">
        <f t="shared" si="27"/>
        <v>12</v>
      </c>
      <c r="BA32" s="5">
        <v>76.25</v>
      </c>
      <c r="BB32" s="6" t="str">
        <f t="shared" si="28"/>
        <v>B+</v>
      </c>
      <c r="BC32" s="1">
        <f t="shared" si="29"/>
        <v>3.5</v>
      </c>
      <c r="BD32" s="5">
        <v>2</v>
      </c>
      <c r="BE32" s="2">
        <f t="shared" si="30"/>
        <v>7</v>
      </c>
      <c r="BF32" s="5">
        <v>80</v>
      </c>
      <c r="BG32" s="6" t="str">
        <f t="shared" si="31"/>
        <v>A</v>
      </c>
      <c r="BH32" s="1">
        <f t="shared" si="32"/>
        <v>4</v>
      </c>
      <c r="BI32" s="5">
        <v>2</v>
      </c>
      <c r="BJ32" s="2">
        <f t="shared" si="33"/>
        <v>8</v>
      </c>
      <c r="BK32" s="5">
        <v>79.069999999999993</v>
      </c>
      <c r="BL32" s="6" t="str">
        <f t="shared" si="34"/>
        <v>B+</v>
      </c>
      <c r="BM32" s="1">
        <f t="shared" si="35"/>
        <v>3.5</v>
      </c>
      <c r="BN32" s="5">
        <v>2</v>
      </c>
      <c r="BO32" s="2">
        <f t="shared" si="36"/>
        <v>7</v>
      </c>
      <c r="BP32" s="5">
        <v>79.3</v>
      </c>
      <c r="BQ32" s="6" t="str">
        <f t="shared" si="37"/>
        <v>B+</v>
      </c>
      <c r="BR32" s="1">
        <f t="shared" si="38"/>
        <v>3.5</v>
      </c>
      <c r="BS32" s="5">
        <v>2</v>
      </c>
      <c r="BT32" s="2">
        <f t="shared" si="39"/>
        <v>7</v>
      </c>
      <c r="BU32" s="5">
        <v>83</v>
      </c>
      <c r="BV32" s="6" t="str">
        <f t="shared" si="40"/>
        <v>A</v>
      </c>
      <c r="BW32" s="1">
        <f t="shared" si="41"/>
        <v>4</v>
      </c>
      <c r="BX32" s="5">
        <v>2</v>
      </c>
      <c r="BY32" s="2">
        <f t="shared" si="42"/>
        <v>8</v>
      </c>
      <c r="BZ32" s="5">
        <v>81.599999999999994</v>
      </c>
      <c r="CA32" s="6" t="str">
        <f t="shared" si="43"/>
        <v>A</v>
      </c>
      <c r="CB32" s="1">
        <f t="shared" si="44"/>
        <v>4</v>
      </c>
      <c r="CC32" s="5">
        <v>2</v>
      </c>
      <c r="CD32" s="2">
        <f t="shared" si="45"/>
        <v>8</v>
      </c>
      <c r="CE32" s="2">
        <v>85</v>
      </c>
      <c r="CF32" s="6" t="str">
        <f t="shared" si="46"/>
        <v>A</v>
      </c>
      <c r="CG32" s="1">
        <f t="shared" si="47"/>
        <v>4</v>
      </c>
      <c r="CH32" s="5">
        <v>2</v>
      </c>
      <c r="CI32" s="2">
        <f t="shared" si="48"/>
        <v>8</v>
      </c>
      <c r="CJ32" s="2">
        <v>71.349999999999994</v>
      </c>
      <c r="CK32" s="6" t="str">
        <f t="shared" si="49"/>
        <v>B</v>
      </c>
      <c r="CL32" s="1">
        <f t="shared" si="50"/>
        <v>3</v>
      </c>
      <c r="CM32" s="2">
        <v>2</v>
      </c>
      <c r="CN32" s="2">
        <f t="shared" si="51"/>
        <v>6</v>
      </c>
      <c r="CO32" s="2">
        <v>75.5</v>
      </c>
      <c r="CP32" s="6" t="str">
        <f t="shared" si="52"/>
        <v>B+</v>
      </c>
      <c r="CQ32" s="1">
        <f t="shared" si="53"/>
        <v>3.5</v>
      </c>
      <c r="CR32" s="2">
        <v>2</v>
      </c>
      <c r="CS32" s="2">
        <f t="shared" si="54"/>
        <v>7</v>
      </c>
      <c r="CT32" s="2">
        <v>83.1</v>
      </c>
      <c r="CU32" s="6" t="str">
        <f t="shared" si="55"/>
        <v>A</v>
      </c>
      <c r="CV32" s="1">
        <f t="shared" si="56"/>
        <v>4</v>
      </c>
      <c r="CW32" s="2">
        <v>2</v>
      </c>
      <c r="CX32" s="2">
        <f t="shared" si="57"/>
        <v>8</v>
      </c>
      <c r="CY32" s="5">
        <v>78</v>
      </c>
      <c r="CZ32" s="6" t="str">
        <f t="shared" si="58"/>
        <v>B+</v>
      </c>
      <c r="DA32" s="1">
        <f t="shared" si="59"/>
        <v>3.5</v>
      </c>
      <c r="DB32" s="5">
        <v>2</v>
      </c>
      <c r="DC32" s="3">
        <f t="shared" si="60"/>
        <v>7</v>
      </c>
      <c r="DD32" s="5">
        <v>73.5</v>
      </c>
      <c r="DE32" s="6" t="str">
        <f t="shared" si="61"/>
        <v>B</v>
      </c>
      <c r="DF32" s="1">
        <f t="shared" si="62"/>
        <v>3</v>
      </c>
      <c r="DG32" s="5">
        <v>2</v>
      </c>
      <c r="DH32" s="2">
        <f t="shared" si="63"/>
        <v>6</v>
      </c>
      <c r="DI32" s="5">
        <v>80.3</v>
      </c>
      <c r="DJ32" s="6" t="str">
        <f t="shared" si="64"/>
        <v>A</v>
      </c>
      <c r="DK32" s="1">
        <f t="shared" si="65"/>
        <v>4</v>
      </c>
      <c r="DL32" s="5">
        <v>4</v>
      </c>
      <c r="DM32" s="2">
        <f t="shared" si="66"/>
        <v>16</v>
      </c>
      <c r="DN32" s="30">
        <f t="shared" si="75"/>
        <v>88</v>
      </c>
      <c r="DO32" s="31">
        <f t="shared" si="67"/>
        <v>24</v>
      </c>
      <c r="DP32" s="5">
        <f t="shared" si="68"/>
        <v>88</v>
      </c>
      <c r="DQ32" s="5">
        <f t="shared" si="69"/>
        <v>24</v>
      </c>
      <c r="DR32" s="5">
        <f t="shared" si="70"/>
        <v>176</v>
      </c>
      <c r="DS32" s="5">
        <f t="shared" si="71"/>
        <v>48</v>
      </c>
      <c r="DT32" s="5">
        <v>3.6666666666666665</v>
      </c>
      <c r="DU32" s="5">
        <f t="shared" si="72"/>
        <v>3.6666666666666665</v>
      </c>
      <c r="DV32" s="10" t="str">
        <f t="shared" si="73"/>
        <v>Cum Laude</v>
      </c>
      <c r="DW32" s="17" t="str">
        <f t="shared" si="74"/>
        <v>Excellent</v>
      </c>
      <c r="DX32" s="17" t="s">
        <v>179</v>
      </c>
    </row>
    <row r="33" spans="1:128" x14ac:dyDescent="0.2">
      <c r="A33" s="10">
        <v>31</v>
      </c>
      <c r="B33" s="10" t="s">
        <v>50</v>
      </c>
      <c r="C33" s="10">
        <v>182412032</v>
      </c>
      <c r="D33" s="16" t="s">
        <v>128</v>
      </c>
      <c r="E33" s="8" t="s">
        <v>129</v>
      </c>
      <c r="F33" s="15" t="s">
        <v>149</v>
      </c>
      <c r="G33" s="10"/>
      <c r="H33" s="5">
        <v>74</v>
      </c>
      <c r="I33" s="6" t="str">
        <f t="shared" si="1"/>
        <v>B</v>
      </c>
      <c r="J33" s="1">
        <f t="shared" si="2"/>
        <v>3</v>
      </c>
      <c r="K33" s="5">
        <v>2</v>
      </c>
      <c r="L33" s="2">
        <f t="shared" si="3"/>
        <v>6</v>
      </c>
      <c r="M33" s="5">
        <v>77</v>
      </c>
      <c r="N33" s="6" t="str">
        <f t="shared" si="4"/>
        <v>B+</v>
      </c>
      <c r="O33" s="1">
        <f t="shared" si="5"/>
        <v>3.5</v>
      </c>
      <c r="P33" s="5">
        <v>2</v>
      </c>
      <c r="Q33" s="2">
        <f t="shared" si="6"/>
        <v>7</v>
      </c>
      <c r="R33" s="5">
        <v>84.6</v>
      </c>
      <c r="S33" s="6" t="str">
        <f t="shared" si="7"/>
        <v>A</v>
      </c>
      <c r="T33" s="1">
        <f t="shared" si="8"/>
        <v>4</v>
      </c>
      <c r="U33" s="5">
        <v>2</v>
      </c>
      <c r="V33" s="2">
        <f t="shared" si="9"/>
        <v>8</v>
      </c>
      <c r="W33" s="5">
        <v>80</v>
      </c>
      <c r="X33" s="6" t="str">
        <f t="shared" si="10"/>
        <v>A</v>
      </c>
      <c r="Y33" s="1">
        <f t="shared" si="11"/>
        <v>4</v>
      </c>
      <c r="Z33" s="5">
        <v>3</v>
      </c>
      <c r="AA33" s="2">
        <f t="shared" si="12"/>
        <v>12</v>
      </c>
      <c r="AB33" s="2">
        <v>84.05</v>
      </c>
      <c r="AC33" s="6" t="str">
        <f t="shared" si="13"/>
        <v>A</v>
      </c>
      <c r="AD33" s="1">
        <f t="shared" si="14"/>
        <v>4</v>
      </c>
      <c r="AE33" s="2">
        <v>2</v>
      </c>
      <c r="AF33" s="2">
        <f t="shared" si="15"/>
        <v>8</v>
      </c>
      <c r="AG33" s="2">
        <v>78</v>
      </c>
      <c r="AH33" s="6" t="str">
        <f t="shared" si="16"/>
        <v>B+</v>
      </c>
      <c r="AI33" s="1">
        <f t="shared" si="17"/>
        <v>3.5</v>
      </c>
      <c r="AJ33" s="2">
        <v>2</v>
      </c>
      <c r="AK33" s="2">
        <f t="shared" si="18"/>
        <v>7</v>
      </c>
      <c r="AL33" s="2">
        <v>79</v>
      </c>
      <c r="AM33" s="6" t="str">
        <f t="shared" si="19"/>
        <v>B+</v>
      </c>
      <c r="AN33" s="1">
        <f t="shared" si="20"/>
        <v>3.5</v>
      </c>
      <c r="AO33" s="2">
        <v>2</v>
      </c>
      <c r="AP33" s="2">
        <f t="shared" si="21"/>
        <v>7</v>
      </c>
      <c r="AQ33" s="2">
        <v>74</v>
      </c>
      <c r="AR33" s="6" t="str">
        <f t="shared" si="22"/>
        <v>B</v>
      </c>
      <c r="AS33" s="1">
        <f t="shared" si="23"/>
        <v>3</v>
      </c>
      <c r="AT33" s="2">
        <v>2</v>
      </c>
      <c r="AU33" s="2">
        <f t="shared" si="24"/>
        <v>6</v>
      </c>
      <c r="AV33" s="5">
        <v>78</v>
      </c>
      <c r="AW33" s="6" t="str">
        <f t="shared" si="25"/>
        <v>B+</v>
      </c>
      <c r="AX33" s="1">
        <f t="shared" si="26"/>
        <v>3.5</v>
      </c>
      <c r="AY33" s="5">
        <v>3</v>
      </c>
      <c r="AZ33" s="3">
        <f t="shared" si="27"/>
        <v>10.5</v>
      </c>
      <c r="BA33" s="5">
        <v>80</v>
      </c>
      <c r="BB33" s="6" t="str">
        <f t="shared" si="28"/>
        <v>A</v>
      </c>
      <c r="BC33" s="1">
        <f t="shared" si="29"/>
        <v>4</v>
      </c>
      <c r="BD33" s="5">
        <v>2</v>
      </c>
      <c r="BE33" s="2">
        <f t="shared" si="30"/>
        <v>8</v>
      </c>
      <c r="BF33" s="5">
        <v>81</v>
      </c>
      <c r="BG33" s="6" t="str">
        <f t="shared" si="31"/>
        <v>A</v>
      </c>
      <c r="BH33" s="1">
        <f t="shared" si="32"/>
        <v>4</v>
      </c>
      <c r="BI33" s="5">
        <v>2</v>
      </c>
      <c r="BJ33" s="2">
        <f t="shared" si="33"/>
        <v>8</v>
      </c>
      <c r="BK33" s="5">
        <v>75.2</v>
      </c>
      <c r="BL33" s="6" t="str">
        <f t="shared" si="34"/>
        <v>B+</v>
      </c>
      <c r="BM33" s="1">
        <f t="shared" si="35"/>
        <v>3.5</v>
      </c>
      <c r="BN33" s="5">
        <v>2</v>
      </c>
      <c r="BO33" s="2">
        <f t="shared" si="36"/>
        <v>7</v>
      </c>
      <c r="BP33" s="5">
        <v>79.3</v>
      </c>
      <c r="BQ33" s="6" t="str">
        <f t="shared" si="37"/>
        <v>B+</v>
      </c>
      <c r="BR33" s="1">
        <f t="shared" si="38"/>
        <v>3.5</v>
      </c>
      <c r="BS33" s="5">
        <v>2</v>
      </c>
      <c r="BT33" s="2">
        <f t="shared" si="39"/>
        <v>7</v>
      </c>
      <c r="BU33" s="5">
        <v>85</v>
      </c>
      <c r="BV33" s="6" t="str">
        <f t="shared" si="40"/>
        <v>A</v>
      </c>
      <c r="BW33" s="1">
        <f t="shared" si="41"/>
        <v>4</v>
      </c>
      <c r="BX33" s="5">
        <v>2</v>
      </c>
      <c r="BY33" s="2">
        <f t="shared" si="42"/>
        <v>8</v>
      </c>
      <c r="BZ33" s="5">
        <v>80.3</v>
      </c>
      <c r="CA33" s="6" t="str">
        <f t="shared" si="43"/>
        <v>A</v>
      </c>
      <c r="CB33" s="1">
        <f t="shared" si="44"/>
        <v>4</v>
      </c>
      <c r="CC33" s="5">
        <v>2</v>
      </c>
      <c r="CD33" s="2">
        <f t="shared" si="45"/>
        <v>8</v>
      </c>
      <c r="CE33" s="2">
        <v>87</v>
      </c>
      <c r="CF33" s="6" t="str">
        <f t="shared" si="46"/>
        <v>A</v>
      </c>
      <c r="CG33" s="1">
        <f t="shared" si="47"/>
        <v>4</v>
      </c>
      <c r="CH33" s="5">
        <v>2</v>
      </c>
      <c r="CI33" s="2">
        <f t="shared" si="48"/>
        <v>8</v>
      </c>
      <c r="CJ33" s="2">
        <v>72.150000000000006</v>
      </c>
      <c r="CK33" s="6" t="str">
        <f t="shared" si="49"/>
        <v>B</v>
      </c>
      <c r="CL33" s="1">
        <f t="shared" si="50"/>
        <v>3</v>
      </c>
      <c r="CM33" s="2">
        <v>2</v>
      </c>
      <c r="CN33" s="2">
        <f t="shared" si="51"/>
        <v>6</v>
      </c>
      <c r="CO33" s="2">
        <v>77</v>
      </c>
      <c r="CP33" s="6" t="str">
        <f t="shared" si="52"/>
        <v>B+</v>
      </c>
      <c r="CQ33" s="1">
        <f t="shared" si="53"/>
        <v>3.5</v>
      </c>
      <c r="CR33" s="2">
        <v>2</v>
      </c>
      <c r="CS33" s="2">
        <f t="shared" si="54"/>
        <v>7</v>
      </c>
      <c r="CT33" s="2">
        <v>83.3</v>
      </c>
      <c r="CU33" s="6" t="str">
        <f t="shared" si="55"/>
        <v>A</v>
      </c>
      <c r="CV33" s="1">
        <f t="shared" si="56"/>
        <v>4</v>
      </c>
      <c r="CW33" s="2">
        <v>2</v>
      </c>
      <c r="CX33" s="2">
        <f t="shared" si="57"/>
        <v>8</v>
      </c>
      <c r="CY33" s="5">
        <v>70</v>
      </c>
      <c r="CZ33" s="6" t="str">
        <f t="shared" si="58"/>
        <v>B</v>
      </c>
      <c r="DA33" s="1">
        <f t="shared" si="59"/>
        <v>3</v>
      </c>
      <c r="DB33" s="5">
        <v>2</v>
      </c>
      <c r="DC33" s="3">
        <f t="shared" si="60"/>
        <v>6</v>
      </c>
      <c r="DD33" s="5">
        <v>73.5</v>
      </c>
      <c r="DE33" s="6" t="str">
        <f t="shared" si="61"/>
        <v>B</v>
      </c>
      <c r="DF33" s="1">
        <f t="shared" si="62"/>
        <v>3</v>
      </c>
      <c r="DG33" s="5">
        <v>2</v>
      </c>
      <c r="DH33" s="2">
        <f t="shared" si="63"/>
        <v>6</v>
      </c>
      <c r="DI33" s="5">
        <v>80</v>
      </c>
      <c r="DJ33" s="6" t="str">
        <f t="shared" si="64"/>
        <v>A</v>
      </c>
      <c r="DK33" s="1">
        <f t="shared" si="65"/>
        <v>4</v>
      </c>
      <c r="DL33" s="5">
        <v>4</v>
      </c>
      <c r="DM33" s="2">
        <f t="shared" si="66"/>
        <v>16</v>
      </c>
      <c r="DN33" s="30">
        <f t="shared" si="75"/>
        <v>87.5</v>
      </c>
      <c r="DO33" s="31">
        <f t="shared" si="67"/>
        <v>24</v>
      </c>
      <c r="DP33" s="5">
        <f t="shared" si="68"/>
        <v>87</v>
      </c>
      <c r="DQ33" s="5">
        <f t="shared" si="69"/>
        <v>24</v>
      </c>
      <c r="DR33" s="5">
        <f t="shared" si="70"/>
        <v>174.5</v>
      </c>
      <c r="DS33" s="5">
        <f t="shared" si="71"/>
        <v>48</v>
      </c>
      <c r="DT33" s="5">
        <v>3.625</v>
      </c>
      <c r="DU33" s="5">
        <f t="shared" si="72"/>
        <v>3.6354166666666665</v>
      </c>
      <c r="DV33" s="10" t="str">
        <f t="shared" si="73"/>
        <v>Cum Laude</v>
      </c>
      <c r="DW33" s="17" t="str">
        <f t="shared" si="74"/>
        <v>Excellent</v>
      </c>
      <c r="DX33" s="17" t="s">
        <v>180</v>
      </c>
    </row>
    <row r="34" spans="1:128" x14ac:dyDescent="0.2">
      <c r="A34" s="10">
        <v>32</v>
      </c>
      <c r="B34" s="10" t="s">
        <v>51</v>
      </c>
      <c r="C34" s="10">
        <v>182412034</v>
      </c>
      <c r="D34" s="16" t="s">
        <v>130</v>
      </c>
      <c r="E34" s="8" t="s">
        <v>131</v>
      </c>
      <c r="F34" s="15" t="s">
        <v>149</v>
      </c>
      <c r="G34" s="10"/>
      <c r="H34" s="5">
        <v>78.75</v>
      </c>
      <c r="I34" s="6" t="str">
        <f t="shared" si="1"/>
        <v>B+</v>
      </c>
      <c r="J34" s="1">
        <f t="shared" si="2"/>
        <v>3.5</v>
      </c>
      <c r="K34" s="5">
        <v>2</v>
      </c>
      <c r="L34" s="2">
        <f t="shared" si="3"/>
        <v>7</v>
      </c>
      <c r="M34" s="5">
        <v>78</v>
      </c>
      <c r="N34" s="6" t="str">
        <f t="shared" si="4"/>
        <v>B+</v>
      </c>
      <c r="O34" s="1">
        <f t="shared" si="5"/>
        <v>3.5</v>
      </c>
      <c r="P34" s="5">
        <v>2</v>
      </c>
      <c r="Q34" s="2">
        <f t="shared" si="6"/>
        <v>7</v>
      </c>
      <c r="R34" s="5">
        <v>79</v>
      </c>
      <c r="S34" s="6" t="str">
        <f t="shared" si="7"/>
        <v>B+</v>
      </c>
      <c r="T34" s="1">
        <f t="shared" si="8"/>
        <v>3.5</v>
      </c>
      <c r="U34" s="5">
        <v>2</v>
      </c>
      <c r="V34" s="2">
        <f t="shared" si="9"/>
        <v>7</v>
      </c>
      <c r="W34" s="5">
        <v>76</v>
      </c>
      <c r="X34" s="6" t="str">
        <f t="shared" si="10"/>
        <v>B+</v>
      </c>
      <c r="Y34" s="1">
        <f t="shared" si="11"/>
        <v>3.5</v>
      </c>
      <c r="Z34" s="5">
        <v>3</v>
      </c>
      <c r="AA34" s="2">
        <f t="shared" si="12"/>
        <v>10.5</v>
      </c>
      <c r="AB34" s="5">
        <v>83.75</v>
      </c>
      <c r="AC34" s="6" t="str">
        <f t="shared" si="13"/>
        <v>A</v>
      </c>
      <c r="AD34" s="1">
        <f t="shared" si="14"/>
        <v>4</v>
      </c>
      <c r="AE34" s="2">
        <v>2</v>
      </c>
      <c r="AF34" s="2">
        <f t="shared" si="15"/>
        <v>8</v>
      </c>
      <c r="AG34" s="5">
        <v>78</v>
      </c>
      <c r="AH34" s="6" t="str">
        <f t="shared" si="16"/>
        <v>B+</v>
      </c>
      <c r="AI34" s="1">
        <f t="shared" si="17"/>
        <v>3.5</v>
      </c>
      <c r="AJ34" s="2">
        <v>2</v>
      </c>
      <c r="AK34" s="2">
        <f t="shared" si="18"/>
        <v>7</v>
      </c>
      <c r="AL34" s="5">
        <v>79</v>
      </c>
      <c r="AM34" s="6" t="str">
        <f t="shared" si="19"/>
        <v>B+</v>
      </c>
      <c r="AN34" s="1">
        <f t="shared" si="20"/>
        <v>3.5</v>
      </c>
      <c r="AO34" s="2">
        <v>2</v>
      </c>
      <c r="AP34" s="2">
        <f t="shared" si="21"/>
        <v>7</v>
      </c>
      <c r="AQ34" s="5">
        <v>74</v>
      </c>
      <c r="AR34" s="6" t="str">
        <f t="shared" si="22"/>
        <v>B</v>
      </c>
      <c r="AS34" s="1">
        <f t="shared" si="23"/>
        <v>3</v>
      </c>
      <c r="AT34" s="2">
        <v>2</v>
      </c>
      <c r="AU34" s="2">
        <f t="shared" si="24"/>
        <v>6</v>
      </c>
      <c r="AV34" s="5">
        <v>78</v>
      </c>
      <c r="AW34" s="6" t="str">
        <f t="shared" si="25"/>
        <v>B+</v>
      </c>
      <c r="AX34" s="1">
        <f t="shared" si="26"/>
        <v>3.5</v>
      </c>
      <c r="AY34" s="5">
        <v>3</v>
      </c>
      <c r="AZ34" s="3">
        <f t="shared" si="27"/>
        <v>10.5</v>
      </c>
      <c r="BA34" s="5">
        <v>76.25</v>
      </c>
      <c r="BB34" s="6" t="str">
        <f t="shared" si="28"/>
        <v>B+</v>
      </c>
      <c r="BC34" s="1">
        <f t="shared" si="29"/>
        <v>3.5</v>
      </c>
      <c r="BD34" s="5">
        <v>2</v>
      </c>
      <c r="BE34" s="2">
        <f t="shared" si="30"/>
        <v>7</v>
      </c>
      <c r="BF34" s="5">
        <v>79</v>
      </c>
      <c r="BG34" s="6" t="str">
        <f t="shared" si="31"/>
        <v>B+</v>
      </c>
      <c r="BH34" s="1">
        <f t="shared" si="32"/>
        <v>3.5</v>
      </c>
      <c r="BI34" s="5">
        <v>2</v>
      </c>
      <c r="BJ34" s="2">
        <f t="shared" si="33"/>
        <v>7</v>
      </c>
      <c r="BK34" s="5">
        <v>79.150000000000006</v>
      </c>
      <c r="BL34" s="6" t="str">
        <f t="shared" si="34"/>
        <v>B+</v>
      </c>
      <c r="BM34" s="1">
        <f t="shared" si="35"/>
        <v>3.5</v>
      </c>
      <c r="BN34" s="5">
        <v>2</v>
      </c>
      <c r="BO34" s="2">
        <f t="shared" si="36"/>
        <v>7</v>
      </c>
      <c r="BP34" s="5">
        <v>79.5</v>
      </c>
      <c r="BQ34" s="6" t="str">
        <f t="shared" si="37"/>
        <v>B+</v>
      </c>
      <c r="BR34" s="1">
        <f t="shared" si="38"/>
        <v>3.5</v>
      </c>
      <c r="BS34" s="5">
        <v>2</v>
      </c>
      <c r="BT34" s="2">
        <f t="shared" si="39"/>
        <v>7</v>
      </c>
      <c r="BU34" s="5">
        <v>86</v>
      </c>
      <c r="BV34" s="6" t="str">
        <f t="shared" si="40"/>
        <v>A</v>
      </c>
      <c r="BW34" s="1">
        <f t="shared" si="41"/>
        <v>4</v>
      </c>
      <c r="BX34" s="5">
        <v>2</v>
      </c>
      <c r="BY34" s="2">
        <f t="shared" si="42"/>
        <v>8</v>
      </c>
      <c r="BZ34" s="5">
        <v>77.099999999999994</v>
      </c>
      <c r="CA34" s="6" t="str">
        <f t="shared" si="43"/>
        <v>B+</v>
      </c>
      <c r="CB34" s="1">
        <f t="shared" si="44"/>
        <v>3.5</v>
      </c>
      <c r="CC34" s="5">
        <v>2</v>
      </c>
      <c r="CD34" s="2">
        <f t="shared" si="45"/>
        <v>7</v>
      </c>
      <c r="CE34" s="5">
        <v>86</v>
      </c>
      <c r="CF34" s="6" t="str">
        <f t="shared" si="46"/>
        <v>A</v>
      </c>
      <c r="CG34" s="1">
        <f t="shared" si="47"/>
        <v>4</v>
      </c>
      <c r="CH34" s="5">
        <v>2</v>
      </c>
      <c r="CI34" s="2">
        <f t="shared" si="48"/>
        <v>8</v>
      </c>
      <c r="CJ34" s="5">
        <v>78.13</v>
      </c>
      <c r="CK34" s="6" t="str">
        <f t="shared" si="49"/>
        <v>B+</v>
      </c>
      <c r="CL34" s="1">
        <f t="shared" si="50"/>
        <v>3.5</v>
      </c>
      <c r="CM34" s="2">
        <v>2</v>
      </c>
      <c r="CN34" s="2">
        <f t="shared" si="51"/>
        <v>7</v>
      </c>
      <c r="CO34" s="5">
        <v>77.599999999999994</v>
      </c>
      <c r="CP34" s="6" t="str">
        <f t="shared" si="52"/>
        <v>B+</v>
      </c>
      <c r="CQ34" s="1">
        <f t="shared" si="53"/>
        <v>3.5</v>
      </c>
      <c r="CR34" s="2">
        <v>2</v>
      </c>
      <c r="CS34" s="2">
        <f t="shared" si="54"/>
        <v>7</v>
      </c>
      <c r="CT34" s="5">
        <v>82.6</v>
      </c>
      <c r="CU34" s="6" t="str">
        <f t="shared" si="55"/>
        <v>A</v>
      </c>
      <c r="CV34" s="1">
        <f t="shared" si="56"/>
        <v>4</v>
      </c>
      <c r="CW34" s="2">
        <v>2</v>
      </c>
      <c r="CX34" s="2">
        <f t="shared" si="57"/>
        <v>8</v>
      </c>
      <c r="CY34" s="5">
        <v>80</v>
      </c>
      <c r="CZ34" s="6" t="str">
        <f t="shared" si="58"/>
        <v>A</v>
      </c>
      <c r="DA34" s="1">
        <f t="shared" si="59"/>
        <v>4</v>
      </c>
      <c r="DB34" s="5">
        <v>2</v>
      </c>
      <c r="DC34" s="3">
        <f t="shared" si="60"/>
        <v>8</v>
      </c>
      <c r="DD34" s="5">
        <v>75</v>
      </c>
      <c r="DE34" s="6" t="str">
        <f t="shared" si="61"/>
        <v>B+</v>
      </c>
      <c r="DF34" s="1">
        <f t="shared" si="62"/>
        <v>3.5</v>
      </c>
      <c r="DG34" s="5">
        <v>2</v>
      </c>
      <c r="DH34" s="2">
        <f t="shared" si="63"/>
        <v>7</v>
      </c>
      <c r="DI34" s="5">
        <v>80</v>
      </c>
      <c r="DJ34" s="6" t="str">
        <f>IF(DI34&gt;=80,"A",IF(DI34&gt;=75,"B+",IF(DI34&gt;=70,"B",IF(DI34&gt;=65,"C+",IF(DI34&gt;=60,"C",IF(DI34&gt;=55,"D",IF(DI34&lt;54,"E")))))))</f>
        <v>A</v>
      </c>
      <c r="DK34" s="1">
        <f t="shared" si="65"/>
        <v>4</v>
      </c>
      <c r="DL34" s="5">
        <v>4</v>
      </c>
      <c r="DM34" s="2">
        <f t="shared" si="66"/>
        <v>16</v>
      </c>
      <c r="DN34" s="30">
        <f t="shared" si="75"/>
        <v>84</v>
      </c>
      <c r="DO34" s="31">
        <f t="shared" si="67"/>
        <v>24</v>
      </c>
      <c r="DP34" s="5">
        <f t="shared" si="68"/>
        <v>90</v>
      </c>
      <c r="DQ34" s="5">
        <f t="shared" si="69"/>
        <v>24</v>
      </c>
      <c r="DR34" s="5">
        <f t="shared" si="70"/>
        <v>174</v>
      </c>
      <c r="DS34" s="5">
        <f t="shared" si="71"/>
        <v>48</v>
      </c>
      <c r="DT34" s="5">
        <v>3.75</v>
      </c>
      <c r="DU34" s="5">
        <f t="shared" si="72"/>
        <v>3.625</v>
      </c>
      <c r="DV34" s="10" t="str">
        <f t="shared" si="73"/>
        <v>Cum Laude</v>
      </c>
      <c r="DW34" s="17" t="str">
        <f t="shared" si="74"/>
        <v>Excellent</v>
      </c>
      <c r="DX34" s="17" t="s">
        <v>181</v>
      </c>
    </row>
    <row r="35" spans="1:128" x14ac:dyDescent="0.2">
      <c r="A35" s="10">
        <v>33</v>
      </c>
      <c r="B35" s="10" t="s">
        <v>52</v>
      </c>
      <c r="C35" s="10">
        <v>182412035</v>
      </c>
      <c r="D35" s="16" t="s">
        <v>132</v>
      </c>
      <c r="E35" s="8" t="s">
        <v>133</v>
      </c>
      <c r="F35" s="15" t="s">
        <v>149</v>
      </c>
      <c r="G35" s="10"/>
      <c r="H35" s="5">
        <v>72.5</v>
      </c>
      <c r="I35" s="6" t="str">
        <f t="shared" si="1"/>
        <v>B</v>
      </c>
      <c r="J35" s="1">
        <f t="shared" si="2"/>
        <v>3</v>
      </c>
      <c r="K35" s="5">
        <v>2</v>
      </c>
      <c r="L35" s="2">
        <f t="shared" si="3"/>
        <v>6</v>
      </c>
      <c r="M35" s="5">
        <v>77</v>
      </c>
      <c r="N35" s="6" t="str">
        <f t="shared" si="4"/>
        <v>B+</v>
      </c>
      <c r="O35" s="1">
        <f t="shared" si="5"/>
        <v>3.5</v>
      </c>
      <c r="P35" s="5">
        <v>2</v>
      </c>
      <c r="Q35" s="2">
        <f t="shared" si="6"/>
        <v>7</v>
      </c>
      <c r="R35" s="5">
        <v>74</v>
      </c>
      <c r="S35" s="6" t="str">
        <f t="shared" si="7"/>
        <v>B</v>
      </c>
      <c r="T35" s="1">
        <f t="shared" si="8"/>
        <v>3</v>
      </c>
      <c r="U35" s="5">
        <v>2</v>
      </c>
      <c r="V35" s="2">
        <f t="shared" si="9"/>
        <v>6</v>
      </c>
      <c r="W35" s="5">
        <v>78</v>
      </c>
      <c r="X35" s="6" t="str">
        <f t="shared" si="10"/>
        <v>B+</v>
      </c>
      <c r="Y35" s="1">
        <f t="shared" si="11"/>
        <v>3.5</v>
      </c>
      <c r="Z35" s="5">
        <v>3</v>
      </c>
      <c r="AA35" s="2">
        <f t="shared" si="12"/>
        <v>10.5</v>
      </c>
      <c r="AB35" s="5">
        <v>76.75</v>
      </c>
      <c r="AC35" s="6" t="str">
        <f t="shared" si="13"/>
        <v>B+</v>
      </c>
      <c r="AD35" s="1">
        <f t="shared" si="14"/>
        <v>3.5</v>
      </c>
      <c r="AE35" s="2">
        <v>2</v>
      </c>
      <c r="AF35" s="2">
        <f t="shared" si="15"/>
        <v>7</v>
      </c>
      <c r="AG35" s="5">
        <v>78</v>
      </c>
      <c r="AH35" s="6" t="str">
        <f t="shared" si="16"/>
        <v>B+</v>
      </c>
      <c r="AI35" s="1">
        <f t="shared" si="17"/>
        <v>3.5</v>
      </c>
      <c r="AJ35" s="2">
        <v>2</v>
      </c>
      <c r="AK35" s="2">
        <f t="shared" si="18"/>
        <v>7</v>
      </c>
      <c r="AL35" s="5">
        <v>79</v>
      </c>
      <c r="AM35" s="6" t="str">
        <f t="shared" si="19"/>
        <v>B+</v>
      </c>
      <c r="AN35" s="1">
        <f t="shared" si="20"/>
        <v>3.5</v>
      </c>
      <c r="AO35" s="2">
        <v>2</v>
      </c>
      <c r="AP35" s="2">
        <f t="shared" si="21"/>
        <v>7</v>
      </c>
      <c r="AQ35" s="5">
        <v>75</v>
      </c>
      <c r="AR35" s="6" t="str">
        <f t="shared" si="22"/>
        <v>B+</v>
      </c>
      <c r="AS35" s="1">
        <f t="shared" si="23"/>
        <v>3.5</v>
      </c>
      <c r="AT35" s="2">
        <v>2</v>
      </c>
      <c r="AU35" s="2">
        <f t="shared" si="24"/>
        <v>7</v>
      </c>
      <c r="AV35" s="5">
        <v>76.75</v>
      </c>
      <c r="AW35" s="6" t="str">
        <f t="shared" si="25"/>
        <v>B+</v>
      </c>
      <c r="AX35" s="1">
        <f t="shared" si="26"/>
        <v>3.5</v>
      </c>
      <c r="AY35" s="5">
        <v>3</v>
      </c>
      <c r="AZ35" s="3">
        <f t="shared" si="27"/>
        <v>10.5</v>
      </c>
      <c r="BA35" s="5">
        <v>76.25</v>
      </c>
      <c r="BB35" s="6" t="str">
        <f t="shared" si="28"/>
        <v>B+</v>
      </c>
      <c r="BC35" s="1">
        <f t="shared" si="29"/>
        <v>3.5</v>
      </c>
      <c r="BD35" s="5">
        <v>2</v>
      </c>
      <c r="BE35" s="2">
        <f t="shared" si="30"/>
        <v>7</v>
      </c>
      <c r="BF35" s="5">
        <v>79</v>
      </c>
      <c r="BG35" s="6" t="str">
        <f t="shared" si="31"/>
        <v>B+</v>
      </c>
      <c r="BH35" s="1">
        <f t="shared" si="32"/>
        <v>3.5</v>
      </c>
      <c r="BI35" s="5">
        <v>2</v>
      </c>
      <c r="BJ35" s="2">
        <f t="shared" si="33"/>
        <v>7</v>
      </c>
      <c r="BK35" s="5">
        <v>77.47</v>
      </c>
      <c r="BL35" s="6" t="str">
        <f t="shared" si="34"/>
        <v>B+</v>
      </c>
      <c r="BM35" s="1">
        <f t="shared" si="35"/>
        <v>3.5</v>
      </c>
      <c r="BN35" s="5">
        <v>2</v>
      </c>
      <c r="BO35" s="2">
        <f t="shared" si="36"/>
        <v>7</v>
      </c>
      <c r="BP35" s="5">
        <v>79</v>
      </c>
      <c r="BQ35" s="6" t="str">
        <f t="shared" si="37"/>
        <v>B+</v>
      </c>
      <c r="BR35" s="1">
        <f t="shared" si="38"/>
        <v>3.5</v>
      </c>
      <c r="BS35" s="5">
        <v>2</v>
      </c>
      <c r="BT35" s="2">
        <f t="shared" si="39"/>
        <v>7</v>
      </c>
      <c r="BU35" s="5">
        <v>84</v>
      </c>
      <c r="BV35" s="6" t="str">
        <f t="shared" si="40"/>
        <v>A</v>
      </c>
      <c r="BW35" s="1">
        <f t="shared" si="41"/>
        <v>4</v>
      </c>
      <c r="BX35" s="5">
        <v>2</v>
      </c>
      <c r="BY35" s="2">
        <f t="shared" si="42"/>
        <v>8</v>
      </c>
      <c r="BZ35" s="5">
        <v>77.3</v>
      </c>
      <c r="CA35" s="6" t="str">
        <f t="shared" si="43"/>
        <v>B+</v>
      </c>
      <c r="CB35" s="1">
        <f t="shared" si="44"/>
        <v>3.5</v>
      </c>
      <c r="CC35" s="5">
        <v>2</v>
      </c>
      <c r="CD35" s="2">
        <f t="shared" si="45"/>
        <v>7</v>
      </c>
      <c r="CE35" s="5">
        <v>85</v>
      </c>
      <c r="CF35" s="6" t="str">
        <f t="shared" si="46"/>
        <v>A</v>
      </c>
      <c r="CG35" s="1">
        <f t="shared" si="47"/>
        <v>4</v>
      </c>
      <c r="CH35" s="5">
        <v>2</v>
      </c>
      <c r="CI35" s="2">
        <f t="shared" si="48"/>
        <v>8</v>
      </c>
      <c r="CJ35" s="5">
        <v>73.75</v>
      </c>
      <c r="CK35" s="6" t="str">
        <f t="shared" si="49"/>
        <v>B</v>
      </c>
      <c r="CL35" s="1">
        <f t="shared" si="50"/>
        <v>3</v>
      </c>
      <c r="CM35" s="2">
        <v>2</v>
      </c>
      <c r="CN35" s="2">
        <f t="shared" si="51"/>
        <v>6</v>
      </c>
      <c r="CO35" s="5">
        <v>76.099999999999994</v>
      </c>
      <c r="CP35" s="6" t="str">
        <f t="shared" si="52"/>
        <v>B+</v>
      </c>
      <c r="CQ35" s="1">
        <f t="shared" si="53"/>
        <v>3.5</v>
      </c>
      <c r="CR35" s="2">
        <v>2</v>
      </c>
      <c r="CS35" s="2">
        <f t="shared" si="54"/>
        <v>7</v>
      </c>
      <c r="CT35" s="5">
        <v>80</v>
      </c>
      <c r="CU35" s="6" t="str">
        <f t="shared" si="55"/>
        <v>A</v>
      </c>
      <c r="CV35" s="1">
        <f t="shared" si="56"/>
        <v>4</v>
      </c>
      <c r="CW35" s="2">
        <v>2</v>
      </c>
      <c r="CX35" s="2">
        <f t="shared" si="57"/>
        <v>8</v>
      </c>
      <c r="CY35" s="5">
        <v>80</v>
      </c>
      <c r="CZ35" s="6" t="str">
        <f t="shared" si="58"/>
        <v>A</v>
      </c>
      <c r="DA35" s="1">
        <f t="shared" si="59"/>
        <v>4</v>
      </c>
      <c r="DB35" s="5">
        <v>2</v>
      </c>
      <c r="DC35" s="3">
        <f t="shared" si="60"/>
        <v>8</v>
      </c>
      <c r="DD35" s="5">
        <v>75</v>
      </c>
      <c r="DE35" s="6" t="str">
        <f t="shared" si="61"/>
        <v>B+</v>
      </c>
      <c r="DF35" s="1">
        <f t="shared" si="62"/>
        <v>3.5</v>
      </c>
      <c r="DG35" s="5">
        <v>2</v>
      </c>
      <c r="DH35" s="2">
        <f t="shared" si="63"/>
        <v>7</v>
      </c>
      <c r="DI35" s="5">
        <v>80</v>
      </c>
      <c r="DJ35" s="6" t="str">
        <f>IF(DI35&gt;=80,"A",IF(DI35&gt;=75,"B+",IF(DI35&gt;=70,"B",IF(DI35&gt;=65,"C+",IF(DI35&gt;=60,"C",IF(DI35&gt;=55,"D",IF(DI35&lt;54,"E")))))))</f>
        <v>A</v>
      </c>
      <c r="DK35" s="1">
        <f t="shared" si="65"/>
        <v>4</v>
      </c>
      <c r="DL35" s="5">
        <v>4</v>
      </c>
      <c r="DM35" s="2">
        <f t="shared" si="66"/>
        <v>16</v>
      </c>
      <c r="DN35" s="30">
        <f t="shared" si="75"/>
        <v>82</v>
      </c>
      <c r="DO35" s="31">
        <f t="shared" si="67"/>
        <v>24</v>
      </c>
      <c r="DP35" s="5">
        <f t="shared" si="68"/>
        <v>89</v>
      </c>
      <c r="DQ35" s="5">
        <f t="shared" si="69"/>
        <v>24</v>
      </c>
      <c r="DR35" s="5">
        <f t="shared" si="70"/>
        <v>171</v>
      </c>
      <c r="DS35" s="5">
        <f t="shared" si="71"/>
        <v>48</v>
      </c>
      <c r="DT35" s="5">
        <v>3.7083333333333335</v>
      </c>
      <c r="DU35" s="5">
        <f t="shared" si="72"/>
        <v>3.5625</v>
      </c>
      <c r="DV35" s="10" t="str">
        <f t="shared" si="73"/>
        <v>Cum Laude</v>
      </c>
      <c r="DW35" s="17" t="str">
        <f t="shared" si="74"/>
        <v>Excellent</v>
      </c>
      <c r="DX35" s="17" t="s">
        <v>162</v>
      </c>
    </row>
    <row r="36" spans="1:128" x14ac:dyDescent="0.2">
      <c r="A36" s="10">
        <v>34</v>
      </c>
      <c r="B36" s="10" t="s">
        <v>53</v>
      </c>
      <c r="C36" s="10">
        <v>182412036</v>
      </c>
      <c r="D36" s="16" t="s">
        <v>134</v>
      </c>
      <c r="E36" s="8" t="s">
        <v>135</v>
      </c>
      <c r="F36" s="15" t="s">
        <v>149</v>
      </c>
      <c r="G36" s="10"/>
      <c r="H36" s="5">
        <v>77.25</v>
      </c>
      <c r="I36" s="6" t="str">
        <f t="shared" si="1"/>
        <v>B+</v>
      </c>
      <c r="J36" s="1">
        <f t="shared" si="2"/>
        <v>3.5</v>
      </c>
      <c r="K36" s="5">
        <v>2</v>
      </c>
      <c r="L36" s="2">
        <f t="shared" si="3"/>
        <v>7</v>
      </c>
      <c r="M36" s="5">
        <v>83</v>
      </c>
      <c r="N36" s="6" t="str">
        <f t="shared" si="4"/>
        <v>A</v>
      </c>
      <c r="O36" s="1">
        <f t="shared" si="5"/>
        <v>4</v>
      </c>
      <c r="P36" s="5">
        <v>2</v>
      </c>
      <c r="Q36" s="2">
        <f t="shared" si="6"/>
        <v>8</v>
      </c>
      <c r="R36" s="5">
        <v>74.2</v>
      </c>
      <c r="S36" s="6" t="str">
        <f t="shared" si="7"/>
        <v>B</v>
      </c>
      <c r="T36" s="1">
        <f t="shared" si="8"/>
        <v>3</v>
      </c>
      <c r="U36" s="5">
        <v>2</v>
      </c>
      <c r="V36" s="2">
        <f t="shared" si="9"/>
        <v>6</v>
      </c>
      <c r="W36" s="5">
        <v>76</v>
      </c>
      <c r="X36" s="6" t="str">
        <f t="shared" si="10"/>
        <v>B+</v>
      </c>
      <c r="Y36" s="1">
        <f t="shared" si="11"/>
        <v>3.5</v>
      </c>
      <c r="Z36" s="5">
        <v>3</v>
      </c>
      <c r="AA36" s="2">
        <f t="shared" si="12"/>
        <v>10.5</v>
      </c>
      <c r="AB36" s="5">
        <v>84.3</v>
      </c>
      <c r="AC36" s="6" t="str">
        <f t="shared" si="13"/>
        <v>A</v>
      </c>
      <c r="AD36" s="1">
        <f t="shared" si="14"/>
        <v>4</v>
      </c>
      <c r="AE36" s="2">
        <v>2</v>
      </c>
      <c r="AF36" s="2">
        <f t="shared" si="15"/>
        <v>8</v>
      </c>
      <c r="AG36" s="5">
        <v>78</v>
      </c>
      <c r="AH36" s="6" t="str">
        <f t="shared" si="16"/>
        <v>B+</v>
      </c>
      <c r="AI36" s="1">
        <f t="shared" si="17"/>
        <v>3.5</v>
      </c>
      <c r="AJ36" s="2">
        <v>2</v>
      </c>
      <c r="AK36" s="2">
        <f t="shared" si="18"/>
        <v>7</v>
      </c>
      <c r="AL36" s="5">
        <v>79</v>
      </c>
      <c r="AM36" s="6" t="str">
        <f t="shared" si="19"/>
        <v>B+</v>
      </c>
      <c r="AN36" s="1">
        <f t="shared" si="20"/>
        <v>3.5</v>
      </c>
      <c r="AO36" s="2">
        <v>2</v>
      </c>
      <c r="AP36" s="2">
        <f t="shared" si="21"/>
        <v>7</v>
      </c>
      <c r="AQ36" s="5">
        <v>76</v>
      </c>
      <c r="AR36" s="6" t="str">
        <f t="shared" si="22"/>
        <v>B+</v>
      </c>
      <c r="AS36" s="1">
        <f t="shared" si="23"/>
        <v>3.5</v>
      </c>
      <c r="AT36" s="2">
        <v>2</v>
      </c>
      <c r="AU36" s="2">
        <f t="shared" si="24"/>
        <v>7</v>
      </c>
      <c r="AV36" s="5">
        <v>79.5</v>
      </c>
      <c r="AW36" s="6" t="str">
        <f t="shared" si="25"/>
        <v>B+</v>
      </c>
      <c r="AX36" s="1">
        <f t="shared" si="26"/>
        <v>3.5</v>
      </c>
      <c r="AY36" s="5">
        <v>3</v>
      </c>
      <c r="AZ36" s="3">
        <f t="shared" si="27"/>
        <v>10.5</v>
      </c>
      <c r="BA36" s="5">
        <v>80</v>
      </c>
      <c r="BB36" s="6" t="str">
        <f t="shared" si="28"/>
        <v>A</v>
      </c>
      <c r="BC36" s="1">
        <f t="shared" si="29"/>
        <v>4</v>
      </c>
      <c r="BD36" s="5">
        <v>2</v>
      </c>
      <c r="BE36" s="2">
        <f t="shared" si="30"/>
        <v>8</v>
      </c>
      <c r="BF36" s="5">
        <v>81</v>
      </c>
      <c r="BG36" s="6" t="str">
        <f t="shared" si="31"/>
        <v>A</v>
      </c>
      <c r="BH36" s="1">
        <f t="shared" si="32"/>
        <v>4</v>
      </c>
      <c r="BI36" s="5">
        <v>2</v>
      </c>
      <c r="BJ36" s="2">
        <f t="shared" si="33"/>
        <v>8</v>
      </c>
      <c r="BK36" s="5">
        <v>75.2</v>
      </c>
      <c r="BL36" s="6" t="str">
        <f t="shared" si="34"/>
        <v>B+</v>
      </c>
      <c r="BM36" s="1">
        <f t="shared" si="35"/>
        <v>3.5</v>
      </c>
      <c r="BN36" s="5">
        <v>2</v>
      </c>
      <c r="BO36" s="2">
        <f t="shared" si="36"/>
        <v>7</v>
      </c>
      <c r="BP36" s="5">
        <v>81.8</v>
      </c>
      <c r="BQ36" s="6" t="str">
        <f t="shared" si="37"/>
        <v>A</v>
      </c>
      <c r="BR36" s="1">
        <f t="shared" si="38"/>
        <v>4</v>
      </c>
      <c r="BS36" s="5">
        <v>2</v>
      </c>
      <c r="BT36" s="2">
        <f t="shared" si="39"/>
        <v>8</v>
      </c>
      <c r="BU36" s="5">
        <v>80</v>
      </c>
      <c r="BV36" s="6" t="str">
        <f t="shared" si="40"/>
        <v>A</v>
      </c>
      <c r="BW36" s="1">
        <f t="shared" si="41"/>
        <v>4</v>
      </c>
      <c r="BX36" s="5">
        <v>2</v>
      </c>
      <c r="BY36" s="2">
        <f t="shared" si="42"/>
        <v>8</v>
      </c>
      <c r="BZ36" s="5">
        <v>81.599999999999994</v>
      </c>
      <c r="CA36" s="6" t="str">
        <f t="shared" si="43"/>
        <v>A</v>
      </c>
      <c r="CB36" s="1">
        <f t="shared" si="44"/>
        <v>4</v>
      </c>
      <c r="CC36" s="5">
        <v>2</v>
      </c>
      <c r="CD36" s="2">
        <f t="shared" si="45"/>
        <v>8</v>
      </c>
      <c r="CE36" s="5">
        <v>86</v>
      </c>
      <c r="CF36" s="6" t="str">
        <f t="shared" si="46"/>
        <v>A</v>
      </c>
      <c r="CG36" s="1">
        <f t="shared" si="47"/>
        <v>4</v>
      </c>
      <c r="CH36" s="5">
        <v>2</v>
      </c>
      <c r="CI36" s="2">
        <f t="shared" si="48"/>
        <v>8</v>
      </c>
      <c r="CJ36" s="5">
        <v>74.55</v>
      </c>
      <c r="CK36" s="6" t="str">
        <f t="shared" si="49"/>
        <v>B</v>
      </c>
      <c r="CL36" s="1">
        <f t="shared" si="50"/>
        <v>3</v>
      </c>
      <c r="CM36" s="2">
        <v>2</v>
      </c>
      <c r="CN36" s="2">
        <f t="shared" si="51"/>
        <v>6</v>
      </c>
      <c r="CO36" s="5">
        <v>78.2</v>
      </c>
      <c r="CP36" s="6" t="str">
        <f t="shared" si="52"/>
        <v>B+</v>
      </c>
      <c r="CQ36" s="1">
        <f t="shared" si="53"/>
        <v>3.5</v>
      </c>
      <c r="CR36" s="2">
        <v>2</v>
      </c>
      <c r="CS36" s="2">
        <f t="shared" si="54"/>
        <v>7</v>
      </c>
      <c r="CT36" s="5">
        <v>83.3</v>
      </c>
      <c r="CU36" s="6" t="str">
        <f t="shared" si="55"/>
        <v>A</v>
      </c>
      <c r="CV36" s="1">
        <f t="shared" si="56"/>
        <v>4</v>
      </c>
      <c r="CW36" s="2">
        <v>2</v>
      </c>
      <c r="CX36" s="2">
        <f t="shared" si="57"/>
        <v>8</v>
      </c>
      <c r="CY36" s="5">
        <v>77</v>
      </c>
      <c r="CZ36" s="6" t="str">
        <f t="shared" si="58"/>
        <v>B+</v>
      </c>
      <c r="DA36" s="1">
        <f t="shared" si="59"/>
        <v>3.5</v>
      </c>
      <c r="DB36" s="5">
        <v>2</v>
      </c>
      <c r="DC36" s="3">
        <f t="shared" si="60"/>
        <v>7</v>
      </c>
      <c r="DD36" s="5">
        <v>75.099999999999994</v>
      </c>
      <c r="DE36" s="6" t="str">
        <f t="shared" si="61"/>
        <v>B+</v>
      </c>
      <c r="DF36" s="1">
        <f t="shared" si="62"/>
        <v>3.5</v>
      </c>
      <c r="DG36" s="5">
        <v>2</v>
      </c>
      <c r="DH36" s="2">
        <f t="shared" si="63"/>
        <v>7</v>
      </c>
      <c r="DI36" s="5">
        <v>81.7</v>
      </c>
      <c r="DJ36" s="6" t="str">
        <f>IF(DI36&gt;=80,"A",IF(DI36&gt;=75,"B+",IF(DI36&gt;=70,"B",IF(DI36&gt;=65,"C+",IF(DI36&gt;=60,"C",IF(DI36&gt;=55,"D",IF(DI36&lt;54,"E")))))))</f>
        <v>A</v>
      </c>
      <c r="DK36" s="1">
        <f t="shared" si="65"/>
        <v>4</v>
      </c>
      <c r="DL36" s="5">
        <v>4</v>
      </c>
      <c r="DM36" s="2">
        <f t="shared" si="66"/>
        <v>16</v>
      </c>
      <c r="DN36" s="30">
        <f t="shared" si="75"/>
        <v>87</v>
      </c>
      <c r="DO36" s="31">
        <f t="shared" si="67"/>
        <v>24</v>
      </c>
      <c r="DP36" s="5">
        <f t="shared" si="68"/>
        <v>90</v>
      </c>
      <c r="DQ36" s="5">
        <f t="shared" si="69"/>
        <v>24</v>
      </c>
      <c r="DR36" s="5">
        <f t="shared" si="70"/>
        <v>177</v>
      </c>
      <c r="DS36" s="5">
        <f t="shared" si="71"/>
        <v>48</v>
      </c>
      <c r="DT36" s="5">
        <v>3.75</v>
      </c>
      <c r="DU36" s="5">
        <f t="shared" si="72"/>
        <v>3.6875</v>
      </c>
      <c r="DV36" s="10" t="str">
        <f t="shared" si="73"/>
        <v>Cum Laude</v>
      </c>
      <c r="DW36" s="17" t="str">
        <f t="shared" si="74"/>
        <v>Excellent</v>
      </c>
      <c r="DX36" s="17" t="s">
        <v>182</v>
      </c>
    </row>
    <row r="37" spans="1:128" x14ac:dyDescent="0.2">
      <c r="A37" s="10">
        <v>35</v>
      </c>
      <c r="B37" s="10" t="s">
        <v>54</v>
      </c>
      <c r="C37" s="10">
        <v>182412037</v>
      </c>
      <c r="D37" s="16" t="s">
        <v>136</v>
      </c>
      <c r="E37" s="8" t="s">
        <v>137</v>
      </c>
      <c r="F37" s="15" t="s">
        <v>149</v>
      </c>
      <c r="G37" s="10"/>
      <c r="H37" s="5">
        <v>75.75</v>
      </c>
      <c r="I37" s="6" t="str">
        <f t="shared" si="1"/>
        <v>B+</v>
      </c>
      <c r="J37" s="1">
        <f t="shared" si="2"/>
        <v>3.5</v>
      </c>
      <c r="K37" s="5">
        <v>2</v>
      </c>
      <c r="L37" s="2">
        <f t="shared" si="3"/>
        <v>7</v>
      </c>
      <c r="M37" s="5">
        <v>75</v>
      </c>
      <c r="N37" s="6" t="str">
        <f t="shared" si="4"/>
        <v>B+</v>
      </c>
      <c r="O37" s="1">
        <f t="shared" si="5"/>
        <v>3.5</v>
      </c>
      <c r="P37" s="5">
        <v>2</v>
      </c>
      <c r="Q37" s="2">
        <f t="shared" si="6"/>
        <v>7</v>
      </c>
      <c r="R37" s="5">
        <v>78.400000000000006</v>
      </c>
      <c r="S37" s="6" t="str">
        <f t="shared" si="7"/>
        <v>B+</v>
      </c>
      <c r="T37" s="1">
        <f t="shared" si="8"/>
        <v>3.5</v>
      </c>
      <c r="U37" s="5">
        <v>2</v>
      </c>
      <c r="V37" s="2">
        <f t="shared" si="9"/>
        <v>7</v>
      </c>
      <c r="W37" s="5">
        <v>80</v>
      </c>
      <c r="X37" s="6" t="str">
        <f t="shared" si="10"/>
        <v>A</v>
      </c>
      <c r="Y37" s="1">
        <f t="shared" si="11"/>
        <v>4</v>
      </c>
      <c r="Z37" s="5">
        <v>3</v>
      </c>
      <c r="AA37" s="2">
        <f t="shared" si="12"/>
        <v>12</v>
      </c>
      <c r="AB37" s="5">
        <v>88.6</v>
      </c>
      <c r="AC37" s="6" t="str">
        <f t="shared" si="13"/>
        <v>A</v>
      </c>
      <c r="AD37" s="1">
        <f t="shared" si="14"/>
        <v>4</v>
      </c>
      <c r="AE37" s="2">
        <v>2</v>
      </c>
      <c r="AF37" s="2">
        <f t="shared" si="15"/>
        <v>8</v>
      </c>
      <c r="AG37" s="5">
        <v>78</v>
      </c>
      <c r="AH37" s="6" t="str">
        <f t="shared" si="16"/>
        <v>B+</v>
      </c>
      <c r="AI37" s="1">
        <f t="shared" si="17"/>
        <v>3.5</v>
      </c>
      <c r="AJ37" s="2">
        <v>2</v>
      </c>
      <c r="AK37" s="2">
        <f t="shared" si="18"/>
        <v>7</v>
      </c>
      <c r="AL37" s="5">
        <v>77</v>
      </c>
      <c r="AM37" s="6" t="str">
        <f t="shared" si="19"/>
        <v>B+</v>
      </c>
      <c r="AN37" s="1">
        <f t="shared" si="20"/>
        <v>3.5</v>
      </c>
      <c r="AO37" s="2">
        <v>2</v>
      </c>
      <c r="AP37" s="2">
        <f t="shared" si="21"/>
        <v>7</v>
      </c>
      <c r="AQ37" s="5">
        <v>74</v>
      </c>
      <c r="AR37" s="6" t="str">
        <f t="shared" si="22"/>
        <v>B</v>
      </c>
      <c r="AS37" s="1">
        <f t="shared" si="23"/>
        <v>3</v>
      </c>
      <c r="AT37" s="2">
        <v>2</v>
      </c>
      <c r="AU37" s="2">
        <f t="shared" si="24"/>
        <v>6</v>
      </c>
      <c r="AV37" s="5">
        <v>76.75</v>
      </c>
      <c r="AW37" s="6" t="str">
        <f t="shared" si="25"/>
        <v>B+</v>
      </c>
      <c r="AX37" s="1">
        <f t="shared" si="26"/>
        <v>3.5</v>
      </c>
      <c r="AY37" s="5">
        <v>3</v>
      </c>
      <c r="AZ37" s="3">
        <f t="shared" si="27"/>
        <v>10.5</v>
      </c>
      <c r="BA37" s="5">
        <v>76.25</v>
      </c>
      <c r="BB37" s="6" t="str">
        <f t="shared" si="28"/>
        <v>B+</v>
      </c>
      <c r="BC37" s="1">
        <f t="shared" si="29"/>
        <v>3.5</v>
      </c>
      <c r="BD37" s="5">
        <v>2</v>
      </c>
      <c r="BE37" s="2">
        <f t="shared" si="30"/>
        <v>7</v>
      </c>
      <c r="BF37" s="5">
        <v>77</v>
      </c>
      <c r="BG37" s="6" t="str">
        <f t="shared" si="31"/>
        <v>B+</v>
      </c>
      <c r="BH37" s="1">
        <f t="shared" si="32"/>
        <v>3.5</v>
      </c>
      <c r="BI37" s="5">
        <v>2</v>
      </c>
      <c r="BJ37" s="2">
        <f t="shared" si="33"/>
        <v>7</v>
      </c>
      <c r="BK37" s="5">
        <v>79.069999999999993</v>
      </c>
      <c r="BL37" s="6" t="str">
        <f t="shared" si="34"/>
        <v>B+</v>
      </c>
      <c r="BM37" s="1">
        <f t="shared" si="35"/>
        <v>3.5</v>
      </c>
      <c r="BN37" s="5">
        <v>2</v>
      </c>
      <c r="BO37" s="2">
        <f t="shared" si="36"/>
        <v>7</v>
      </c>
      <c r="BP37" s="5">
        <v>78.3</v>
      </c>
      <c r="BQ37" s="6" t="str">
        <f t="shared" si="37"/>
        <v>B+</v>
      </c>
      <c r="BR37" s="1">
        <f t="shared" si="38"/>
        <v>3.5</v>
      </c>
      <c r="BS37" s="5">
        <v>2</v>
      </c>
      <c r="BT37" s="2">
        <f t="shared" si="39"/>
        <v>7</v>
      </c>
      <c r="BU37" s="5">
        <v>81</v>
      </c>
      <c r="BV37" s="6" t="str">
        <f t="shared" si="40"/>
        <v>A</v>
      </c>
      <c r="BW37" s="1">
        <f t="shared" si="41"/>
        <v>4</v>
      </c>
      <c r="BX37" s="5">
        <v>2</v>
      </c>
      <c r="BY37" s="2">
        <f t="shared" si="42"/>
        <v>8</v>
      </c>
      <c r="BZ37" s="5">
        <v>78.5</v>
      </c>
      <c r="CA37" s="6" t="str">
        <f t="shared" si="43"/>
        <v>B+</v>
      </c>
      <c r="CB37" s="1">
        <f t="shared" si="44"/>
        <v>3.5</v>
      </c>
      <c r="CC37" s="5">
        <v>2</v>
      </c>
      <c r="CD37" s="2">
        <f t="shared" si="45"/>
        <v>7</v>
      </c>
      <c r="CE37" s="5">
        <v>85</v>
      </c>
      <c r="CF37" s="6" t="str">
        <f t="shared" si="46"/>
        <v>A</v>
      </c>
      <c r="CG37" s="1">
        <f t="shared" si="47"/>
        <v>4</v>
      </c>
      <c r="CH37" s="5">
        <v>2</v>
      </c>
      <c r="CI37" s="2">
        <f t="shared" si="48"/>
        <v>8</v>
      </c>
      <c r="CJ37" s="5">
        <v>71.78</v>
      </c>
      <c r="CK37" s="6" t="str">
        <f t="shared" si="49"/>
        <v>B</v>
      </c>
      <c r="CL37" s="1">
        <f t="shared" si="50"/>
        <v>3</v>
      </c>
      <c r="CM37" s="2">
        <v>2</v>
      </c>
      <c r="CN37" s="2">
        <f t="shared" si="51"/>
        <v>6</v>
      </c>
      <c r="CO37" s="5">
        <v>81</v>
      </c>
      <c r="CP37" s="6" t="str">
        <f t="shared" si="52"/>
        <v>A</v>
      </c>
      <c r="CQ37" s="1">
        <f t="shared" si="53"/>
        <v>4</v>
      </c>
      <c r="CR37" s="2">
        <v>2</v>
      </c>
      <c r="CS37" s="2">
        <f t="shared" si="54"/>
        <v>8</v>
      </c>
      <c r="CT37" s="5">
        <v>82.8</v>
      </c>
      <c r="CU37" s="6" t="str">
        <f t="shared" si="55"/>
        <v>A</v>
      </c>
      <c r="CV37" s="1">
        <f t="shared" si="56"/>
        <v>4</v>
      </c>
      <c r="CW37" s="2">
        <v>2</v>
      </c>
      <c r="CX37" s="2">
        <f t="shared" si="57"/>
        <v>8</v>
      </c>
      <c r="CY37" s="5">
        <v>78</v>
      </c>
      <c r="CZ37" s="6" t="str">
        <f t="shared" si="58"/>
        <v>B+</v>
      </c>
      <c r="DA37" s="1">
        <f t="shared" si="59"/>
        <v>3.5</v>
      </c>
      <c r="DB37" s="5">
        <v>2</v>
      </c>
      <c r="DC37" s="3">
        <f t="shared" si="60"/>
        <v>7</v>
      </c>
      <c r="DD37" s="5">
        <v>74.099999999999994</v>
      </c>
      <c r="DE37" s="6" t="str">
        <f t="shared" si="61"/>
        <v>B</v>
      </c>
      <c r="DF37" s="1">
        <f t="shared" si="62"/>
        <v>3</v>
      </c>
      <c r="DG37" s="5">
        <v>2</v>
      </c>
      <c r="DH37" s="2">
        <f t="shared" si="63"/>
        <v>6</v>
      </c>
      <c r="DI37" s="5">
        <v>80.5</v>
      </c>
      <c r="DJ37" s="6" t="str">
        <f t="shared" si="64"/>
        <v>A</v>
      </c>
      <c r="DK37" s="1">
        <f t="shared" si="65"/>
        <v>4</v>
      </c>
      <c r="DL37" s="5">
        <v>4</v>
      </c>
      <c r="DM37" s="2">
        <f t="shared" si="66"/>
        <v>16</v>
      </c>
      <c r="DN37" s="30">
        <f t="shared" si="75"/>
        <v>85.5</v>
      </c>
      <c r="DO37" s="31">
        <f t="shared" si="67"/>
        <v>24</v>
      </c>
      <c r="DP37" s="5">
        <f t="shared" si="68"/>
        <v>88</v>
      </c>
      <c r="DQ37" s="5">
        <f t="shared" si="69"/>
        <v>24</v>
      </c>
      <c r="DR37" s="5">
        <f t="shared" si="70"/>
        <v>173.5</v>
      </c>
      <c r="DS37" s="5">
        <f t="shared" si="71"/>
        <v>48</v>
      </c>
      <c r="DT37" s="5">
        <v>3.6666666666666665</v>
      </c>
      <c r="DU37" s="5">
        <f t="shared" si="72"/>
        <v>3.6145833333333335</v>
      </c>
      <c r="DV37" s="10" t="str">
        <f t="shared" si="73"/>
        <v>Cum Laude</v>
      </c>
      <c r="DW37" s="17" t="str">
        <f t="shared" si="74"/>
        <v>Excellent</v>
      </c>
      <c r="DX37" s="17" t="s">
        <v>183</v>
      </c>
    </row>
    <row r="38" spans="1:128" x14ac:dyDescent="0.2">
      <c r="A38" s="10">
        <v>36</v>
      </c>
      <c r="B38" s="10" t="s">
        <v>55</v>
      </c>
      <c r="C38" s="10">
        <v>182412038</v>
      </c>
      <c r="D38" s="16" t="s">
        <v>138</v>
      </c>
      <c r="E38" s="8" t="s">
        <v>139</v>
      </c>
      <c r="F38" s="15" t="s">
        <v>149</v>
      </c>
      <c r="G38" s="10"/>
      <c r="H38" s="5">
        <v>78.75</v>
      </c>
      <c r="I38" s="6" t="str">
        <f t="shared" si="1"/>
        <v>B+</v>
      </c>
      <c r="J38" s="1">
        <f t="shared" si="2"/>
        <v>3.5</v>
      </c>
      <c r="K38" s="5">
        <v>2</v>
      </c>
      <c r="L38" s="2">
        <f t="shared" si="3"/>
        <v>7</v>
      </c>
      <c r="M38" s="5">
        <v>80</v>
      </c>
      <c r="N38" s="6" t="str">
        <f t="shared" si="4"/>
        <v>A</v>
      </c>
      <c r="O38" s="1">
        <f t="shared" si="5"/>
        <v>4</v>
      </c>
      <c r="P38" s="5">
        <v>2</v>
      </c>
      <c r="Q38" s="2">
        <f t="shared" si="6"/>
        <v>8</v>
      </c>
      <c r="R38" s="5">
        <v>77</v>
      </c>
      <c r="S38" s="6" t="str">
        <f t="shared" si="7"/>
        <v>B+</v>
      </c>
      <c r="T38" s="1">
        <f t="shared" si="8"/>
        <v>3.5</v>
      </c>
      <c r="U38" s="5">
        <v>2</v>
      </c>
      <c r="V38" s="2">
        <f t="shared" si="9"/>
        <v>7</v>
      </c>
      <c r="W38" s="5">
        <v>86</v>
      </c>
      <c r="X38" s="6" t="str">
        <f t="shared" si="10"/>
        <v>A</v>
      </c>
      <c r="Y38" s="1">
        <f t="shared" si="11"/>
        <v>4</v>
      </c>
      <c r="Z38" s="5">
        <v>3</v>
      </c>
      <c r="AA38" s="2">
        <f t="shared" si="12"/>
        <v>12</v>
      </c>
      <c r="AB38" s="5">
        <v>78</v>
      </c>
      <c r="AC38" s="6" t="str">
        <f t="shared" si="13"/>
        <v>B+</v>
      </c>
      <c r="AD38" s="1">
        <f t="shared" si="14"/>
        <v>3.5</v>
      </c>
      <c r="AE38" s="2">
        <v>2</v>
      </c>
      <c r="AF38" s="2">
        <f t="shared" si="15"/>
        <v>7</v>
      </c>
      <c r="AG38" s="5">
        <v>78</v>
      </c>
      <c r="AH38" s="6" t="str">
        <f t="shared" si="16"/>
        <v>B+</v>
      </c>
      <c r="AI38" s="1">
        <f t="shared" si="17"/>
        <v>3.5</v>
      </c>
      <c r="AJ38" s="2">
        <v>2</v>
      </c>
      <c r="AK38" s="2">
        <f t="shared" si="18"/>
        <v>7</v>
      </c>
      <c r="AL38" s="5">
        <v>81</v>
      </c>
      <c r="AM38" s="6" t="str">
        <f t="shared" si="19"/>
        <v>A</v>
      </c>
      <c r="AN38" s="1">
        <f t="shared" si="20"/>
        <v>4</v>
      </c>
      <c r="AO38" s="2">
        <v>2</v>
      </c>
      <c r="AP38" s="2">
        <f t="shared" si="21"/>
        <v>8</v>
      </c>
      <c r="AQ38" s="5">
        <v>78</v>
      </c>
      <c r="AR38" s="6" t="str">
        <f t="shared" si="22"/>
        <v>B+</v>
      </c>
      <c r="AS38" s="1">
        <f t="shared" si="23"/>
        <v>3.5</v>
      </c>
      <c r="AT38" s="2">
        <v>2</v>
      </c>
      <c r="AU38" s="2">
        <f t="shared" si="24"/>
        <v>7</v>
      </c>
      <c r="AV38" s="5">
        <v>81.55</v>
      </c>
      <c r="AW38" s="6" t="str">
        <f t="shared" si="25"/>
        <v>A</v>
      </c>
      <c r="AX38" s="1">
        <f t="shared" si="26"/>
        <v>4</v>
      </c>
      <c r="AY38" s="5">
        <v>3</v>
      </c>
      <c r="AZ38" s="3">
        <f t="shared" si="27"/>
        <v>12</v>
      </c>
      <c r="BA38" s="5">
        <v>82</v>
      </c>
      <c r="BB38" s="6" t="str">
        <f t="shared" si="28"/>
        <v>A</v>
      </c>
      <c r="BC38" s="1">
        <f t="shared" si="29"/>
        <v>4</v>
      </c>
      <c r="BD38" s="5">
        <v>2</v>
      </c>
      <c r="BE38" s="2">
        <f t="shared" si="30"/>
        <v>8</v>
      </c>
      <c r="BF38" s="5">
        <v>83</v>
      </c>
      <c r="BG38" s="6" t="str">
        <f t="shared" si="31"/>
        <v>A</v>
      </c>
      <c r="BH38" s="1">
        <f t="shared" si="32"/>
        <v>4</v>
      </c>
      <c r="BI38" s="5">
        <v>2</v>
      </c>
      <c r="BJ38" s="2">
        <f t="shared" si="33"/>
        <v>8</v>
      </c>
      <c r="BK38" s="5">
        <v>78.349999999999994</v>
      </c>
      <c r="BL38" s="6" t="str">
        <f t="shared" si="34"/>
        <v>B+</v>
      </c>
      <c r="BM38" s="1">
        <f t="shared" si="35"/>
        <v>3.5</v>
      </c>
      <c r="BN38" s="5">
        <v>2</v>
      </c>
      <c r="BO38" s="2">
        <f t="shared" si="36"/>
        <v>7</v>
      </c>
      <c r="BP38" s="5">
        <v>80</v>
      </c>
      <c r="BQ38" s="6" t="str">
        <f t="shared" si="37"/>
        <v>A</v>
      </c>
      <c r="BR38" s="1">
        <f t="shared" si="38"/>
        <v>4</v>
      </c>
      <c r="BS38" s="5">
        <v>2</v>
      </c>
      <c r="BT38" s="2">
        <f t="shared" si="39"/>
        <v>8</v>
      </c>
      <c r="BU38" s="5">
        <v>80</v>
      </c>
      <c r="BV38" s="6" t="str">
        <f t="shared" si="40"/>
        <v>A</v>
      </c>
      <c r="BW38" s="1">
        <f t="shared" si="41"/>
        <v>4</v>
      </c>
      <c r="BX38" s="5">
        <v>2</v>
      </c>
      <c r="BY38" s="2">
        <f t="shared" si="42"/>
        <v>8</v>
      </c>
      <c r="BZ38" s="5">
        <v>82.2</v>
      </c>
      <c r="CA38" s="6" t="str">
        <f t="shared" si="43"/>
        <v>A</v>
      </c>
      <c r="CB38" s="1">
        <f t="shared" si="44"/>
        <v>4</v>
      </c>
      <c r="CC38" s="5">
        <v>2</v>
      </c>
      <c r="CD38" s="2">
        <f t="shared" si="45"/>
        <v>8</v>
      </c>
      <c r="CE38" s="5">
        <v>87</v>
      </c>
      <c r="CF38" s="6" t="str">
        <f t="shared" si="46"/>
        <v>A</v>
      </c>
      <c r="CG38" s="1">
        <f t="shared" si="47"/>
        <v>4</v>
      </c>
      <c r="CH38" s="5">
        <v>2</v>
      </c>
      <c r="CI38" s="2">
        <f t="shared" si="48"/>
        <v>8</v>
      </c>
      <c r="CJ38" s="5">
        <v>77.599999999999994</v>
      </c>
      <c r="CK38" s="6" t="str">
        <f t="shared" si="49"/>
        <v>B+</v>
      </c>
      <c r="CL38" s="1">
        <f t="shared" si="50"/>
        <v>3.5</v>
      </c>
      <c r="CM38" s="2">
        <v>2</v>
      </c>
      <c r="CN38" s="2">
        <f t="shared" si="51"/>
        <v>7</v>
      </c>
      <c r="CO38" s="5">
        <v>81.3</v>
      </c>
      <c r="CP38" s="6" t="str">
        <f t="shared" si="52"/>
        <v>A</v>
      </c>
      <c r="CQ38" s="1">
        <f t="shared" si="53"/>
        <v>4</v>
      </c>
      <c r="CR38" s="2">
        <v>2</v>
      </c>
      <c r="CS38" s="2">
        <f t="shared" si="54"/>
        <v>8</v>
      </c>
      <c r="CT38" s="5">
        <v>80</v>
      </c>
      <c r="CU38" s="6" t="str">
        <f t="shared" si="55"/>
        <v>A</v>
      </c>
      <c r="CV38" s="1">
        <f t="shared" si="56"/>
        <v>4</v>
      </c>
      <c r="CW38" s="2">
        <v>2</v>
      </c>
      <c r="CX38" s="2">
        <f t="shared" si="57"/>
        <v>8</v>
      </c>
      <c r="CY38" s="5">
        <v>80</v>
      </c>
      <c r="CZ38" s="6" t="str">
        <f t="shared" si="58"/>
        <v>A</v>
      </c>
      <c r="DA38" s="1">
        <f t="shared" si="59"/>
        <v>4</v>
      </c>
      <c r="DB38" s="5">
        <v>2</v>
      </c>
      <c r="DC38" s="3">
        <f t="shared" si="60"/>
        <v>8</v>
      </c>
      <c r="DD38" s="5">
        <v>76.3</v>
      </c>
      <c r="DE38" s="6" t="str">
        <f t="shared" si="61"/>
        <v>B+</v>
      </c>
      <c r="DF38" s="1">
        <f t="shared" si="62"/>
        <v>3.5</v>
      </c>
      <c r="DG38" s="5">
        <v>2</v>
      </c>
      <c r="DH38" s="2">
        <f t="shared" si="63"/>
        <v>7</v>
      </c>
      <c r="DI38" s="5">
        <v>80.8</v>
      </c>
      <c r="DJ38" s="6" t="str">
        <f t="shared" si="64"/>
        <v>A</v>
      </c>
      <c r="DK38" s="1">
        <f t="shared" si="65"/>
        <v>4</v>
      </c>
      <c r="DL38" s="5">
        <v>4</v>
      </c>
      <c r="DM38" s="2">
        <f t="shared" si="66"/>
        <v>16</v>
      </c>
      <c r="DN38" s="30">
        <f t="shared" si="75"/>
        <v>91</v>
      </c>
      <c r="DO38" s="31">
        <f t="shared" si="67"/>
        <v>24</v>
      </c>
      <c r="DP38" s="5">
        <f t="shared" si="68"/>
        <v>93</v>
      </c>
      <c r="DQ38" s="5">
        <f t="shared" si="69"/>
        <v>24</v>
      </c>
      <c r="DR38" s="5">
        <f t="shared" si="70"/>
        <v>184</v>
      </c>
      <c r="DS38" s="5">
        <f t="shared" si="71"/>
        <v>48</v>
      </c>
      <c r="DT38" s="5">
        <v>3.875</v>
      </c>
      <c r="DU38" s="5">
        <f t="shared" si="72"/>
        <v>3.8333333333333335</v>
      </c>
      <c r="DV38" s="10" t="str">
        <f t="shared" si="73"/>
        <v>Cum Laude</v>
      </c>
      <c r="DW38" s="17" t="str">
        <f t="shared" si="74"/>
        <v>Excellent</v>
      </c>
      <c r="DX38" s="17" t="s">
        <v>184</v>
      </c>
    </row>
    <row r="39" spans="1:128" x14ac:dyDescent="0.25">
      <c r="A39" s="10">
        <v>37</v>
      </c>
      <c r="B39" s="10" t="s">
        <v>56</v>
      </c>
      <c r="C39" s="10">
        <v>182412039</v>
      </c>
      <c r="D39" s="10"/>
      <c r="E39" s="8"/>
      <c r="F39" s="10"/>
      <c r="G39" s="10"/>
      <c r="H39" s="5">
        <v>77.25</v>
      </c>
      <c r="I39" s="6" t="str">
        <f t="shared" si="1"/>
        <v>B+</v>
      </c>
      <c r="J39" s="1">
        <f t="shared" si="2"/>
        <v>3.5</v>
      </c>
      <c r="K39" s="5">
        <v>2</v>
      </c>
      <c r="L39" s="2">
        <f t="shared" si="3"/>
        <v>7</v>
      </c>
      <c r="M39" s="5">
        <v>79</v>
      </c>
      <c r="N39" s="6" t="str">
        <f t="shared" si="4"/>
        <v>B+</v>
      </c>
      <c r="O39" s="1">
        <f t="shared" si="5"/>
        <v>3.5</v>
      </c>
      <c r="P39" s="5">
        <v>2</v>
      </c>
      <c r="Q39" s="2">
        <f t="shared" si="6"/>
        <v>7</v>
      </c>
      <c r="R39" s="5">
        <v>81</v>
      </c>
      <c r="S39" s="6" t="str">
        <f t="shared" si="7"/>
        <v>A</v>
      </c>
      <c r="T39" s="1">
        <f t="shared" si="8"/>
        <v>4</v>
      </c>
      <c r="U39" s="5">
        <v>2</v>
      </c>
      <c r="V39" s="2">
        <f t="shared" si="9"/>
        <v>8</v>
      </c>
      <c r="W39" s="5">
        <v>78</v>
      </c>
      <c r="X39" s="6" t="str">
        <f t="shared" si="10"/>
        <v>B+</v>
      </c>
      <c r="Y39" s="1">
        <f t="shared" si="11"/>
        <v>3.5</v>
      </c>
      <c r="Z39" s="5">
        <v>3</v>
      </c>
      <c r="AA39" s="2">
        <f t="shared" si="12"/>
        <v>10.5</v>
      </c>
      <c r="AB39" s="5">
        <v>86.3</v>
      </c>
      <c r="AC39" s="6" t="str">
        <f t="shared" si="13"/>
        <v>A</v>
      </c>
      <c r="AD39" s="1">
        <f t="shared" si="14"/>
        <v>4</v>
      </c>
      <c r="AE39" s="2">
        <v>2</v>
      </c>
      <c r="AF39" s="2">
        <f t="shared" si="15"/>
        <v>8</v>
      </c>
      <c r="AG39" s="5">
        <v>78</v>
      </c>
      <c r="AH39" s="6" t="str">
        <f t="shared" si="16"/>
        <v>B+</v>
      </c>
      <c r="AI39" s="1">
        <f t="shared" si="17"/>
        <v>3.5</v>
      </c>
      <c r="AJ39" s="2">
        <v>2</v>
      </c>
      <c r="AK39" s="2">
        <f t="shared" si="18"/>
        <v>7</v>
      </c>
      <c r="AL39" s="5">
        <v>76</v>
      </c>
      <c r="AM39" s="6" t="str">
        <f t="shared" si="19"/>
        <v>B+</v>
      </c>
      <c r="AN39" s="1">
        <f t="shared" si="20"/>
        <v>3.5</v>
      </c>
      <c r="AO39" s="2">
        <v>2</v>
      </c>
      <c r="AP39" s="2">
        <f t="shared" si="21"/>
        <v>7</v>
      </c>
      <c r="AQ39" s="5">
        <v>75</v>
      </c>
      <c r="AR39" s="6" t="str">
        <f t="shared" si="22"/>
        <v>B+</v>
      </c>
      <c r="AS39" s="1">
        <f t="shared" si="23"/>
        <v>3.5</v>
      </c>
      <c r="AT39" s="2">
        <v>2</v>
      </c>
      <c r="AU39" s="2">
        <f t="shared" si="24"/>
        <v>7</v>
      </c>
      <c r="AV39" s="5">
        <v>80.75</v>
      </c>
      <c r="AW39" s="6" t="str">
        <f t="shared" si="25"/>
        <v>A</v>
      </c>
      <c r="AX39" s="1">
        <f t="shared" si="26"/>
        <v>4</v>
      </c>
      <c r="AY39" s="5">
        <v>3</v>
      </c>
      <c r="AZ39" s="3">
        <f t="shared" si="27"/>
        <v>12</v>
      </c>
      <c r="BA39" s="5">
        <v>80</v>
      </c>
      <c r="BB39" s="6" t="str">
        <f t="shared" si="28"/>
        <v>A</v>
      </c>
      <c r="BC39" s="1">
        <f t="shared" si="29"/>
        <v>4</v>
      </c>
      <c r="BD39" s="5">
        <v>2</v>
      </c>
      <c r="BE39" s="2">
        <f t="shared" si="30"/>
        <v>8</v>
      </c>
      <c r="BF39" s="5">
        <v>80</v>
      </c>
      <c r="BG39" s="6" t="str">
        <f t="shared" si="31"/>
        <v>A</v>
      </c>
      <c r="BH39" s="1">
        <f t="shared" si="32"/>
        <v>4</v>
      </c>
      <c r="BI39" s="5">
        <v>2</v>
      </c>
      <c r="BJ39" s="2">
        <f t="shared" si="33"/>
        <v>8</v>
      </c>
      <c r="BK39" s="5">
        <v>78.819999999999993</v>
      </c>
      <c r="BL39" s="6" t="str">
        <f t="shared" si="34"/>
        <v>B+</v>
      </c>
      <c r="BM39" s="1">
        <f t="shared" si="35"/>
        <v>3.5</v>
      </c>
      <c r="BN39" s="5">
        <v>2</v>
      </c>
      <c r="BO39" s="2">
        <f t="shared" si="36"/>
        <v>7</v>
      </c>
      <c r="BP39" s="5">
        <v>81.3</v>
      </c>
      <c r="BQ39" s="6" t="str">
        <f t="shared" si="37"/>
        <v>A</v>
      </c>
      <c r="BR39" s="1">
        <f t="shared" si="38"/>
        <v>4</v>
      </c>
      <c r="BS39" s="5">
        <v>2</v>
      </c>
      <c r="BT39" s="2">
        <f t="shared" si="39"/>
        <v>8</v>
      </c>
      <c r="BU39" s="5">
        <v>82</v>
      </c>
      <c r="BV39" s="6" t="str">
        <f t="shared" si="40"/>
        <v>A</v>
      </c>
      <c r="BW39" s="1">
        <f t="shared" si="41"/>
        <v>4</v>
      </c>
      <c r="BX39" s="5">
        <v>2</v>
      </c>
      <c r="BY39" s="2">
        <f t="shared" si="42"/>
        <v>8</v>
      </c>
      <c r="BZ39" s="5">
        <v>79.3</v>
      </c>
      <c r="CA39" s="6" t="str">
        <f t="shared" si="43"/>
        <v>B+</v>
      </c>
      <c r="CB39" s="1">
        <f t="shared" si="44"/>
        <v>3.5</v>
      </c>
      <c r="CC39" s="5">
        <v>2</v>
      </c>
      <c r="CD39" s="2">
        <f t="shared" si="45"/>
        <v>7</v>
      </c>
      <c r="CE39" s="5">
        <v>86</v>
      </c>
      <c r="CF39" s="6" t="str">
        <f t="shared" si="46"/>
        <v>A</v>
      </c>
      <c r="CG39" s="1">
        <f t="shared" si="47"/>
        <v>4</v>
      </c>
      <c r="CH39" s="5">
        <v>2</v>
      </c>
      <c r="CI39" s="2">
        <f t="shared" si="48"/>
        <v>8</v>
      </c>
      <c r="CJ39" s="5">
        <v>72.930000000000007</v>
      </c>
      <c r="CK39" s="6" t="str">
        <f t="shared" si="49"/>
        <v>B</v>
      </c>
      <c r="CL39" s="1">
        <f t="shared" si="50"/>
        <v>3</v>
      </c>
      <c r="CM39" s="2">
        <v>2</v>
      </c>
      <c r="CN39" s="2">
        <f t="shared" si="51"/>
        <v>6</v>
      </c>
      <c r="CO39" s="5">
        <v>76</v>
      </c>
      <c r="CP39" s="6" t="str">
        <f t="shared" si="52"/>
        <v>B+</v>
      </c>
      <c r="CQ39" s="1">
        <f t="shared" si="53"/>
        <v>3.5</v>
      </c>
      <c r="CR39" s="2">
        <v>2</v>
      </c>
      <c r="CS39" s="2">
        <f t="shared" si="54"/>
        <v>7</v>
      </c>
      <c r="CT39" s="5">
        <v>81.8</v>
      </c>
      <c r="CU39" s="6" t="str">
        <f t="shared" si="55"/>
        <v>A</v>
      </c>
      <c r="CV39" s="1">
        <f t="shared" si="56"/>
        <v>4</v>
      </c>
      <c r="CW39" s="2">
        <v>2</v>
      </c>
      <c r="CX39" s="2">
        <f t="shared" si="57"/>
        <v>8</v>
      </c>
      <c r="CY39" s="5">
        <v>77</v>
      </c>
      <c r="CZ39" s="6" t="str">
        <f t="shared" si="58"/>
        <v>B+</v>
      </c>
      <c r="DA39" s="1">
        <f t="shared" si="59"/>
        <v>3.5</v>
      </c>
      <c r="DB39" s="5">
        <v>2</v>
      </c>
      <c r="DC39" s="3">
        <f t="shared" si="60"/>
        <v>7</v>
      </c>
      <c r="DD39" s="5">
        <v>76.099999999999994</v>
      </c>
      <c r="DE39" s="6" t="str">
        <f t="shared" si="61"/>
        <v>B+</v>
      </c>
      <c r="DF39" s="1">
        <f t="shared" si="62"/>
        <v>3.5</v>
      </c>
      <c r="DG39" s="5">
        <v>2</v>
      </c>
      <c r="DH39" s="2">
        <f t="shared" si="63"/>
        <v>7</v>
      </c>
      <c r="DI39" s="5">
        <v>79.5</v>
      </c>
      <c r="DJ39" s="6" t="str">
        <f t="shared" si="64"/>
        <v>B+</v>
      </c>
      <c r="DK39" s="1">
        <f t="shared" si="65"/>
        <v>3.5</v>
      </c>
      <c r="DL39" s="5">
        <v>4</v>
      </c>
      <c r="DM39" s="2">
        <f t="shared" si="66"/>
        <v>14</v>
      </c>
      <c r="DN39" s="30">
        <f t="shared" si="75"/>
        <v>89.5</v>
      </c>
      <c r="DO39" s="31">
        <f t="shared" si="67"/>
        <v>24</v>
      </c>
      <c r="DP39" s="5">
        <f t="shared" si="68"/>
        <v>87</v>
      </c>
      <c r="DQ39" s="5">
        <f t="shared" si="69"/>
        <v>24</v>
      </c>
      <c r="DR39" s="5">
        <f t="shared" si="70"/>
        <v>176.5</v>
      </c>
      <c r="DS39" s="5">
        <f t="shared" si="71"/>
        <v>48</v>
      </c>
      <c r="DT39" s="5">
        <v>3.625</v>
      </c>
      <c r="DU39" s="5">
        <f t="shared" si="72"/>
        <v>3.6770833333333335</v>
      </c>
      <c r="DV39" s="10" t="str">
        <f t="shared" si="73"/>
        <v>Cum Laude</v>
      </c>
      <c r="DW39" s="17" t="str">
        <f t="shared" si="74"/>
        <v>Excellent</v>
      </c>
      <c r="DX39" s="17" t="s">
        <v>185</v>
      </c>
    </row>
    <row r="40" spans="1:128" x14ac:dyDescent="0.25">
      <c r="A40" s="10">
        <v>38</v>
      </c>
      <c r="B40" s="10" t="s">
        <v>57</v>
      </c>
      <c r="C40" s="10">
        <v>182412040</v>
      </c>
      <c r="D40" s="10"/>
      <c r="E40" s="8"/>
      <c r="F40" s="10"/>
      <c r="G40" s="10"/>
      <c r="H40" s="5">
        <v>80.25</v>
      </c>
      <c r="I40" s="6" t="str">
        <f t="shared" si="1"/>
        <v>A</v>
      </c>
      <c r="J40" s="1">
        <f t="shared" si="2"/>
        <v>4</v>
      </c>
      <c r="K40" s="5">
        <v>2</v>
      </c>
      <c r="L40" s="2">
        <f t="shared" si="3"/>
        <v>8</v>
      </c>
      <c r="M40" s="5">
        <v>77</v>
      </c>
      <c r="N40" s="6" t="str">
        <f t="shared" si="4"/>
        <v>B+</v>
      </c>
      <c r="O40" s="1">
        <f t="shared" si="5"/>
        <v>3.5</v>
      </c>
      <c r="P40" s="5">
        <v>2</v>
      </c>
      <c r="Q40" s="2">
        <f t="shared" si="6"/>
        <v>7</v>
      </c>
      <c r="R40" s="5">
        <v>78.400000000000006</v>
      </c>
      <c r="S40" s="6" t="str">
        <f t="shared" si="7"/>
        <v>B+</v>
      </c>
      <c r="T40" s="1">
        <f t="shared" si="8"/>
        <v>3.5</v>
      </c>
      <c r="U40" s="5">
        <v>2</v>
      </c>
      <c r="V40" s="2">
        <f t="shared" si="9"/>
        <v>7</v>
      </c>
      <c r="W40" s="5">
        <v>80</v>
      </c>
      <c r="X40" s="6" t="str">
        <f t="shared" si="10"/>
        <v>A</v>
      </c>
      <c r="Y40" s="1">
        <f t="shared" si="11"/>
        <v>4</v>
      </c>
      <c r="Z40" s="5">
        <v>3</v>
      </c>
      <c r="AA40" s="2">
        <f t="shared" si="12"/>
        <v>12</v>
      </c>
      <c r="AB40" s="5">
        <v>75.95</v>
      </c>
      <c r="AC40" s="6" t="str">
        <f t="shared" si="13"/>
        <v>B+</v>
      </c>
      <c r="AD40" s="1">
        <f t="shared" si="14"/>
        <v>3.5</v>
      </c>
      <c r="AE40" s="2">
        <v>2</v>
      </c>
      <c r="AF40" s="2">
        <f t="shared" si="15"/>
        <v>7</v>
      </c>
      <c r="AG40" s="5">
        <v>78</v>
      </c>
      <c r="AH40" s="6" t="str">
        <f t="shared" si="16"/>
        <v>B+</v>
      </c>
      <c r="AI40" s="1">
        <f t="shared" si="17"/>
        <v>3.5</v>
      </c>
      <c r="AJ40" s="2">
        <v>2</v>
      </c>
      <c r="AK40" s="2">
        <f t="shared" si="18"/>
        <v>7</v>
      </c>
      <c r="AL40" s="5">
        <v>79</v>
      </c>
      <c r="AM40" s="6" t="str">
        <f t="shared" si="19"/>
        <v>B+</v>
      </c>
      <c r="AN40" s="1">
        <f t="shared" si="20"/>
        <v>3.5</v>
      </c>
      <c r="AO40" s="2">
        <v>2</v>
      </c>
      <c r="AP40" s="2">
        <f t="shared" si="21"/>
        <v>7</v>
      </c>
      <c r="AQ40" s="5">
        <v>74</v>
      </c>
      <c r="AR40" s="6" t="str">
        <f t="shared" si="22"/>
        <v>B</v>
      </c>
      <c r="AS40" s="1">
        <f t="shared" si="23"/>
        <v>3</v>
      </c>
      <c r="AT40" s="2">
        <v>2</v>
      </c>
      <c r="AU40" s="2">
        <f t="shared" si="24"/>
        <v>6</v>
      </c>
      <c r="AV40" s="5">
        <v>79.5</v>
      </c>
      <c r="AW40" s="6" t="str">
        <f t="shared" si="25"/>
        <v>B+</v>
      </c>
      <c r="AX40" s="1">
        <f t="shared" si="26"/>
        <v>3.5</v>
      </c>
      <c r="AY40" s="5">
        <v>3</v>
      </c>
      <c r="AZ40" s="3">
        <f t="shared" si="27"/>
        <v>10.5</v>
      </c>
      <c r="BA40" s="5">
        <v>76.25</v>
      </c>
      <c r="BB40" s="6" t="str">
        <f t="shared" si="28"/>
        <v>B+</v>
      </c>
      <c r="BC40" s="1">
        <f t="shared" si="29"/>
        <v>3.5</v>
      </c>
      <c r="BD40" s="5">
        <v>2</v>
      </c>
      <c r="BE40" s="2">
        <f t="shared" si="30"/>
        <v>7</v>
      </c>
      <c r="BF40" s="5">
        <v>81</v>
      </c>
      <c r="BG40" s="6" t="str">
        <f t="shared" si="31"/>
        <v>A</v>
      </c>
      <c r="BH40" s="1">
        <f t="shared" si="32"/>
        <v>4</v>
      </c>
      <c r="BI40" s="5">
        <v>2</v>
      </c>
      <c r="BJ40" s="2">
        <f t="shared" si="33"/>
        <v>8</v>
      </c>
      <c r="BK40" s="5">
        <v>79.98</v>
      </c>
      <c r="BL40" s="6" t="str">
        <f t="shared" si="34"/>
        <v>B+</v>
      </c>
      <c r="BM40" s="1">
        <f t="shared" si="35"/>
        <v>3.5</v>
      </c>
      <c r="BN40" s="5">
        <v>2</v>
      </c>
      <c r="BO40" s="2">
        <f t="shared" si="36"/>
        <v>7</v>
      </c>
      <c r="BP40" s="5">
        <v>79</v>
      </c>
      <c r="BQ40" s="6" t="str">
        <f t="shared" si="37"/>
        <v>B+</v>
      </c>
      <c r="BR40" s="1">
        <f t="shared" si="38"/>
        <v>3.5</v>
      </c>
      <c r="BS40" s="5">
        <v>2</v>
      </c>
      <c r="BT40" s="2">
        <f t="shared" si="39"/>
        <v>7</v>
      </c>
      <c r="BU40" s="5">
        <v>80</v>
      </c>
      <c r="BV40" s="6" t="str">
        <f t="shared" si="40"/>
        <v>A</v>
      </c>
      <c r="BW40" s="1">
        <f t="shared" si="41"/>
        <v>4</v>
      </c>
      <c r="BX40" s="5">
        <v>2</v>
      </c>
      <c r="BY40" s="2">
        <f t="shared" si="42"/>
        <v>8</v>
      </c>
      <c r="BZ40" s="5">
        <v>79.599999999999994</v>
      </c>
      <c r="CA40" s="6" t="str">
        <f t="shared" si="43"/>
        <v>B+</v>
      </c>
      <c r="CB40" s="1">
        <f t="shared" si="44"/>
        <v>3.5</v>
      </c>
      <c r="CC40" s="5">
        <v>2</v>
      </c>
      <c r="CD40" s="2">
        <f t="shared" si="45"/>
        <v>7</v>
      </c>
      <c r="CE40" s="5">
        <v>85</v>
      </c>
      <c r="CF40" s="6" t="str">
        <f t="shared" si="46"/>
        <v>A</v>
      </c>
      <c r="CG40" s="1">
        <f t="shared" si="47"/>
        <v>4</v>
      </c>
      <c r="CH40" s="5">
        <v>2</v>
      </c>
      <c r="CI40" s="2">
        <f t="shared" si="48"/>
        <v>8</v>
      </c>
      <c r="CJ40" s="5">
        <v>78.33</v>
      </c>
      <c r="CK40" s="6" t="str">
        <f t="shared" si="49"/>
        <v>B+</v>
      </c>
      <c r="CL40" s="1">
        <f t="shared" si="50"/>
        <v>3.5</v>
      </c>
      <c r="CM40" s="2">
        <v>2</v>
      </c>
      <c r="CN40" s="2">
        <f t="shared" si="51"/>
        <v>7</v>
      </c>
      <c r="CO40" s="5">
        <v>75.599999999999994</v>
      </c>
      <c r="CP40" s="6" t="str">
        <f t="shared" si="52"/>
        <v>B+</v>
      </c>
      <c r="CQ40" s="1">
        <f t="shared" si="53"/>
        <v>3.5</v>
      </c>
      <c r="CR40" s="2">
        <v>2</v>
      </c>
      <c r="CS40" s="2">
        <f t="shared" si="54"/>
        <v>7</v>
      </c>
      <c r="CT40" s="5">
        <v>83.3</v>
      </c>
      <c r="CU40" s="6" t="str">
        <f t="shared" si="55"/>
        <v>A</v>
      </c>
      <c r="CV40" s="1">
        <f t="shared" si="56"/>
        <v>4</v>
      </c>
      <c r="CW40" s="2">
        <v>2</v>
      </c>
      <c r="CX40" s="2">
        <f t="shared" si="57"/>
        <v>8</v>
      </c>
      <c r="CY40" s="5">
        <v>82</v>
      </c>
      <c r="CZ40" s="6" t="str">
        <f t="shared" si="58"/>
        <v>A</v>
      </c>
      <c r="DA40" s="1">
        <f t="shared" si="59"/>
        <v>4</v>
      </c>
      <c r="DB40" s="5">
        <v>2</v>
      </c>
      <c r="DC40" s="3">
        <f t="shared" si="60"/>
        <v>8</v>
      </c>
      <c r="DD40" s="5">
        <v>75</v>
      </c>
      <c r="DE40" s="6" t="str">
        <f t="shared" si="61"/>
        <v>B+</v>
      </c>
      <c r="DF40" s="1">
        <f t="shared" si="62"/>
        <v>3.5</v>
      </c>
      <c r="DG40" s="5">
        <v>2</v>
      </c>
      <c r="DH40" s="2">
        <f t="shared" si="63"/>
        <v>7</v>
      </c>
      <c r="DI40" s="5">
        <v>80.8</v>
      </c>
      <c r="DJ40" s="6" t="str">
        <f t="shared" si="64"/>
        <v>A</v>
      </c>
      <c r="DK40" s="1">
        <f t="shared" si="65"/>
        <v>4</v>
      </c>
      <c r="DL40" s="5">
        <v>4</v>
      </c>
      <c r="DM40" s="2">
        <f t="shared" si="66"/>
        <v>16</v>
      </c>
      <c r="DN40" s="30">
        <f t="shared" si="75"/>
        <v>86.5</v>
      </c>
      <c r="DO40" s="31">
        <f t="shared" si="67"/>
        <v>24</v>
      </c>
      <c r="DP40" s="5">
        <f t="shared" si="68"/>
        <v>90</v>
      </c>
      <c r="DQ40" s="5">
        <f t="shared" si="69"/>
        <v>24</v>
      </c>
      <c r="DR40" s="5">
        <f t="shared" si="70"/>
        <v>176.5</v>
      </c>
      <c r="DS40" s="5">
        <f t="shared" si="71"/>
        <v>48</v>
      </c>
      <c r="DT40" s="5">
        <v>3.75</v>
      </c>
      <c r="DU40" s="5">
        <f t="shared" si="72"/>
        <v>3.6770833333333335</v>
      </c>
      <c r="DV40" s="10" t="str">
        <f t="shared" si="73"/>
        <v>Cum Laude</v>
      </c>
      <c r="DW40" s="17" t="str">
        <f t="shared" si="74"/>
        <v>Excellent</v>
      </c>
      <c r="DX40" s="17" t="s">
        <v>163</v>
      </c>
    </row>
    <row r="41" spans="1:128" x14ac:dyDescent="0.2">
      <c r="A41" s="10">
        <v>39</v>
      </c>
      <c r="B41" s="10" t="s">
        <v>58</v>
      </c>
      <c r="C41" s="10">
        <v>182412041</v>
      </c>
      <c r="D41" s="16" t="s">
        <v>95</v>
      </c>
      <c r="E41" s="8" t="s">
        <v>140</v>
      </c>
      <c r="F41" s="15" t="s">
        <v>149</v>
      </c>
      <c r="G41" s="10"/>
      <c r="H41" s="5">
        <v>77.25</v>
      </c>
      <c r="I41" s="6" t="str">
        <f t="shared" si="1"/>
        <v>B+</v>
      </c>
      <c r="J41" s="1">
        <f t="shared" si="2"/>
        <v>3.5</v>
      </c>
      <c r="K41" s="5">
        <v>2</v>
      </c>
      <c r="L41" s="2">
        <f t="shared" si="3"/>
        <v>7</v>
      </c>
      <c r="M41" s="5">
        <v>76</v>
      </c>
      <c r="N41" s="6" t="str">
        <f t="shared" si="4"/>
        <v>B+</v>
      </c>
      <c r="O41" s="1">
        <f t="shared" si="5"/>
        <v>3.5</v>
      </c>
      <c r="P41" s="5">
        <v>2</v>
      </c>
      <c r="Q41" s="2">
        <f t="shared" si="6"/>
        <v>7</v>
      </c>
      <c r="R41" s="5">
        <v>73.2</v>
      </c>
      <c r="S41" s="6" t="str">
        <f t="shared" si="7"/>
        <v>B</v>
      </c>
      <c r="T41" s="1">
        <f t="shared" si="8"/>
        <v>3</v>
      </c>
      <c r="U41" s="5">
        <v>2</v>
      </c>
      <c r="V41" s="2">
        <f t="shared" si="9"/>
        <v>6</v>
      </c>
      <c r="W41" s="5">
        <v>78</v>
      </c>
      <c r="X41" s="6" t="str">
        <f t="shared" si="10"/>
        <v>B+</v>
      </c>
      <c r="Y41" s="1">
        <f t="shared" si="11"/>
        <v>3.5</v>
      </c>
      <c r="Z41" s="5">
        <v>3</v>
      </c>
      <c r="AA41" s="2">
        <f t="shared" si="12"/>
        <v>10.5</v>
      </c>
      <c r="AB41" s="5">
        <v>82.65</v>
      </c>
      <c r="AC41" s="6" t="str">
        <f t="shared" si="13"/>
        <v>A</v>
      </c>
      <c r="AD41" s="1">
        <f t="shared" si="14"/>
        <v>4</v>
      </c>
      <c r="AE41" s="2">
        <v>2</v>
      </c>
      <c r="AF41" s="2">
        <f t="shared" si="15"/>
        <v>8</v>
      </c>
      <c r="AG41" s="5">
        <v>78</v>
      </c>
      <c r="AH41" s="6" t="str">
        <f t="shared" si="16"/>
        <v>B+</v>
      </c>
      <c r="AI41" s="1">
        <f t="shared" si="17"/>
        <v>3.5</v>
      </c>
      <c r="AJ41" s="2">
        <v>2</v>
      </c>
      <c r="AK41" s="2">
        <f t="shared" si="18"/>
        <v>7</v>
      </c>
      <c r="AL41" s="5">
        <v>77</v>
      </c>
      <c r="AM41" s="6" t="str">
        <f t="shared" si="19"/>
        <v>B+</v>
      </c>
      <c r="AN41" s="1">
        <f t="shared" si="20"/>
        <v>3.5</v>
      </c>
      <c r="AO41" s="2">
        <v>2</v>
      </c>
      <c r="AP41" s="2">
        <f t="shared" si="21"/>
        <v>7</v>
      </c>
      <c r="AQ41" s="5">
        <v>74</v>
      </c>
      <c r="AR41" s="6" t="str">
        <f t="shared" si="22"/>
        <v>B</v>
      </c>
      <c r="AS41" s="1">
        <f t="shared" si="23"/>
        <v>3</v>
      </c>
      <c r="AT41" s="2">
        <v>2</v>
      </c>
      <c r="AU41" s="2">
        <f t="shared" si="24"/>
        <v>6</v>
      </c>
      <c r="AV41" s="5">
        <v>76.75</v>
      </c>
      <c r="AW41" s="6" t="str">
        <f t="shared" si="25"/>
        <v>B+</v>
      </c>
      <c r="AX41" s="1">
        <f t="shared" si="26"/>
        <v>3.5</v>
      </c>
      <c r="AY41" s="5">
        <v>3</v>
      </c>
      <c r="AZ41" s="3">
        <f t="shared" si="27"/>
        <v>10.5</v>
      </c>
      <c r="BA41" s="5">
        <v>76.25</v>
      </c>
      <c r="BB41" s="6" t="str">
        <f t="shared" si="28"/>
        <v>B+</v>
      </c>
      <c r="BC41" s="1">
        <f t="shared" si="29"/>
        <v>3.5</v>
      </c>
      <c r="BD41" s="5">
        <v>2</v>
      </c>
      <c r="BE41" s="2">
        <f t="shared" si="30"/>
        <v>7</v>
      </c>
      <c r="BF41" s="5">
        <v>77</v>
      </c>
      <c r="BG41" s="6" t="str">
        <f t="shared" si="31"/>
        <v>B+</v>
      </c>
      <c r="BH41" s="1">
        <f t="shared" si="32"/>
        <v>3.5</v>
      </c>
      <c r="BI41" s="5">
        <v>2</v>
      </c>
      <c r="BJ41" s="2">
        <f t="shared" si="33"/>
        <v>7</v>
      </c>
      <c r="BK41" s="5">
        <v>79.22</v>
      </c>
      <c r="BL41" s="6" t="str">
        <f t="shared" si="34"/>
        <v>B+</v>
      </c>
      <c r="BM41" s="1">
        <f t="shared" si="35"/>
        <v>3.5</v>
      </c>
      <c r="BN41" s="5">
        <v>2</v>
      </c>
      <c r="BO41" s="2">
        <f t="shared" si="36"/>
        <v>7</v>
      </c>
      <c r="BP41" s="5">
        <v>78.3</v>
      </c>
      <c r="BQ41" s="6" t="str">
        <f t="shared" si="37"/>
        <v>B+</v>
      </c>
      <c r="BR41" s="1">
        <f t="shared" si="38"/>
        <v>3.5</v>
      </c>
      <c r="BS41" s="5">
        <v>2</v>
      </c>
      <c r="BT41" s="2">
        <f t="shared" si="39"/>
        <v>7</v>
      </c>
      <c r="BU41" s="5">
        <v>83</v>
      </c>
      <c r="BV41" s="6" t="str">
        <f t="shared" si="40"/>
        <v>A</v>
      </c>
      <c r="BW41" s="1">
        <f t="shared" si="41"/>
        <v>4</v>
      </c>
      <c r="BX41" s="5">
        <v>2</v>
      </c>
      <c r="BY41" s="2">
        <f t="shared" si="42"/>
        <v>8</v>
      </c>
      <c r="BZ41" s="5">
        <v>77</v>
      </c>
      <c r="CA41" s="6" t="str">
        <f t="shared" si="43"/>
        <v>B+</v>
      </c>
      <c r="CB41" s="1">
        <f t="shared" si="44"/>
        <v>3.5</v>
      </c>
      <c r="CC41" s="5">
        <v>2</v>
      </c>
      <c r="CD41" s="2">
        <f t="shared" si="45"/>
        <v>7</v>
      </c>
      <c r="CE41" s="5">
        <v>86</v>
      </c>
      <c r="CF41" s="6" t="str">
        <f t="shared" si="46"/>
        <v>A</v>
      </c>
      <c r="CG41" s="1">
        <f t="shared" si="47"/>
        <v>4</v>
      </c>
      <c r="CH41" s="5">
        <v>2</v>
      </c>
      <c r="CI41" s="2">
        <f t="shared" si="48"/>
        <v>8</v>
      </c>
      <c r="CJ41" s="5">
        <v>75.55</v>
      </c>
      <c r="CK41" s="6" t="str">
        <f t="shared" si="49"/>
        <v>B+</v>
      </c>
      <c r="CL41" s="1">
        <f t="shared" si="50"/>
        <v>3.5</v>
      </c>
      <c r="CM41" s="2">
        <v>2</v>
      </c>
      <c r="CN41" s="2">
        <f t="shared" si="51"/>
        <v>7</v>
      </c>
      <c r="CO41" s="5">
        <v>77.7</v>
      </c>
      <c r="CP41" s="6" t="str">
        <f t="shared" si="52"/>
        <v>B+</v>
      </c>
      <c r="CQ41" s="1">
        <f t="shared" si="53"/>
        <v>3.5</v>
      </c>
      <c r="CR41" s="2">
        <v>2</v>
      </c>
      <c r="CS41" s="2">
        <f t="shared" si="54"/>
        <v>7</v>
      </c>
      <c r="CT41" s="5">
        <v>83.3</v>
      </c>
      <c r="CU41" s="6" t="str">
        <f t="shared" si="55"/>
        <v>A</v>
      </c>
      <c r="CV41" s="1">
        <f t="shared" si="56"/>
        <v>4</v>
      </c>
      <c r="CW41" s="2">
        <v>2</v>
      </c>
      <c r="CX41" s="2">
        <f t="shared" si="57"/>
        <v>8</v>
      </c>
      <c r="CY41" s="5">
        <v>77</v>
      </c>
      <c r="CZ41" s="6" t="str">
        <f t="shared" si="58"/>
        <v>B+</v>
      </c>
      <c r="DA41" s="1">
        <f t="shared" si="59"/>
        <v>3.5</v>
      </c>
      <c r="DB41" s="5">
        <v>2</v>
      </c>
      <c r="DC41" s="3">
        <f t="shared" si="60"/>
        <v>7</v>
      </c>
      <c r="DD41" s="5">
        <v>74</v>
      </c>
      <c r="DE41" s="6" t="str">
        <f t="shared" si="61"/>
        <v>B</v>
      </c>
      <c r="DF41" s="1">
        <f t="shared" si="62"/>
        <v>3</v>
      </c>
      <c r="DG41" s="5">
        <v>2</v>
      </c>
      <c r="DH41" s="2">
        <f t="shared" si="63"/>
        <v>6</v>
      </c>
      <c r="DI41" s="5">
        <v>81.7</v>
      </c>
      <c r="DJ41" s="6" t="str">
        <f t="shared" si="64"/>
        <v>A</v>
      </c>
      <c r="DK41" s="1">
        <f t="shared" si="65"/>
        <v>4</v>
      </c>
      <c r="DL41" s="5">
        <v>4</v>
      </c>
      <c r="DM41" s="2">
        <f t="shared" si="66"/>
        <v>16</v>
      </c>
      <c r="DN41" s="30">
        <f t="shared" si="75"/>
        <v>83</v>
      </c>
      <c r="DO41" s="31">
        <f t="shared" si="67"/>
        <v>24</v>
      </c>
      <c r="DP41" s="5">
        <f t="shared" si="68"/>
        <v>88</v>
      </c>
      <c r="DQ41" s="5">
        <f t="shared" si="69"/>
        <v>24</v>
      </c>
      <c r="DR41" s="5">
        <f t="shared" si="70"/>
        <v>171</v>
      </c>
      <c r="DS41" s="5">
        <f t="shared" si="71"/>
        <v>48</v>
      </c>
      <c r="DT41" s="5">
        <v>3.6666666666666665</v>
      </c>
      <c r="DU41" s="5">
        <f t="shared" si="72"/>
        <v>3.5625</v>
      </c>
      <c r="DV41" s="10" t="str">
        <f t="shared" si="73"/>
        <v>Cum Laude</v>
      </c>
      <c r="DW41" s="17" t="str">
        <f t="shared" si="74"/>
        <v>Excellent</v>
      </c>
      <c r="DX41" s="17" t="s">
        <v>186</v>
      </c>
    </row>
    <row r="42" spans="1:128" x14ac:dyDescent="0.2">
      <c r="A42" s="10">
        <v>40</v>
      </c>
      <c r="B42" s="10" t="s">
        <v>59</v>
      </c>
      <c r="C42" s="10">
        <v>182412042</v>
      </c>
      <c r="D42" s="16" t="s">
        <v>95</v>
      </c>
      <c r="E42" s="8" t="s">
        <v>141</v>
      </c>
      <c r="F42" s="15" t="s">
        <v>149</v>
      </c>
      <c r="G42" s="10"/>
      <c r="H42" s="5">
        <v>80.25</v>
      </c>
      <c r="I42" s="6" t="str">
        <f t="shared" si="1"/>
        <v>A</v>
      </c>
      <c r="J42" s="1">
        <f t="shared" si="2"/>
        <v>4</v>
      </c>
      <c r="K42" s="5">
        <v>2</v>
      </c>
      <c r="L42" s="2">
        <f t="shared" si="3"/>
        <v>8</v>
      </c>
      <c r="M42" s="5">
        <v>75</v>
      </c>
      <c r="N42" s="6" t="str">
        <f t="shared" si="4"/>
        <v>B+</v>
      </c>
      <c r="O42" s="1">
        <f t="shared" si="5"/>
        <v>3.5</v>
      </c>
      <c r="P42" s="5">
        <v>2</v>
      </c>
      <c r="Q42" s="2">
        <f t="shared" si="6"/>
        <v>7</v>
      </c>
      <c r="R42" s="5">
        <v>74.400000000000006</v>
      </c>
      <c r="S42" s="6" t="str">
        <f t="shared" si="7"/>
        <v>B</v>
      </c>
      <c r="T42" s="1">
        <f t="shared" si="8"/>
        <v>3</v>
      </c>
      <c r="U42" s="5">
        <v>2</v>
      </c>
      <c r="V42" s="2">
        <f t="shared" si="9"/>
        <v>6</v>
      </c>
      <c r="W42" s="5">
        <v>76</v>
      </c>
      <c r="X42" s="6" t="str">
        <f t="shared" si="10"/>
        <v>B+</v>
      </c>
      <c r="Y42" s="1">
        <f t="shared" si="11"/>
        <v>3.5</v>
      </c>
      <c r="Z42" s="5">
        <v>3</v>
      </c>
      <c r="AA42" s="2">
        <f t="shared" si="12"/>
        <v>10.5</v>
      </c>
      <c r="AB42" s="5">
        <v>75.45</v>
      </c>
      <c r="AC42" s="6" t="str">
        <f t="shared" si="13"/>
        <v>B+</v>
      </c>
      <c r="AD42" s="1">
        <f t="shared" si="14"/>
        <v>3.5</v>
      </c>
      <c r="AE42" s="2">
        <v>2</v>
      </c>
      <c r="AF42" s="2">
        <f t="shared" si="15"/>
        <v>7</v>
      </c>
      <c r="AG42" s="5">
        <v>78</v>
      </c>
      <c r="AH42" s="6" t="str">
        <f t="shared" si="16"/>
        <v>B+</v>
      </c>
      <c r="AI42" s="1">
        <f t="shared" si="17"/>
        <v>3.5</v>
      </c>
      <c r="AJ42" s="2">
        <v>2</v>
      </c>
      <c r="AK42" s="2">
        <f t="shared" si="18"/>
        <v>7</v>
      </c>
      <c r="AL42" s="5">
        <v>81</v>
      </c>
      <c r="AM42" s="6" t="str">
        <f t="shared" si="19"/>
        <v>A</v>
      </c>
      <c r="AN42" s="1">
        <f t="shared" si="20"/>
        <v>4</v>
      </c>
      <c r="AO42" s="2">
        <v>2</v>
      </c>
      <c r="AP42" s="2">
        <f t="shared" si="21"/>
        <v>8</v>
      </c>
      <c r="AQ42" s="5">
        <v>74</v>
      </c>
      <c r="AR42" s="6" t="str">
        <f t="shared" si="22"/>
        <v>B</v>
      </c>
      <c r="AS42" s="1">
        <f t="shared" si="23"/>
        <v>3</v>
      </c>
      <c r="AT42" s="2">
        <v>2</v>
      </c>
      <c r="AU42" s="2">
        <f t="shared" si="24"/>
        <v>6</v>
      </c>
      <c r="AV42" s="5">
        <v>78</v>
      </c>
      <c r="AW42" s="6" t="str">
        <f t="shared" si="25"/>
        <v>B+</v>
      </c>
      <c r="AX42" s="1">
        <f t="shared" si="26"/>
        <v>3.5</v>
      </c>
      <c r="AY42" s="5">
        <v>3</v>
      </c>
      <c r="AZ42" s="3">
        <f t="shared" si="27"/>
        <v>10.5</v>
      </c>
      <c r="BA42" s="5">
        <v>76.25</v>
      </c>
      <c r="BB42" s="6" t="str">
        <f t="shared" si="28"/>
        <v>B+</v>
      </c>
      <c r="BC42" s="1">
        <f t="shared" si="29"/>
        <v>3.5</v>
      </c>
      <c r="BD42" s="5">
        <v>2</v>
      </c>
      <c r="BE42" s="2">
        <f t="shared" si="30"/>
        <v>7</v>
      </c>
      <c r="BF42" s="5">
        <v>81</v>
      </c>
      <c r="BG42" s="6" t="str">
        <f t="shared" si="31"/>
        <v>A</v>
      </c>
      <c r="BH42" s="1">
        <f t="shared" si="32"/>
        <v>4</v>
      </c>
      <c r="BI42" s="5">
        <v>2</v>
      </c>
      <c r="BJ42" s="2">
        <f t="shared" si="33"/>
        <v>8</v>
      </c>
      <c r="BK42" s="5">
        <v>77.2</v>
      </c>
      <c r="BL42" s="6" t="str">
        <f t="shared" si="34"/>
        <v>B+</v>
      </c>
      <c r="BM42" s="1">
        <f t="shared" si="35"/>
        <v>3.5</v>
      </c>
      <c r="BN42" s="5">
        <v>2</v>
      </c>
      <c r="BO42" s="2">
        <f t="shared" si="36"/>
        <v>7</v>
      </c>
      <c r="BP42" s="5">
        <v>80</v>
      </c>
      <c r="BQ42" s="6" t="str">
        <f t="shared" si="37"/>
        <v>A</v>
      </c>
      <c r="BR42" s="1">
        <f t="shared" si="38"/>
        <v>4</v>
      </c>
      <c r="BS42" s="5">
        <v>2</v>
      </c>
      <c r="BT42" s="2">
        <f t="shared" si="39"/>
        <v>8</v>
      </c>
      <c r="BU42" s="5">
        <v>85</v>
      </c>
      <c r="BV42" s="6" t="str">
        <f t="shared" si="40"/>
        <v>A</v>
      </c>
      <c r="BW42" s="1">
        <f t="shared" si="41"/>
        <v>4</v>
      </c>
      <c r="BX42" s="5">
        <v>2</v>
      </c>
      <c r="BY42" s="2">
        <f t="shared" si="42"/>
        <v>8</v>
      </c>
      <c r="BZ42" s="5">
        <v>79.5</v>
      </c>
      <c r="CA42" s="6" t="str">
        <f t="shared" si="43"/>
        <v>B+</v>
      </c>
      <c r="CB42" s="1">
        <f t="shared" si="44"/>
        <v>3.5</v>
      </c>
      <c r="CC42" s="5">
        <v>2</v>
      </c>
      <c r="CD42" s="2">
        <f t="shared" si="45"/>
        <v>7</v>
      </c>
      <c r="CE42" s="5">
        <v>85</v>
      </c>
      <c r="CF42" s="6" t="str">
        <f t="shared" si="46"/>
        <v>A</v>
      </c>
      <c r="CG42" s="1">
        <f t="shared" si="47"/>
        <v>4</v>
      </c>
      <c r="CH42" s="5">
        <v>2</v>
      </c>
      <c r="CI42" s="2">
        <f t="shared" si="48"/>
        <v>8</v>
      </c>
      <c r="CJ42" s="5">
        <v>71.75</v>
      </c>
      <c r="CK42" s="6" t="str">
        <f t="shared" si="49"/>
        <v>B</v>
      </c>
      <c r="CL42" s="1">
        <f t="shared" si="50"/>
        <v>3</v>
      </c>
      <c r="CM42" s="2">
        <v>2</v>
      </c>
      <c r="CN42" s="2">
        <f t="shared" si="51"/>
        <v>6</v>
      </c>
      <c r="CO42" s="5">
        <v>78.3</v>
      </c>
      <c r="CP42" s="6" t="str">
        <f t="shared" si="52"/>
        <v>B+</v>
      </c>
      <c r="CQ42" s="1">
        <f t="shared" si="53"/>
        <v>3.5</v>
      </c>
      <c r="CR42" s="2">
        <v>2</v>
      </c>
      <c r="CS42" s="2">
        <f t="shared" si="54"/>
        <v>7</v>
      </c>
      <c r="CT42" s="5">
        <v>82.6</v>
      </c>
      <c r="CU42" s="6" t="str">
        <f t="shared" si="55"/>
        <v>A</v>
      </c>
      <c r="CV42" s="1">
        <f t="shared" si="56"/>
        <v>4</v>
      </c>
      <c r="CW42" s="2">
        <v>2</v>
      </c>
      <c r="CX42" s="2">
        <f t="shared" si="57"/>
        <v>8</v>
      </c>
      <c r="CY42" s="5">
        <v>82</v>
      </c>
      <c r="CZ42" s="6" t="str">
        <f t="shared" si="58"/>
        <v>A</v>
      </c>
      <c r="DA42" s="1">
        <f t="shared" si="59"/>
        <v>4</v>
      </c>
      <c r="DB42" s="5">
        <v>2</v>
      </c>
      <c r="DC42" s="3">
        <f t="shared" si="60"/>
        <v>8</v>
      </c>
      <c r="DD42" s="5">
        <v>75.5</v>
      </c>
      <c r="DE42" s="6" t="str">
        <f t="shared" si="61"/>
        <v>B+</v>
      </c>
      <c r="DF42" s="1">
        <f t="shared" si="62"/>
        <v>3.5</v>
      </c>
      <c r="DG42" s="5">
        <v>2</v>
      </c>
      <c r="DH42" s="2">
        <f t="shared" si="63"/>
        <v>7</v>
      </c>
      <c r="DI42" s="5">
        <v>80.7</v>
      </c>
      <c r="DJ42" s="6" t="str">
        <f t="shared" si="64"/>
        <v>A</v>
      </c>
      <c r="DK42" s="1">
        <f t="shared" si="65"/>
        <v>4</v>
      </c>
      <c r="DL42" s="5">
        <v>4</v>
      </c>
      <c r="DM42" s="2">
        <f t="shared" si="66"/>
        <v>16</v>
      </c>
      <c r="DN42" s="30">
        <f t="shared" si="75"/>
        <v>85</v>
      </c>
      <c r="DO42" s="31">
        <f t="shared" si="67"/>
        <v>24</v>
      </c>
      <c r="DP42" s="5">
        <f t="shared" si="68"/>
        <v>90</v>
      </c>
      <c r="DQ42" s="5">
        <f t="shared" si="69"/>
        <v>24</v>
      </c>
      <c r="DR42" s="5">
        <f t="shared" si="70"/>
        <v>175</v>
      </c>
      <c r="DS42" s="5">
        <f t="shared" si="71"/>
        <v>48</v>
      </c>
      <c r="DT42" s="5">
        <v>3.75</v>
      </c>
      <c r="DU42" s="5">
        <f t="shared" si="72"/>
        <v>3.6458333333333335</v>
      </c>
      <c r="DV42" s="10" t="str">
        <f t="shared" si="73"/>
        <v>Cum Laude</v>
      </c>
      <c r="DW42" s="17" t="str">
        <f t="shared" si="74"/>
        <v>Excellent</v>
      </c>
      <c r="DX42" s="17" t="s">
        <v>187</v>
      </c>
    </row>
    <row r="43" spans="1:128" x14ac:dyDescent="0.2">
      <c r="A43" s="10">
        <v>41</v>
      </c>
      <c r="B43" s="10" t="s">
        <v>60</v>
      </c>
      <c r="C43" s="10">
        <v>182412043</v>
      </c>
      <c r="D43" s="16" t="s">
        <v>95</v>
      </c>
      <c r="E43" s="8" t="s">
        <v>142</v>
      </c>
      <c r="F43" s="15" t="s">
        <v>149</v>
      </c>
      <c r="G43" s="10"/>
      <c r="H43" s="5">
        <v>80.25</v>
      </c>
      <c r="I43" s="6" t="str">
        <f t="shared" si="1"/>
        <v>A</v>
      </c>
      <c r="J43" s="1">
        <f t="shared" si="2"/>
        <v>4</v>
      </c>
      <c r="K43" s="5">
        <v>2</v>
      </c>
      <c r="L43" s="2">
        <f t="shared" si="3"/>
        <v>8</v>
      </c>
      <c r="M43" s="5">
        <v>78</v>
      </c>
      <c r="N43" s="6" t="str">
        <f t="shared" si="4"/>
        <v>B+</v>
      </c>
      <c r="O43" s="1">
        <f t="shared" si="5"/>
        <v>3.5</v>
      </c>
      <c r="P43" s="5">
        <v>2</v>
      </c>
      <c r="Q43" s="2">
        <f t="shared" si="6"/>
        <v>7</v>
      </c>
      <c r="R43" s="5">
        <v>81.599999999999994</v>
      </c>
      <c r="S43" s="6" t="str">
        <f t="shared" si="7"/>
        <v>A</v>
      </c>
      <c r="T43" s="1">
        <f t="shared" si="8"/>
        <v>4</v>
      </c>
      <c r="U43" s="5">
        <v>2</v>
      </c>
      <c r="V43" s="2">
        <f t="shared" si="9"/>
        <v>8</v>
      </c>
      <c r="W43" s="5">
        <v>80</v>
      </c>
      <c r="X43" s="6" t="str">
        <f t="shared" si="10"/>
        <v>A</v>
      </c>
      <c r="Y43" s="1">
        <f t="shared" si="11"/>
        <v>4</v>
      </c>
      <c r="Z43" s="5">
        <v>3</v>
      </c>
      <c r="AA43" s="2">
        <f t="shared" si="12"/>
        <v>12</v>
      </c>
      <c r="AB43" s="5">
        <v>84.8</v>
      </c>
      <c r="AC43" s="6" t="str">
        <f t="shared" si="13"/>
        <v>A</v>
      </c>
      <c r="AD43" s="1">
        <f t="shared" si="14"/>
        <v>4</v>
      </c>
      <c r="AE43" s="2">
        <v>2</v>
      </c>
      <c r="AF43" s="2">
        <f t="shared" si="15"/>
        <v>8</v>
      </c>
      <c r="AG43" s="5">
        <v>78</v>
      </c>
      <c r="AH43" s="6" t="str">
        <f t="shared" si="16"/>
        <v>B+</v>
      </c>
      <c r="AI43" s="1">
        <f t="shared" si="17"/>
        <v>3.5</v>
      </c>
      <c r="AJ43" s="2">
        <v>2</v>
      </c>
      <c r="AK43" s="2">
        <f t="shared" si="18"/>
        <v>7</v>
      </c>
      <c r="AL43" s="5">
        <v>78</v>
      </c>
      <c r="AM43" s="6" t="str">
        <f t="shared" si="19"/>
        <v>B+</v>
      </c>
      <c r="AN43" s="1">
        <f t="shared" si="20"/>
        <v>3.5</v>
      </c>
      <c r="AO43" s="2">
        <v>2</v>
      </c>
      <c r="AP43" s="2">
        <f t="shared" si="21"/>
        <v>7</v>
      </c>
      <c r="AQ43" s="5">
        <v>74</v>
      </c>
      <c r="AR43" s="6" t="str">
        <f t="shared" si="22"/>
        <v>B</v>
      </c>
      <c r="AS43" s="1">
        <f t="shared" si="23"/>
        <v>3</v>
      </c>
      <c r="AT43" s="2">
        <v>2</v>
      </c>
      <c r="AU43" s="2">
        <f t="shared" si="24"/>
        <v>6</v>
      </c>
      <c r="AV43" s="5">
        <v>79.5</v>
      </c>
      <c r="AW43" s="6" t="str">
        <f t="shared" si="25"/>
        <v>B+</v>
      </c>
      <c r="AX43" s="1">
        <f t="shared" si="26"/>
        <v>3.5</v>
      </c>
      <c r="AY43" s="5">
        <v>3</v>
      </c>
      <c r="AZ43" s="3">
        <f t="shared" si="27"/>
        <v>10.5</v>
      </c>
      <c r="BA43" s="5">
        <v>80</v>
      </c>
      <c r="BB43" s="6" t="str">
        <f t="shared" si="28"/>
        <v>A</v>
      </c>
      <c r="BC43" s="1">
        <f t="shared" si="29"/>
        <v>4</v>
      </c>
      <c r="BD43" s="5">
        <v>2</v>
      </c>
      <c r="BE43" s="2">
        <f t="shared" si="30"/>
        <v>8</v>
      </c>
      <c r="BF43" s="5">
        <v>78</v>
      </c>
      <c r="BG43" s="6" t="str">
        <f t="shared" si="31"/>
        <v>B+</v>
      </c>
      <c r="BH43" s="1">
        <f t="shared" si="32"/>
        <v>3.5</v>
      </c>
      <c r="BI43" s="5">
        <v>2</v>
      </c>
      <c r="BJ43" s="2">
        <f t="shared" si="33"/>
        <v>7</v>
      </c>
      <c r="BK43" s="5">
        <v>78.53</v>
      </c>
      <c r="BL43" s="6" t="str">
        <f t="shared" si="34"/>
        <v>B+</v>
      </c>
      <c r="BM43" s="1">
        <f t="shared" si="35"/>
        <v>3.5</v>
      </c>
      <c r="BN43" s="5">
        <v>2</v>
      </c>
      <c r="BO43" s="2">
        <f t="shared" si="36"/>
        <v>7</v>
      </c>
      <c r="BP43" s="5">
        <v>82.1</v>
      </c>
      <c r="BQ43" s="6" t="str">
        <f t="shared" si="37"/>
        <v>A</v>
      </c>
      <c r="BR43" s="1">
        <f t="shared" si="38"/>
        <v>4</v>
      </c>
      <c r="BS43" s="5">
        <v>2</v>
      </c>
      <c r="BT43" s="2">
        <f t="shared" si="39"/>
        <v>8</v>
      </c>
      <c r="BU43" s="5">
        <v>86</v>
      </c>
      <c r="BV43" s="6" t="str">
        <f t="shared" si="40"/>
        <v>A</v>
      </c>
      <c r="BW43" s="1">
        <f t="shared" si="41"/>
        <v>4</v>
      </c>
      <c r="BX43" s="5">
        <v>2</v>
      </c>
      <c r="BY43" s="2">
        <f t="shared" si="42"/>
        <v>8</v>
      </c>
      <c r="BZ43" s="5">
        <v>80.7</v>
      </c>
      <c r="CA43" s="6" t="str">
        <f t="shared" si="43"/>
        <v>A</v>
      </c>
      <c r="CB43" s="1">
        <f t="shared" si="44"/>
        <v>4</v>
      </c>
      <c r="CC43" s="5">
        <v>2</v>
      </c>
      <c r="CD43" s="2">
        <f t="shared" si="45"/>
        <v>8</v>
      </c>
      <c r="CE43" s="5">
        <v>87</v>
      </c>
      <c r="CF43" s="6" t="str">
        <f t="shared" si="46"/>
        <v>A</v>
      </c>
      <c r="CG43" s="1">
        <f t="shared" si="47"/>
        <v>4</v>
      </c>
      <c r="CH43" s="5">
        <v>2</v>
      </c>
      <c r="CI43" s="2">
        <f t="shared" si="48"/>
        <v>8</v>
      </c>
      <c r="CJ43" s="5">
        <v>73.930000000000007</v>
      </c>
      <c r="CK43" s="6" t="str">
        <f t="shared" si="49"/>
        <v>B</v>
      </c>
      <c r="CL43" s="1">
        <f t="shared" si="50"/>
        <v>3</v>
      </c>
      <c r="CM43" s="2">
        <v>2</v>
      </c>
      <c r="CN43" s="2">
        <f t="shared" si="51"/>
        <v>6</v>
      </c>
      <c r="CO43" s="5">
        <v>77.8</v>
      </c>
      <c r="CP43" s="6" t="str">
        <f t="shared" si="52"/>
        <v>B+</v>
      </c>
      <c r="CQ43" s="1">
        <f t="shared" si="53"/>
        <v>3.5</v>
      </c>
      <c r="CR43" s="2">
        <v>2</v>
      </c>
      <c r="CS43" s="2">
        <f t="shared" si="54"/>
        <v>7</v>
      </c>
      <c r="CT43" s="5">
        <v>80</v>
      </c>
      <c r="CU43" s="6" t="str">
        <f t="shared" si="55"/>
        <v>A</v>
      </c>
      <c r="CV43" s="1">
        <f t="shared" si="56"/>
        <v>4</v>
      </c>
      <c r="CW43" s="2">
        <v>2</v>
      </c>
      <c r="CX43" s="2">
        <f t="shared" si="57"/>
        <v>8</v>
      </c>
      <c r="CY43" s="5">
        <v>82</v>
      </c>
      <c r="CZ43" s="6" t="str">
        <f t="shared" si="58"/>
        <v>A</v>
      </c>
      <c r="DA43" s="1">
        <f t="shared" si="59"/>
        <v>4</v>
      </c>
      <c r="DB43" s="5">
        <v>2</v>
      </c>
      <c r="DC43" s="3">
        <f t="shared" si="60"/>
        <v>8</v>
      </c>
      <c r="DD43" s="5">
        <v>73.5</v>
      </c>
      <c r="DE43" s="6" t="str">
        <f t="shared" si="61"/>
        <v>B</v>
      </c>
      <c r="DF43" s="1">
        <f t="shared" si="62"/>
        <v>3</v>
      </c>
      <c r="DG43" s="5">
        <v>2</v>
      </c>
      <c r="DH43" s="2">
        <f t="shared" si="63"/>
        <v>6</v>
      </c>
      <c r="DI43" s="5">
        <v>80</v>
      </c>
      <c r="DJ43" s="6" t="str">
        <f t="shared" si="64"/>
        <v>A</v>
      </c>
      <c r="DK43" s="1">
        <f t="shared" si="65"/>
        <v>4</v>
      </c>
      <c r="DL43" s="5">
        <v>4</v>
      </c>
      <c r="DM43" s="2">
        <f t="shared" si="66"/>
        <v>16</v>
      </c>
      <c r="DN43" s="30">
        <f t="shared" si="75"/>
        <v>88.5</v>
      </c>
      <c r="DO43" s="31">
        <f t="shared" si="67"/>
        <v>24</v>
      </c>
      <c r="DP43" s="5">
        <f t="shared" si="68"/>
        <v>90</v>
      </c>
      <c r="DQ43" s="5">
        <f t="shared" si="69"/>
        <v>24</v>
      </c>
      <c r="DR43" s="5">
        <f t="shared" si="70"/>
        <v>178.5</v>
      </c>
      <c r="DS43" s="5">
        <f t="shared" si="71"/>
        <v>48</v>
      </c>
      <c r="DT43" s="5">
        <v>3.75</v>
      </c>
      <c r="DU43" s="5">
        <f t="shared" si="72"/>
        <v>3.71875</v>
      </c>
      <c r="DV43" s="10" t="str">
        <f t="shared" si="73"/>
        <v>Cum Laude</v>
      </c>
      <c r="DW43" s="17" t="str">
        <f t="shared" si="74"/>
        <v>Excellent</v>
      </c>
      <c r="DX43" s="17" t="s">
        <v>188</v>
      </c>
    </row>
    <row r="44" spans="1:128" x14ac:dyDescent="0.25">
      <c r="A44" s="10">
        <v>42</v>
      </c>
      <c r="B44" s="10" t="s">
        <v>61</v>
      </c>
      <c r="C44" s="10">
        <v>182412044</v>
      </c>
      <c r="D44" s="10"/>
      <c r="E44" s="8"/>
      <c r="F44" s="10"/>
      <c r="G44" s="10"/>
      <c r="H44" s="5">
        <v>71</v>
      </c>
      <c r="I44" s="6" t="str">
        <f t="shared" si="1"/>
        <v>B</v>
      </c>
      <c r="J44" s="1">
        <f t="shared" si="2"/>
        <v>3</v>
      </c>
      <c r="K44" s="5">
        <v>2</v>
      </c>
      <c r="L44" s="2">
        <f t="shared" si="3"/>
        <v>6</v>
      </c>
      <c r="M44" s="5">
        <v>76</v>
      </c>
      <c r="N44" s="6" t="str">
        <f t="shared" si="4"/>
        <v>B+</v>
      </c>
      <c r="O44" s="1">
        <f t="shared" si="5"/>
        <v>3.5</v>
      </c>
      <c r="P44" s="5">
        <v>2</v>
      </c>
      <c r="Q44" s="2">
        <f t="shared" si="6"/>
        <v>7</v>
      </c>
      <c r="R44" s="5">
        <v>74</v>
      </c>
      <c r="S44" s="6" t="str">
        <f t="shared" si="7"/>
        <v>B</v>
      </c>
      <c r="T44" s="1">
        <f t="shared" si="8"/>
        <v>3</v>
      </c>
      <c r="U44" s="5">
        <v>2</v>
      </c>
      <c r="V44" s="2">
        <f t="shared" si="9"/>
        <v>6</v>
      </c>
      <c r="W44" s="5">
        <v>76</v>
      </c>
      <c r="X44" s="6" t="str">
        <f t="shared" si="10"/>
        <v>B+</v>
      </c>
      <c r="Y44" s="1">
        <f t="shared" si="11"/>
        <v>3.5</v>
      </c>
      <c r="Z44" s="5">
        <v>3</v>
      </c>
      <c r="AA44" s="2">
        <f t="shared" si="12"/>
        <v>10.5</v>
      </c>
      <c r="AB44" s="5">
        <v>76.45</v>
      </c>
      <c r="AC44" s="6" t="str">
        <f t="shared" si="13"/>
        <v>B+</v>
      </c>
      <c r="AD44" s="1">
        <f t="shared" si="14"/>
        <v>3.5</v>
      </c>
      <c r="AE44" s="2">
        <v>2</v>
      </c>
      <c r="AF44" s="2">
        <f t="shared" si="15"/>
        <v>7</v>
      </c>
      <c r="AG44" s="5">
        <v>78</v>
      </c>
      <c r="AH44" s="6" t="str">
        <f t="shared" si="16"/>
        <v>B+</v>
      </c>
      <c r="AI44" s="1">
        <f t="shared" si="17"/>
        <v>3.5</v>
      </c>
      <c r="AJ44" s="2">
        <v>2</v>
      </c>
      <c r="AK44" s="2">
        <f t="shared" si="18"/>
        <v>7</v>
      </c>
      <c r="AL44" s="5">
        <v>77</v>
      </c>
      <c r="AM44" s="6" t="str">
        <f t="shared" si="19"/>
        <v>B+</v>
      </c>
      <c r="AN44" s="1">
        <f t="shared" si="20"/>
        <v>3.5</v>
      </c>
      <c r="AO44" s="2">
        <v>2</v>
      </c>
      <c r="AP44" s="2">
        <f t="shared" si="21"/>
        <v>7</v>
      </c>
      <c r="AQ44" s="5">
        <v>74</v>
      </c>
      <c r="AR44" s="6" t="str">
        <f t="shared" si="22"/>
        <v>B</v>
      </c>
      <c r="AS44" s="1">
        <f t="shared" si="23"/>
        <v>3</v>
      </c>
      <c r="AT44" s="2">
        <v>2</v>
      </c>
      <c r="AU44" s="2">
        <f t="shared" si="24"/>
        <v>6</v>
      </c>
      <c r="AV44" s="5">
        <v>78</v>
      </c>
      <c r="AW44" s="6" t="str">
        <f t="shared" si="25"/>
        <v>B+</v>
      </c>
      <c r="AX44" s="1">
        <f t="shared" si="26"/>
        <v>3.5</v>
      </c>
      <c r="AY44" s="5">
        <v>3</v>
      </c>
      <c r="AZ44" s="3">
        <f t="shared" si="27"/>
        <v>10.5</v>
      </c>
      <c r="BA44" s="5">
        <v>76.25</v>
      </c>
      <c r="BB44" s="6" t="str">
        <f t="shared" si="28"/>
        <v>B+</v>
      </c>
      <c r="BC44" s="1">
        <f t="shared" si="29"/>
        <v>3.5</v>
      </c>
      <c r="BD44" s="5">
        <v>2</v>
      </c>
      <c r="BE44" s="2">
        <f t="shared" si="30"/>
        <v>7</v>
      </c>
      <c r="BF44" s="5">
        <v>77</v>
      </c>
      <c r="BG44" s="6" t="str">
        <f t="shared" si="31"/>
        <v>B+</v>
      </c>
      <c r="BH44" s="1">
        <f t="shared" si="32"/>
        <v>3.5</v>
      </c>
      <c r="BI44" s="5">
        <v>2</v>
      </c>
      <c r="BJ44" s="2">
        <f t="shared" si="33"/>
        <v>7</v>
      </c>
      <c r="BK44" s="5">
        <v>74.400000000000006</v>
      </c>
      <c r="BL44" s="6" t="str">
        <f t="shared" si="34"/>
        <v>B</v>
      </c>
      <c r="BM44" s="1">
        <f t="shared" si="35"/>
        <v>3</v>
      </c>
      <c r="BN44" s="5">
        <v>2</v>
      </c>
      <c r="BO44" s="2">
        <f t="shared" si="36"/>
        <v>6</v>
      </c>
      <c r="BP44" s="5">
        <v>78.8</v>
      </c>
      <c r="BQ44" s="6" t="str">
        <f t="shared" si="37"/>
        <v>B+</v>
      </c>
      <c r="BR44" s="1">
        <f t="shared" si="38"/>
        <v>3.5</v>
      </c>
      <c r="BS44" s="5">
        <v>2</v>
      </c>
      <c r="BT44" s="2">
        <f t="shared" si="39"/>
        <v>7</v>
      </c>
      <c r="BU44" s="5">
        <v>84</v>
      </c>
      <c r="BV44" s="6" t="str">
        <f t="shared" si="40"/>
        <v>A</v>
      </c>
      <c r="BW44" s="1">
        <f t="shared" si="41"/>
        <v>4</v>
      </c>
      <c r="BX44" s="5">
        <v>2</v>
      </c>
      <c r="BY44" s="2">
        <f t="shared" si="42"/>
        <v>8</v>
      </c>
      <c r="BZ44" s="5">
        <v>76</v>
      </c>
      <c r="CA44" s="6" t="str">
        <f t="shared" si="43"/>
        <v>B+</v>
      </c>
      <c r="CB44" s="1">
        <f t="shared" si="44"/>
        <v>3.5</v>
      </c>
      <c r="CC44" s="5">
        <v>2</v>
      </c>
      <c r="CD44" s="2">
        <f t="shared" si="45"/>
        <v>7</v>
      </c>
      <c r="CE44" s="5">
        <v>86</v>
      </c>
      <c r="CF44" s="6" t="str">
        <f t="shared" si="46"/>
        <v>A</v>
      </c>
      <c r="CG44" s="1">
        <f t="shared" si="47"/>
        <v>4</v>
      </c>
      <c r="CH44" s="5">
        <v>2</v>
      </c>
      <c r="CI44" s="2">
        <f t="shared" si="48"/>
        <v>8</v>
      </c>
      <c r="CJ44" s="5">
        <v>72.930000000000007</v>
      </c>
      <c r="CK44" s="6" t="str">
        <f t="shared" si="49"/>
        <v>B</v>
      </c>
      <c r="CL44" s="1">
        <f t="shared" si="50"/>
        <v>3</v>
      </c>
      <c r="CM44" s="2">
        <v>2</v>
      </c>
      <c r="CN44" s="2">
        <f t="shared" si="51"/>
        <v>6</v>
      </c>
      <c r="CO44" s="5">
        <v>75.400000000000006</v>
      </c>
      <c r="CP44" s="6" t="str">
        <f t="shared" si="52"/>
        <v>B+</v>
      </c>
      <c r="CQ44" s="1">
        <f t="shared" si="53"/>
        <v>3.5</v>
      </c>
      <c r="CR44" s="2">
        <v>2</v>
      </c>
      <c r="CS44" s="2">
        <f t="shared" si="54"/>
        <v>7</v>
      </c>
      <c r="CT44" s="5">
        <v>83.3</v>
      </c>
      <c r="CU44" s="6" t="str">
        <f t="shared" si="55"/>
        <v>A</v>
      </c>
      <c r="CV44" s="1">
        <f t="shared" si="56"/>
        <v>4</v>
      </c>
      <c r="CW44" s="2">
        <v>2</v>
      </c>
      <c r="CX44" s="2">
        <f t="shared" si="57"/>
        <v>8</v>
      </c>
      <c r="CY44" s="5">
        <v>76</v>
      </c>
      <c r="CZ44" s="6" t="str">
        <f t="shared" si="58"/>
        <v>B+</v>
      </c>
      <c r="DA44" s="1">
        <f t="shared" si="59"/>
        <v>3.5</v>
      </c>
      <c r="DB44" s="5">
        <v>2</v>
      </c>
      <c r="DC44" s="3">
        <f t="shared" si="60"/>
        <v>7</v>
      </c>
      <c r="DD44" s="5">
        <v>75.099999999999994</v>
      </c>
      <c r="DE44" s="6" t="str">
        <f t="shared" si="61"/>
        <v>B+</v>
      </c>
      <c r="DF44" s="1">
        <f t="shared" si="62"/>
        <v>3.5</v>
      </c>
      <c r="DG44" s="5">
        <v>2</v>
      </c>
      <c r="DH44" s="2">
        <f t="shared" si="63"/>
        <v>7</v>
      </c>
      <c r="DI44" s="5"/>
      <c r="DJ44" s="6" t="str">
        <f t="shared" si="64"/>
        <v>E</v>
      </c>
      <c r="DK44" s="1">
        <f t="shared" si="65"/>
        <v>0</v>
      </c>
      <c r="DL44" s="5">
        <v>4</v>
      </c>
      <c r="DM44" s="2">
        <f t="shared" si="66"/>
        <v>0</v>
      </c>
      <c r="DN44" s="30">
        <f t="shared" si="75"/>
        <v>81</v>
      </c>
      <c r="DO44" s="31">
        <f t="shared" si="67"/>
        <v>24</v>
      </c>
      <c r="DP44" s="5">
        <f t="shared" si="68"/>
        <v>71</v>
      </c>
      <c r="DQ44" s="5">
        <f t="shared" si="69"/>
        <v>24</v>
      </c>
      <c r="DR44" s="5">
        <f t="shared" si="70"/>
        <v>152</v>
      </c>
      <c r="DS44" s="5">
        <f t="shared" si="71"/>
        <v>48</v>
      </c>
      <c r="DT44" s="5">
        <v>2.9583333333333335</v>
      </c>
      <c r="DU44" s="5">
        <f t="shared" si="72"/>
        <v>3.1666666666666665</v>
      </c>
      <c r="DV44" s="10" t="str">
        <f t="shared" si="73"/>
        <v>Sangat Memuaskan</v>
      </c>
      <c r="DW44" s="17" t="str">
        <f t="shared" si="74"/>
        <v>Highly Satisfactory</v>
      </c>
      <c r="DX44" s="17" t="s">
        <v>189</v>
      </c>
    </row>
    <row r="45" spans="1:128" x14ac:dyDescent="0.2">
      <c r="A45" s="10">
        <v>43</v>
      </c>
      <c r="B45" s="10" t="s">
        <v>62</v>
      </c>
      <c r="C45" s="10">
        <v>182412045</v>
      </c>
      <c r="D45" s="16" t="s">
        <v>95</v>
      </c>
      <c r="E45" s="8" t="s">
        <v>143</v>
      </c>
      <c r="F45" s="15" t="s">
        <v>149</v>
      </c>
      <c r="G45" s="10"/>
      <c r="H45" s="5">
        <v>78.75</v>
      </c>
      <c r="I45" s="6" t="str">
        <f t="shared" si="1"/>
        <v>B+</v>
      </c>
      <c r="J45" s="1">
        <f t="shared" si="2"/>
        <v>3.5</v>
      </c>
      <c r="K45" s="5">
        <v>2</v>
      </c>
      <c r="L45" s="2">
        <f t="shared" si="3"/>
        <v>7</v>
      </c>
      <c r="M45" s="5">
        <v>79</v>
      </c>
      <c r="N45" s="6" t="str">
        <f t="shared" si="4"/>
        <v>B+</v>
      </c>
      <c r="O45" s="1">
        <f t="shared" si="5"/>
        <v>3.5</v>
      </c>
      <c r="P45" s="5">
        <v>2</v>
      </c>
      <c r="Q45" s="2">
        <f t="shared" si="6"/>
        <v>7</v>
      </c>
      <c r="R45" s="5">
        <v>83</v>
      </c>
      <c r="S45" s="6" t="str">
        <f t="shared" si="7"/>
        <v>A</v>
      </c>
      <c r="T45" s="1">
        <f t="shared" si="8"/>
        <v>4</v>
      </c>
      <c r="U45" s="5">
        <v>2</v>
      </c>
      <c r="V45" s="2">
        <f t="shared" si="9"/>
        <v>8</v>
      </c>
      <c r="W45" s="5">
        <v>80</v>
      </c>
      <c r="X45" s="6" t="str">
        <f t="shared" si="10"/>
        <v>A</v>
      </c>
      <c r="Y45" s="1">
        <f t="shared" si="11"/>
        <v>4</v>
      </c>
      <c r="Z45" s="5">
        <v>3</v>
      </c>
      <c r="AA45" s="2">
        <f t="shared" si="12"/>
        <v>12</v>
      </c>
      <c r="AB45" s="5">
        <v>82.55</v>
      </c>
      <c r="AC45" s="6" t="str">
        <f t="shared" si="13"/>
        <v>A</v>
      </c>
      <c r="AD45" s="1">
        <f t="shared" si="14"/>
        <v>4</v>
      </c>
      <c r="AE45" s="2">
        <v>2</v>
      </c>
      <c r="AF45" s="2">
        <f t="shared" si="15"/>
        <v>8</v>
      </c>
      <c r="AG45" s="5">
        <v>78</v>
      </c>
      <c r="AH45" s="6" t="str">
        <f t="shared" si="16"/>
        <v>B+</v>
      </c>
      <c r="AI45" s="1">
        <f t="shared" si="17"/>
        <v>3.5</v>
      </c>
      <c r="AJ45" s="2">
        <v>2</v>
      </c>
      <c r="AK45" s="2">
        <f t="shared" si="18"/>
        <v>7</v>
      </c>
      <c r="AL45" s="5">
        <v>78</v>
      </c>
      <c r="AM45" s="6" t="str">
        <f t="shared" si="19"/>
        <v>B+</v>
      </c>
      <c r="AN45" s="1">
        <f t="shared" si="20"/>
        <v>3.5</v>
      </c>
      <c r="AO45" s="2">
        <v>2</v>
      </c>
      <c r="AP45" s="2">
        <f t="shared" si="21"/>
        <v>7</v>
      </c>
      <c r="AQ45" s="5">
        <v>74</v>
      </c>
      <c r="AR45" s="6" t="str">
        <f t="shared" si="22"/>
        <v>B</v>
      </c>
      <c r="AS45" s="1">
        <f t="shared" si="23"/>
        <v>3</v>
      </c>
      <c r="AT45" s="2">
        <v>2</v>
      </c>
      <c r="AU45" s="2">
        <f t="shared" si="24"/>
        <v>6</v>
      </c>
      <c r="AV45" s="5">
        <v>79.5</v>
      </c>
      <c r="AW45" s="6" t="str">
        <f t="shared" si="25"/>
        <v>B+</v>
      </c>
      <c r="AX45" s="1">
        <f t="shared" si="26"/>
        <v>3.5</v>
      </c>
      <c r="AY45" s="5">
        <v>3</v>
      </c>
      <c r="AZ45" s="3">
        <f t="shared" si="27"/>
        <v>10.5</v>
      </c>
      <c r="BA45" s="5">
        <v>76.25</v>
      </c>
      <c r="BB45" s="6" t="str">
        <f t="shared" si="28"/>
        <v>B+</v>
      </c>
      <c r="BC45" s="1">
        <f t="shared" si="29"/>
        <v>3.5</v>
      </c>
      <c r="BD45" s="5">
        <v>2</v>
      </c>
      <c r="BE45" s="2">
        <f t="shared" si="30"/>
        <v>7</v>
      </c>
      <c r="BF45" s="5">
        <v>78</v>
      </c>
      <c r="BG45" s="6" t="str">
        <f t="shared" si="31"/>
        <v>B+</v>
      </c>
      <c r="BH45" s="1">
        <f t="shared" si="32"/>
        <v>3.5</v>
      </c>
      <c r="BI45" s="5">
        <v>2</v>
      </c>
      <c r="BJ45" s="2">
        <f t="shared" si="33"/>
        <v>7</v>
      </c>
      <c r="BK45" s="5">
        <v>79.069999999999993</v>
      </c>
      <c r="BL45" s="6" t="str">
        <f t="shared" si="34"/>
        <v>B+</v>
      </c>
      <c r="BM45" s="1">
        <f t="shared" si="35"/>
        <v>3.5</v>
      </c>
      <c r="BN45" s="5">
        <v>2</v>
      </c>
      <c r="BO45" s="2">
        <f t="shared" si="36"/>
        <v>7</v>
      </c>
      <c r="BP45" s="5">
        <v>80.8</v>
      </c>
      <c r="BQ45" s="6" t="str">
        <f t="shared" si="37"/>
        <v>A</v>
      </c>
      <c r="BR45" s="1">
        <f t="shared" si="38"/>
        <v>4</v>
      </c>
      <c r="BS45" s="5">
        <v>2</v>
      </c>
      <c r="BT45" s="2">
        <f t="shared" si="39"/>
        <v>8</v>
      </c>
      <c r="BU45" s="5">
        <v>80</v>
      </c>
      <c r="BV45" s="6" t="str">
        <f t="shared" si="40"/>
        <v>A</v>
      </c>
      <c r="BW45" s="1">
        <f t="shared" si="41"/>
        <v>4</v>
      </c>
      <c r="BX45" s="5">
        <v>2</v>
      </c>
      <c r="BY45" s="2">
        <f t="shared" si="42"/>
        <v>8</v>
      </c>
      <c r="BZ45" s="5">
        <v>78.900000000000006</v>
      </c>
      <c r="CA45" s="6" t="str">
        <f t="shared" si="43"/>
        <v>B+</v>
      </c>
      <c r="CB45" s="1">
        <f t="shared" si="44"/>
        <v>3.5</v>
      </c>
      <c r="CC45" s="5">
        <v>2</v>
      </c>
      <c r="CD45" s="2">
        <f t="shared" si="45"/>
        <v>7</v>
      </c>
      <c r="CE45" s="5">
        <v>85</v>
      </c>
      <c r="CF45" s="6" t="str">
        <f t="shared" si="46"/>
        <v>A</v>
      </c>
      <c r="CG45" s="1">
        <f t="shared" si="47"/>
        <v>4</v>
      </c>
      <c r="CH45" s="5">
        <v>2</v>
      </c>
      <c r="CI45" s="2">
        <f t="shared" si="48"/>
        <v>8</v>
      </c>
      <c r="CJ45" s="5">
        <v>74.53</v>
      </c>
      <c r="CK45" s="6" t="str">
        <f t="shared" si="49"/>
        <v>B</v>
      </c>
      <c r="CL45" s="1">
        <f t="shared" si="50"/>
        <v>3</v>
      </c>
      <c r="CM45" s="2">
        <v>2</v>
      </c>
      <c r="CN45" s="2">
        <f t="shared" si="51"/>
        <v>6</v>
      </c>
      <c r="CO45" s="5">
        <v>74.2</v>
      </c>
      <c r="CP45" s="6" t="str">
        <f t="shared" si="52"/>
        <v>B</v>
      </c>
      <c r="CQ45" s="1">
        <f t="shared" si="53"/>
        <v>3</v>
      </c>
      <c r="CR45" s="2">
        <v>2</v>
      </c>
      <c r="CS45" s="2">
        <f t="shared" si="54"/>
        <v>6</v>
      </c>
      <c r="CT45" s="5">
        <v>82.8</v>
      </c>
      <c r="CU45" s="6" t="str">
        <f t="shared" si="55"/>
        <v>A</v>
      </c>
      <c r="CV45" s="1">
        <f t="shared" si="56"/>
        <v>4</v>
      </c>
      <c r="CW45" s="2">
        <v>2</v>
      </c>
      <c r="CX45" s="2">
        <f t="shared" si="57"/>
        <v>8</v>
      </c>
      <c r="CY45" s="5">
        <v>80</v>
      </c>
      <c r="CZ45" s="6" t="str">
        <f t="shared" si="58"/>
        <v>A</v>
      </c>
      <c r="DA45" s="1">
        <f t="shared" si="59"/>
        <v>4</v>
      </c>
      <c r="DB45" s="5">
        <v>2</v>
      </c>
      <c r="DC45" s="3">
        <f t="shared" si="60"/>
        <v>8</v>
      </c>
      <c r="DD45" s="5">
        <v>75.099999999999994</v>
      </c>
      <c r="DE45" s="6" t="str">
        <f t="shared" si="61"/>
        <v>B+</v>
      </c>
      <c r="DF45" s="1">
        <f t="shared" si="62"/>
        <v>3.5</v>
      </c>
      <c r="DG45" s="5">
        <v>2</v>
      </c>
      <c r="DH45" s="2">
        <f t="shared" si="63"/>
        <v>7</v>
      </c>
      <c r="DI45" s="5">
        <v>79</v>
      </c>
      <c r="DJ45" s="6" t="str">
        <f t="shared" si="64"/>
        <v>B+</v>
      </c>
      <c r="DK45" s="1">
        <f t="shared" si="65"/>
        <v>3.5</v>
      </c>
      <c r="DL45" s="5">
        <v>4</v>
      </c>
      <c r="DM45" s="2">
        <f t="shared" si="66"/>
        <v>14</v>
      </c>
      <c r="DN45" s="30">
        <f t="shared" si="75"/>
        <v>86.5</v>
      </c>
      <c r="DO45" s="31">
        <f t="shared" si="67"/>
        <v>24</v>
      </c>
      <c r="DP45" s="5">
        <f t="shared" si="68"/>
        <v>87</v>
      </c>
      <c r="DQ45" s="5">
        <f t="shared" si="69"/>
        <v>24</v>
      </c>
      <c r="DR45" s="5">
        <f t="shared" si="70"/>
        <v>173.5</v>
      </c>
      <c r="DS45" s="5">
        <f t="shared" si="71"/>
        <v>48</v>
      </c>
      <c r="DT45" s="5">
        <v>3.625</v>
      </c>
      <c r="DU45" s="5">
        <f t="shared" si="72"/>
        <v>3.6145833333333335</v>
      </c>
      <c r="DV45" s="10" t="str">
        <f t="shared" si="73"/>
        <v>Cum Laude</v>
      </c>
      <c r="DW45" s="17" t="str">
        <f t="shared" si="74"/>
        <v>Excellent</v>
      </c>
      <c r="DX45" s="17" t="s">
        <v>190</v>
      </c>
    </row>
    <row r="46" spans="1:128" x14ac:dyDescent="0.25">
      <c r="A46" s="10">
        <v>44</v>
      </c>
      <c r="B46" s="19" t="s">
        <v>63</v>
      </c>
      <c r="C46" s="10">
        <v>182412047</v>
      </c>
      <c r="D46" s="10"/>
      <c r="E46" s="8"/>
      <c r="F46" s="10"/>
      <c r="G46" s="10"/>
      <c r="H46" s="5">
        <v>78.75</v>
      </c>
      <c r="I46" s="6" t="str">
        <f t="shared" si="1"/>
        <v>B+</v>
      </c>
      <c r="J46" s="1">
        <f t="shared" si="2"/>
        <v>3.5</v>
      </c>
      <c r="K46" s="5">
        <v>2</v>
      </c>
      <c r="L46" s="2">
        <f t="shared" si="3"/>
        <v>7</v>
      </c>
      <c r="M46" s="5">
        <v>77</v>
      </c>
      <c r="N46" s="6" t="str">
        <f t="shared" si="4"/>
        <v>B+</v>
      </c>
      <c r="O46" s="1">
        <f t="shared" si="5"/>
        <v>3.5</v>
      </c>
      <c r="P46" s="5">
        <v>2</v>
      </c>
      <c r="Q46" s="2">
        <f t="shared" si="6"/>
        <v>7</v>
      </c>
      <c r="R46" s="5">
        <v>73</v>
      </c>
      <c r="S46" s="6" t="str">
        <f t="shared" si="7"/>
        <v>B</v>
      </c>
      <c r="T46" s="1">
        <f t="shared" si="8"/>
        <v>3</v>
      </c>
      <c r="U46" s="5">
        <v>2</v>
      </c>
      <c r="V46" s="2">
        <f t="shared" si="9"/>
        <v>6</v>
      </c>
      <c r="W46" s="5">
        <v>80</v>
      </c>
      <c r="X46" s="6" t="str">
        <f t="shared" si="10"/>
        <v>A</v>
      </c>
      <c r="Y46" s="1">
        <f t="shared" si="11"/>
        <v>4</v>
      </c>
      <c r="Z46" s="5">
        <v>3</v>
      </c>
      <c r="AA46" s="2">
        <f t="shared" si="12"/>
        <v>12</v>
      </c>
      <c r="AB46" s="5">
        <v>81.05</v>
      </c>
      <c r="AC46" s="6" t="str">
        <f t="shared" si="13"/>
        <v>A</v>
      </c>
      <c r="AD46" s="1">
        <f t="shared" si="14"/>
        <v>4</v>
      </c>
      <c r="AE46" s="2">
        <v>2</v>
      </c>
      <c r="AF46" s="2">
        <f t="shared" si="15"/>
        <v>8</v>
      </c>
      <c r="AG46" s="5">
        <v>78</v>
      </c>
      <c r="AH46" s="6" t="str">
        <f t="shared" si="16"/>
        <v>B+</v>
      </c>
      <c r="AI46" s="1">
        <f t="shared" si="17"/>
        <v>3.5</v>
      </c>
      <c r="AJ46" s="2">
        <v>2</v>
      </c>
      <c r="AK46" s="2">
        <f t="shared" si="18"/>
        <v>7</v>
      </c>
      <c r="AL46" s="5">
        <v>76</v>
      </c>
      <c r="AM46" s="6" t="str">
        <f t="shared" si="19"/>
        <v>B+</v>
      </c>
      <c r="AN46" s="1">
        <f t="shared" si="20"/>
        <v>3.5</v>
      </c>
      <c r="AO46" s="2">
        <v>2</v>
      </c>
      <c r="AP46" s="2">
        <f t="shared" si="21"/>
        <v>7</v>
      </c>
      <c r="AQ46" s="5">
        <v>74</v>
      </c>
      <c r="AR46" s="6" t="str">
        <f t="shared" si="22"/>
        <v>B</v>
      </c>
      <c r="AS46" s="1">
        <f t="shared" si="23"/>
        <v>3</v>
      </c>
      <c r="AT46" s="2">
        <v>2</v>
      </c>
      <c r="AU46" s="2">
        <f t="shared" si="24"/>
        <v>6</v>
      </c>
      <c r="AV46" s="5">
        <v>80.75</v>
      </c>
      <c r="AW46" s="6" t="str">
        <f t="shared" si="25"/>
        <v>A</v>
      </c>
      <c r="AX46" s="1">
        <f t="shared" si="26"/>
        <v>4</v>
      </c>
      <c r="AY46" s="5">
        <v>3</v>
      </c>
      <c r="AZ46" s="3">
        <f t="shared" si="27"/>
        <v>12</v>
      </c>
      <c r="BA46" s="5">
        <v>76.25</v>
      </c>
      <c r="BB46" s="6" t="str">
        <f t="shared" si="28"/>
        <v>B+</v>
      </c>
      <c r="BC46" s="1">
        <f t="shared" si="29"/>
        <v>3.5</v>
      </c>
      <c r="BD46" s="5">
        <v>2</v>
      </c>
      <c r="BE46" s="2">
        <f t="shared" si="30"/>
        <v>7</v>
      </c>
      <c r="BF46" s="5">
        <v>76</v>
      </c>
      <c r="BG46" s="6" t="str">
        <f t="shared" si="31"/>
        <v>B+</v>
      </c>
      <c r="BH46" s="1">
        <f t="shared" si="32"/>
        <v>3.5</v>
      </c>
      <c r="BI46" s="5">
        <v>2</v>
      </c>
      <c r="BJ46" s="2">
        <f t="shared" si="33"/>
        <v>7</v>
      </c>
      <c r="BK46" s="5">
        <v>79.47</v>
      </c>
      <c r="BL46" s="6" t="str">
        <f t="shared" si="34"/>
        <v>B+</v>
      </c>
      <c r="BM46" s="1">
        <f t="shared" si="35"/>
        <v>3.5</v>
      </c>
      <c r="BN46" s="5">
        <v>2</v>
      </c>
      <c r="BO46" s="2">
        <f t="shared" si="36"/>
        <v>7</v>
      </c>
      <c r="BP46" s="5">
        <v>82.8</v>
      </c>
      <c r="BQ46" s="6" t="str">
        <f t="shared" si="37"/>
        <v>A</v>
      </c>
      <c r="BR46" s="1">
        <f t="shared" si="38"/>
        <v>4</v>
      </c>
      <c r="BS46" s="5">
        <v>2</v>
      </c>
      <c r="BT46" s="2">
        <f t="shared" si="39"/>
        <v>8</v>
      </c>
      <c r="BU46" s="5">
        <v>81</v>
      </c>
      <c r="BV46" s="6" t="str">
        <f t="shared" si="40"/>
        <v>A</v>
      </c>
      <c r="BW46" s="1">
        <f t="shared" si="41"/>
        <v>4</v>
      </c>
      <c r="BX46" s="5">
        <v>2</v>
      </c>
      <c r="BY46" s="2">
        <f t="shared" si="42"/>
        <v>8</v>
      </c>
      <c r="BZ46" s="5">
        <v>78.400000000000006</v>
      </c>
      <c r="CA46" s="6" t="str">
        <f t="shared" si="43"/>
        <v>B+</v>
      </c>
      <c r="CB46" s="1">
        <f t="shared" si="44"/>
        <v>3.5</v>
      </c>
      <c r="CC46" s="5">
        <v>2</v>
      </c>
      <c r="CD46" s="2">
        <f t="shared" si="45"/>
        <v>7</v>
      </c>
      <c r="CE46" s="5">
        <v>86</v>
      </c>
      <c r="CF46" s="6" t="str">
        <f t="shared" si="46"/>
        <v>A</v>
      </c>
      <c r="CG46" s="1">
        <f t="shared" si="47"/>
        <v>4</v>
      </c>
      <c r="CH46" s="5">
        <v>2</v>
      </c>
      <c r="CI46" s="2">
        <f t="shared" si="48"/>
        <v>8</v>
      </c>
      <c r="CJ46" s="5">
        <v>71.13</v>
      </c>
      <c r="CK46" s="6" t="str">
        <f t="shared" si="49"/>
        <v>B</v>
      </c>
      <c r="CL46" s="1">
        <f t="shared" si="50"/>
        <v>3</v>
      </c>
      <c r="CM46" s="2">
        <v>2</v>
      </c>
      <c r="CN46" s="2">
        <f t="shared" si="51"/>
        <v>6</v>
      </c>
      <c r="CO46" s="5">
        <v>76</v>
      </c>
      <c r="CP46" s="6" t="str">
        <f t="shared" si="52"/>
        <v>B+</v>
      </c>
      <c r="CQ46" s="1">
        <f t="shared" si="53"/>
        <v>3.5</v>
      </c>
      <c r="CR46" s="2">
        <v>2</v>
      </c>
      <c r="CS46" s="2">
        <f t="shared" si="54"/>
        <v>7</v>
      </c>
      <c r="CT46" s="5">
        <v>80</v>
      </c>
      <c r="CU46" s="6" t="str">
        <f t="shared" si="55"/>
        <v>A</v>
      </c>
      <c r="CV46" s="1">
        <f t="shared" si="56"/>
        <v>4</v>
      </c>
      <c r="CW46" s="2">
        <v>2</v>
      </c>
      <c r="CX46" s="2">
        <f t="shared" si="57"/>
        <v>8</v>
      </c>
      <c r="CY46" s="5">
        <v>80</v>
      </c>
      <c r="CZ46" s="6" t="str">
        <f t="shared" si="58"/>
        <v>A</v>
      </c>
      <c r="DA46" s="1">
        <f t="shared" si="59"/>
        <v>4</v>
      </c>
      <c r="DB46" s="5">
        <v>2</v>
      </c>
      <c r="DC46" s="3">
        <f t="shared" si="60"/>
        <v>8</v>
      </c>
      <c r="DD46" s="5">
        <v>72.5</v>
      </c>
      <c r="DE46" s="6" t="str">
        <f t="shared" si="61"/>
        <v>B</v>
      </c>
      <c r="DF46" s="1">
        <f t="shared" si="62"/>
        <v>3</v>
      </c>
      <c r="DG46" s="5">
        <v>2</v>
      </c>
      <c r="DH46" s="2">
        <f t="shared" si="63"/>
        <v>6</v>
      </c>
      <c r="DI46" s="5"/>
      <c r="DJ46" s="6" t="str">
        <f t="shared" si="64"/>
        <v>E</v>
      </c>
      <c r="DK46" s="1">
        <f t="shared" si="65"/>
        <v>0</v>
      </c>
      <c r="DL46" s="5">
        <v>4</v>
      </c>
      <c r="DM46" s="2">
        <f t="shared" si="66"/>
        <v>0</v>
      </c>
      <c r="DN46" s="30">
        <f t="shared" si="75"/>
        <v>86</v>
      </c>
      <c r="DO46" s="31">
        <f t="shared" si="67"/>
        <v>24</v>
      </c>
      <c r="DP46" s="5">
        <f t="shared" si="68"/>
        <v>73</v>
      </c>
      <c r="DQ46" s="5">
        <f t="shared" si="69"/>
        <v>24</v>
      </c>
      <c r="DR46" s="5">
        <f t="shared" si="70"/>
        <v>159</v>
      </c>
      <c r="DS46" s="5">
        <f t="shared" si="71"/>
        <v>48</v>
      </c>
      <c r="DT46" s="5">
        <v>3.0416666666666665</v>
      </c>
      <c r="DU46" s="5">
        <f t="shared" si="72"/>
        <v>3.3125</v>
      </c>
      <c r="DV46" s="10" t="str">
        <f t="shared" si="73"/>
        <v>Sangat Memuaskan</v>
      </c>
      <c r="DW46" s="17" t="str">
        <f t="shared" si="74"/>
        <v>Highly Satisfactory</v>
      </c>
      <c r="DX46" s="17"/>
    </row>
    <row r="47" spans="1:128" x14ac:dyDescent="0.25">
      <c r="A47" s="10">
        <v>45</v>
      </c>
      <c r="B47" s="10" t="s">
        <v>64</v>
      </c>
      <c r="C47" s="10">
        <v>182412048</v>
      </c>
      <c r="D47" s="10"/>
      <c r="E47" s="8"/>
      <c r="F47" s="10"/>
      <c r="G47" s="10"/>
      <c r="H47" s="5">
        <v>75.75</v>
      </c>
      <c r="I47" s="6" t="str">
        <f t="shared" si="1"/>
        <v>B+</v>
      </c>
      <c r="J47" s="1">
        <f t="shared" si="2"/>
        <v>3.5</v>
      </c>
      <c r="K47" s="5">
        <v>2</v>
      </c>
      <c r="L47" s="2">
        <f t="shared" si="3"/>
        <v>7</v>
      </c>
      <c r="M47" s="5">
        <v>76</v>
      </c>
      <c r="N47" s="6" t="str">
        <f t="shared" si="4"/>
        <v>B+</v>
      </c>
      <c r="O47" s="1">
        <f t="shared" si="5"/>
        <v>3.5</v>
      </c>
      <c r="P47" s="5">
        <v>2</v>
      </c>
      <c r="Q47" s="2">
        <f t="shared" si="6"/>
        <v>7</v>
      </c>
      <c r="R47" s="5">
        <v>74</v>
      </c>
      <c r="S47" s="6" t="str">
        <f t="shared" si="7"/>
        <v>B</v>
      </c>
      <c r="T47" s="1">
        <f t="shared" si="8"/>
        <v>3</v>
      </c>
      <c r="U47" s="5">
        <v>2</v>
      </c>
      <c r="V47" s="2">
        <f t="shared" si="9"/>
        <v>6</v>
      </c>
      <c r="W47" s="5">
        <v>80</v>
      </c>
      <c r="X47" s="6" t="str">
        <f t="shared" si="10"/>
        <v>A</v>
      </c>
      <c r="Y47" s="1">
        <f t="shared" si="11"/>
        <v>4</v>
      </c>
      <c r="Z47" s="5">
        <v>3</v>
      </c>
      <c r="AA47" s="2">
        <f t="shared" si="12"/>
        <v>12</v>
      </c>
      <c r="AB47" s="5">
        <v>89.05</v>
      </c>
      <c r="AC47" s="6" t="str">
        <f t="shared" si="13"/>
        <v>A</v>
      </c>
      <c r="AD47" s="1">
        <f t="shared" si="14"/>
        <v>4</v>
      </c>
      <c r="AE47" s="2">
        <v>2</v>
      </c>
      <c r="AF47" s="2">
        <f t="shared" si="15"/>
        <v>8</v>
      </c>
      <c r="AG47" s="5">
        <v>78</v>
      </c>
      <c r="AH47" s="6" t="str">
        <f t="shared" si="16"/>
        <v>B+</v>
      </c>
      <c r="AI47" s="1">
        <f t="shared" si="17"/>
        <v>3.5</v>
      </c>
      <c r="AJ47" s="2">
        <v>2</v>
      </c>
      <c r="AK47" s="2">
        <f t="shared" si="18"/>
        <v>7</v>
      </c>
      <c r="AL47" s="5">
        <v>79</v>
      </c>
      <c r="AM47" s="6" t="str">
        <f t="shared" si="19"/>
        <v>B+</v>
      </c>
      <c r="AN47" s="1">
        <f t="shared" si="20"/>
        <v>3.5</v>
      </c>
      <c r="AO47" s="2">
        <v>2</v>
      </c>
      <c r="AP47" s="2">
        <f t="shared" si="21"/>
        <v>7</v>
      </c>
      <c r="AQ47" s="5">
        <v>76</v>
      </c>
      <c r="AR47" s="6" t="str">
        <f t="shared" si="22"/>
        <v>B+</v>
      </c>
      <c r="AS47" s="1">
        <f t="shared" si="23"/>
        <v>3.5</v>
      </c>
      <c r="AT47" s="2">
        <v>2</v>
      </c>
      <c r="AU47" s="2">
        <f t="shared" si="24"/>
        <v>7</v>
      </c>
      <c r="AV47" s="5">
        <v>79.5</v>
      </c>
      <c r="AW47" s="6" t="str">
        <f t="shared" si="25"/>
        <v>B+</v>
      </c>
      <c r="AX47" s="1">
        <f t="shared" si="26"/>
        <v>3.5</v>
      </c>
      <c r="AY47" s="5">
        <v>3</v>
      </c>
      <c r="AZ47" s="3">
        <f t="shared" si="27"/>
        <v>10.5</v>
      </c>
      <c r="BA47" s="5">
        <v>76.25</v>
      </c>
      <c r="BB47" s="6" t="str">
        <f t="shared" si="28"/>
        <v>B+</v>
      </c>
      <c r="BC47" s="1">
        <f t="shared" si="29"/>
        <v>3.5</v>
      </c>
      <c r="BD47" s="5">
        <v>2</v>
      </c>
      <c r="BE47" s="2">
        <f t="shared" si="30"/>
        <v>7</v>
      </c>
      <c r="BF47" s="5">
        <v>79</v>
      </c>
      <c r="BG47" s="6" t="str">
        <f t="shared" si="31"/>
        <v>B+</v>
      </c>
      <c r="BH47" s="1">
        <f t="shared" si="32"/>
        <v>3.5</v>
      </c>
      <c r="BI47" s="5">
        <v>2</v>
      </c>
      <c r="BJ47" s="2">
        <f t="shared" si="33"/>
        <v>7</v>
      </c>
      <c r="BK47" s="5">
        <v>78.13</v>
      </c>
      <c r="BL47" s="6" t="str">
        <f t="shared" si="34"/>
        <v>B+</v>
      </c>
      <c r="BM47" s="1">
        <f t="shared" si="35"/>
        <v>3.5</v>
      </c>
      <c r="BN47" s="5">
        <v>2</v>
      </c>
      <c r="BO47" s="2">
        <f t="shared" si="36"/>
        <v>7</v>
      </c>
      <c r="BP47" s="5">
        <v>79.3</v>
      </c>
      <c r="BQ47" s="6" t="str">
        <f t="shared" si="37"/>
        <v>B+</v>
      </c>
      <c r="BR47" s="1">
        <f t="shared" si="38"/>
        <v>3.5</v>
      </c>
      <c r="BS47" s="5">
        <v>2</v>
      </c>
      <c r="BT47" s="2">
        <f t="shared" si="39"/>
        <v>7</v>
      </c>
      <c r="BU47" s="5">
        <v>80</v>
      </c>
      <c r="BV47" s="6" t="str">
        <f t="shared" si="40"/>
        <v>A</v>
      </c>
      <c r="BW47" s="1">
        <f t="shared" si="41"/>
        <v>4</v>
      </c>
      <c r="BX47" s="5">
        <v>2</v>
      </c>
      <c r="BY47" s="2">
        <f t="shared" si="42"/>
        <v>8</v>
      </c>
      <c r="BZ47" s="5">
        <v>77.7</v>
      </c>
      <c r="CA47" s="6" t="str">
        <f t="shared" si="43"/>
        <v>B+</v>
      </c>
      <c r="CB47" s="1">
        <f t="shared" si="44"/>
        <v>3.5</v>
      </c>
      <c r="CC47" s="5">
        <v>2</v>
      </c>
      <c r="CD47" s="2">
        <f t="shared" si="45"/>
        <v>7</v>
      </c>
      <c r="CE47" s="5">
        <v>85</v>
      </c>
      <c r="CF47" s="6" t="str">
        <f t="shared" si="46"/>
        <v>A</v>
      </c>
      <c r="CG47" s="1">
        <f t="shared" si="47"/>
        <v>4</v>
      </c>
      <c r="CH47" s="5">
        <v>2</v>
      </c>
      <c r="CI47" s="2">
        <f t="shared" si="48"/>
        <v>8</v>
      </c>
      <c r="CJ47" s="5">
        <v>71.33</v>
      </c>
      <c r="CK47" s="6" t="str">
        <f t="shared" si="49"/>
        <v>B</v>
      </c>
      <c r="CL47" s="1">
        <f t="shared" si="50"/>
        <v>3</v>
      </c>
      <c r="CM47" s="2">
        <v>2</v>
      </c>
      <c r="CN47" s="2">
        <f t="shared" si="51"/>
        <v>6</v>
      </c>
      <c r="CO47" s="5">
        <v>76.599999999999994</v>
      </c>
      <c r="CP47" s="6" t="str">
        <f t="shared" si="52"/>
        <v>B+</v>
      </c>
      <c r="CQ47" s="1">
        <f t="shared" si="53"/>
        <v>3.5</v>
      </c>
      <c r="CR47" s="2">
        <v>2</v>
      </c>
      <c r="CS47" s="2">
        <f t="shared" si="54"/>
        <v>7</v>
      </c>
      <c r="CT47" s="5">
        <v>81.8</v>
      </c>
      <c r="CU47" s="6" t="str">
        <f t="shared" si="55"/>
        <v>A</v>
      </c>
      <c r="CV47" s="1">
        <f t="shared" si="56"/>
        <v>4</v>
      </c>
      <c r="CW47" s="2">
        <v>2</v>
      </c>
      <c r="CX47" s="2">
        <f t="shared" si="57"/>
        <v>8</v>
      </c>
      <c r="CY47" s="5">
        <v>77</v>
      </c>
      <c r="CZ47" s="6" t="str">
        <f t="shared" si="58"/>
        <v>B+</v>
      </c>
      <c r="DA47" s="1">
        <f t="shared" si="59"/>
        <v>3.5</v>
      </c>
      <c r="DB47" s="5">
        <v>2</v>
      </c>
      <c r="DC47" s="3">
        <f t="shared" si="60"/>
        <v>7</v>
      </c>
      <c r="DD47" s="5">
        <v>74.5</v>
      </c>
      <c r="DE47" s="6" t="str">
        <f t="shared" si="61"/>
        <v>B</v>
      </c>
      <c r="DF47" s="1">
        <f t="shared" si="62"/>
        <v>3</v>
      </c>
      <c r="DG47" s="5">
        <v>2</v>
      </c>
      <c r="DH47" s="2">
        <f t="shared" si="63"/>
        <v>6</v>
      </c>
      <c r="DI47" s="5">
        <v>78</v>
      </c>
      <c r="DJ47" s="6" t="str">
        <f t="shared" si="64"/>
        <v>B+</v>
      </c>
      <c r="DK47" s="1">
        <f t="shared" si="65"/>
        <v>3.5</v>
      </c>
      <c r="DL47" s="5">
        <v>4</v>
      </c>
      <c r="DM47" s="2">
        <f t="shared" si="66"/>
        <v>14</v>
      </c>
      <c r="DN47" s="30">
        <f t="shared" si="75"/>
        <v>85.5</v>
      </c>
      <c r="DO47" s="31">
        <f t="shared" si="67"/>
        <v>24</v>
      </c>
      <c r="DP47" s="5">
        <f t="shared" si="68"/>
        <v>85</v>
      </c>
      <c r="DQ47" s="5">
        <f t="shared" si="69"/>
        <v>24</v>
      </c>
      <c r="DR47" s="5">
        <f t="shared" si="70"/>
        <v>170.5</v>
      </c>
      <c r="DS47" s="5">
        <f t="shared" si="71"/>
        <v>48</v>
      </c>
      <c r="DT47" s="5">
        <v>3.5416666666666665</v>
      </c>
      <c r="DU47" s="5">
        <f t="shared" si="72"/>
        <v>3.5520833333333335</v>
      </c>
      <c r="DV47" s="10" t="str">
        <f t="shared" si="73"/>
        <v>Cum Laude</v>
      </c>
      <c r="DW47" s="17" t="str">
        <f t="shared" si="74"/>
        <v>Excellent</v>
      </c>
      <c r="DX47" s="17" t="s">
        <v>191</v>
      </c>
    </row>
    <row r="48" spans="1:128" x14ac:dyDescent="0.2">
      <c r="A48" s="10">
        <v>46</v>
      </c>
      <c r="B48" s="10" t="s">
        <v>65</v>
      </c>
      <c r="C48" s="10">
        <v>182412049</v>
      </c>
      <c r="D48" s="16" t="s">
        <v>144</v>
      </c>
      <c r="E48" s="8" t="s">
        <v>145</v>
      </c>
      <c r="F48" s="15" t="s">
        <v>149</v>
      </c>
      <c r="G48" s="10"/>
      <c r="H48" s="5">
        <v>83.5</v>
      </c>
      <c r="I48" s="6" t="str">
        <f t="shared" si="1"/>
        <v>A</v>
      </c>
      <c r="J48" s="1">
        <f t="shared" si="2"/>
        <v>4</v>
      </c>
      <c r="K48" s="5">
        <v>2</v>
      </c>
      <c r="L48" s="2">
        <f t="shared" si="3"/>
        <v>8</v>
      </c>
      <c r="M48" s="5">
        <v>75</v>
      </c>
      <c r="N48" s="6" t="str">
        <f t="shared" si="4"/>
        <v>B+</v>
      </c>
      <c r="O48" s="1">
        <f t="shared" si="5"/>
        <v>3.5</v>
      </c>
      <c r="P48" s="5">
        <v>2</v>
      </c>
      <c r="Q48" s="2">
        <f t="shared" si="6"/>
        <v>7</v>
      </c>
      <c r="R48" s="5">
        <v>84.6</v>
      </c>
      <c r="S48" s="6" t="str">
        <f t="shared" si="7"/>
        <v>A</v>
      </c>
      <c r="T48" s="1">
        <f t="shared" si="8"/>
        <v>4</v>
      </c>
      <c r="U48" s="5">
        <v>2</v>
      </c>
      <c r="V48" s="2">
        <f t="shared" si="9"/>
        <v>8</v>
      </c>
      <c r="W48" s="5">
        <v>78</v>
      </c>
      <c r="X48" s="6" t="str">
        <f t="shared" si="10"/>
        <v>B+</v>
      </c>
      <c r="Y48" s="1">
        <f t="shared" si="11"/>
        <v>3.5</v>
      </c>
      <c r="Z48" s="5">
        <v>3</v>
      </c>
      <c r="AA48" s="2">
        <f t="shared" si="12"/>
        <v>10.5</v>
      </c>
      <c r="AB48" s="5">
        <v>80.25</v>
      </c>
      <c r="AC48" s="6" t="str">
        <f t="shared" si="13"/>
        <v>A</v>
      </c>
      <c r="AD48" s="1">
        <f t="shared" si="14"/>
        <v>4</v>
      </c>
      <c r="AE48" s="2">
        <v>2</v>
      </c>
      <c r="AF48" s="2">
        <f t="shared" si="15"/>
        <v>8</v>
      </c>
      <c r="AG48" s="5">
        <v>78</v>
      </c>
      <c r="AH48" s="6" t="str">
        <f t="shared" si="16"/>
        <v>B+</v>
      </c>
      <c r="AI48" s="1">
        <f t="shared" si="17"/>
        <v>3.5</v>
      </c>
      <c r="AJ48" s="2">
        <v>2</v>
      </c>
      <c r="AK48" s="2">
        <f t="shared" si="18"/>
        <v>7</v>
      </c>
      <c r="AL48" s="5">
        <v>77</v>
      </c>
      <c r="AM48" s="6" t="str">
        <f t="shared" si="19"/>
        <v>B+</v>
      </c>
      <c r="AN48" s="1">
        <f t="shared" si="20"/>
        <v>3.5</v>
      </c>
      <c r="AO48" s="2">
        <v>2</v>
      </c>
      <c r="AP48" s="2">
        <f t="shared" si="21"/>
        <v>7</v>
      </c>
      <c r="AQ48" s="5">
        <v>75</v>
      </c>
      <c r="AR48" s="6" t="str">
        <f t="shared" si="22"/>
        <v>B+</v>
      </c>
      <c r="AS48" s="1">
        <f t="shared" si="23"/>
        <v>3.5</v>
      </c>
      <c r="AT48" s="2">
        <v>2</v>
      </c>
      <c r="AU48" s="2">
        <f t="shared" si="24"/>
        <v>7</v>
      </c>
      <c r="AV48" s="5">
        <v>79.5</v>
      </c>
      <c r="AW48" s="6" t="str">
        <f t="shared" si="25"/>
        <v>B+</v>
      </c>
      <c r="AX48" s="1">
        <f t="shared" si="26"/>
        <v>3.5</v>
      </c>
      <c r="AY48" s="5">
        <v>3</v>
      </c>
      <c r="AZ48" s="3">
        <f t="shared" si="27"/>
        <v>10.5</v>
      </c>
      <c r="BA48" s="5">
        <v>76.25</v>
      </c>
      <c r="BB48" s="6" t="str">
        <f t="shared" si="28"/>
        <v>B+</v>
      </c>
      <c r="BC48" s="1">
        <f t="shared" si="29"/>
        <v>3.5</v>
      </c>
      <c r="BD48" s="5">
        <v>2</v>
      </c>
      <c r="BE48" s="2">
        <f t="shared" si="30"/>
        <v>7</v>
      </c>
      <c r="BF48" s="5">
        <v>80</v>
      </c>
      <c r="BG48" s="6" t="str">
        <f t="shared" si="31"/>
        <v>A</v>
      </c>
      <c r="BH48" s="1">
        <f t="shared" si="32"/>
        <v>4</v>
      </c>
      <c r="BI48" s="5">
        <v>2</v>
      </c>
      <c r="BJ48" s="2">
        <f t="shared" si="33"/>
        <v>8</v>
      </c>
      <c r="BK48" s="5">
        <v>78.650000000000006</v>
      </c>
      <c r="BL48" s="6" t="str">
        <f t="shared" si="34"/>
        <v>B+</v>
      </c>
      <c r="BM48" s="1">
        <f t="shared" si="35"/>
        <v>3.5</v>
      </c>
      <c r="BN48" s="5">
        <v>2</v>
      </c>
      <c r="BO48" s="2">
        <f t="shared" si="36"/>
        <v>7</v>
      </c>
      <c r="BP48" s="5">
        <v>82.1</v>
      </c>
      <c r="BQ48" s="6" t="str">
        <f t="shared" si="37"/>
        <v>A</v>
      </c>
      <c r="BR48" s="1">
        <f t="shared" si="38"/>
        <v>4</v>
      </c>
      <c r="BS48" s="5">
        <v>2</v>
      </c>
      <c r="BT48" s="2">
        <f t="shared" si="39"/>
        <v>8</v>
      </c>
      <c r="BU48" s="5">
        <v>82</v>
      </c>
      <c r="BV48" s="6" t="str">
        <f t="shared" si="40"/>
        <v>A</v>
      </c>
      <c r="BW48" s="1">
        <f t="shared" si="41"/>
        <v>4</v>
      </c>
      <c r="BX48" s="5">
        <v>2</v>
      </c>
      <c r="BY48" s="2">
        <f t="shared" si="42"/>
        <v>8</v>
      </c>
      <c r="BZ48" s="5">
        <v>81.3</v>
      </c>
      <c r="CA48" s="6" t="str">
        <f t="shared" si="43"/>
        <v>A</v>
      </c>
      <c r="CB48" s="1">
        <f t="shared" si="44"/>
        <v>4</v>
      </c>
      <c r="CC48" s="5">
        <v>2</v>
      </c>
      <c r="CD48" s="2">
        <f t="shared" si="45"/>
        <v>8</v>
      </c>
      <c r="CE48" s="5">
        <v>87</v>
      </c>
      <c r="CF48" s="6" t="str">
        <f t="shared" si="46"/>
        <v>A</v>
      </c>
      <c r="CG48" s="1">
        <f t="shared" si="47"/>
        <v>4</v>
      </c>
      <c r="CH48" s="5">
        <v>2</v>
      </c>
      <c r="CI48" s="2">
        <f t="shared" si="48"/>
        <v>8</v>
      </c>
      <c r="CJ48" s="5">
        <v>74.2</v>
      </c>
      <c r="CK48" s="6" t="str">
        <f t="shared" si="49"/>
        <v>B</v>
      </c>
      <c r="CL48" s="1">
        <f t="shared" si="50"/>
        <v>3</v>
      </c>
      <c r="CM48" s="2">
        <v>2</v>
      </c>
      <c r="CN48" s="2">
        <f t="shared" si="51"/>
        <v>6</v>
      </c>
      <c r="CO48" s="5">
        <v>81.7</v>
      </c>
      <c r="CP48" s="6" t="str">
        <f t="shared" si="52"/>
        <v>A</v>
      </c>
      <c r="CQ48" s="1">
        <f t="shared" si="53"/>
        <v>4</v>
      </c>
      <c r="CR48" s="2">
        <v>2</v>
      </c>
      <c r="CS48" s="2">
        <f t="shared" si="54"/>
        <v>8</v>
      </c>
      <c r="CT48" s="5">
        <v>83.3</v>
      </c>
      <c r="CU48" s="6" t="str">
        <f t="shared" si="55"/>
        <v>A</v>
      </c>
      <c r="CV48" s="1">
        <f t="shared" si="56"/>
        <v>4</v>
      </c>
      <c r="CW48" s="2">
        <v>2</v>
      </c>
      <c r="CX48" s="2">
        <f t="shared" si="57"/>
        <v>8</v>
      </c>
      <c r="CY48" s="5">
        <v>87</v>
      </c>
      <c r="CZ48" s="6" t="str">
        <f t="shared" si="58"/>
        <v>A</v>
      </c>
      <c r="DA48" s="1">
        <f t="shared" si="59"/>
        <v>4</v>
      </c>
      <c r="DB48" s="5">
        <v>2</v>
      </c>
      <c r="DC48" s="3">
        <f t="shared" si="60"/>
        <v>8</v>
      </c>
      <c r="DD48" s="5">
        <v>74.5</v>
      </c>
      <c r="DE48" s="6" t="str">
        <f t="shared" si="61"/>
        <v>B</v>
      </c>
      <c r="DF48" s="1">
        <f t="shared" si="62"/>
        <v>3</v>
      </c>
      <c r="DG48" s="5">
        <v>2</v>
      </c>
      <c r="DH48" s="2">
        <f t="shared" si="63"/>
        <v>6</v>
      </c>
      <c r="DI48" s="5">
        <v>80</v>
      </c>
      <c r="DJ48" s="6" t="str">
        <f t="shared" si="64"/>
        <v>A</v>
      </c>
      <c r="DK48" s="1">
        <f t="shared" si="65"/>
        <v>4</v>
      </c>
      <c r="DL48" s="5">
        <v>4</v>
      </c>
      <c r="DM48" s="2">
        <f t="shared" si="66"/>
        <v>16</v>
      </c>
      <c r="DN48" s="30">
        <f t="shared" si="75"/>
        <v>88</v>
      </c>
      <c r="DO48" s="31">
        <f t="shared" si="67"/>
        <v>24</v>
      </c>
      <c r="DP48" s="5">
        <f t="shared" si="68"/>
        <v>91</v>
      </c>
      <c r="DQ48" s="5">
        <f t="shared" si="69"/>
        <v>24</v>
      </c>
      <c r="DR48" s="5">
        <f t="shared" si="70"/>
        <v>179</v>
      </c>
      <c r="DS48" s="5">
        <f t="shared" si="71"/>
        <v>48</v>
      </c>
      <c r="DT48" s="5">
        <v>3.7916666666666665</v>
      </c>
      <c r="DU48" s="5">
        <f t="shared" si="72"/>
        <v>3.7291666666666665</v>
      </c>
      <c r="DV48" s="10" t="str">
        <f t="shared" si="73"/>
        <v>Cum Laude</v>
      </c>
      <c r="DW48" s="17" t="str">
        <f t="shared" si="74"/>
        <v>Excellent</v>
      </c>
      <c r="DX48" s="17" t="s">
        <v>192</v>
      </c>
    </row>
    <row r="49" spans="1:128" x14ac:dyDescent="0.25">
      <c r="A49" s="10">
        <v>47</v>
      </c>
      <c r="B49" s="19" t="s">
        <v>66</v>
      </c>
      <c r="C49" s="10">
        <v>182412050</v>
      </c>
      <c r="D49" s="10"/>
      <c r="E49" s="8"/>
      <c r="F49" s="10"/>
      <c r="G49" s="10"/>
      <c r="H49" s="5">
        <v>71</v>
      </c>
      <c r="I49" s="6" t="str">
        <f t="shared" si="1"/>
        <v>B</v>
      </c>
      <c r="J49" s="1">
        <f t="shared" si="2"/>
        <v>3</v>
      </c>
      <c r="K49" s="5">
        <v>2</v>
      </c>
      <c r="L49" s="2">
        <f t="shared" si="3"/>
        <v>6</v>
      </c>
      <c r="M49" s="5">
        <v>78</v>
      </c>
      <c r="N49" s="6" t="str">
        <f t="shared" si="4"/>
        <v>B+</v>
      </c>
      <c r="O49" s="1">
        <f t="shared" si="5"/>
        <v>3.5</v>
      </c>
      <c r="P49" s="5">
        <v>2</v>
      </c>
      <c r="Q49" s="2">
        <f t="shared" si="6"/>
        <v>7</v>
      </c>
      <c r="R49" s="5">
        <v>80.599999999999994</v>
      </c>
      <c r="S49" s="6" t="str">
        <f t="shared" si="7"/>
        <v>A</v>
      </c>
      <c r="T49" s="1">
        <f t="shared" si="8"/>
        <v>4</v>
      </c>
      <c r="U49" s="5">
        <v>2</v>
      </c>
      <c r="V49" s="2">
        <f t="shared" si="9"/>
        <v>8</v>
      </c>
      <c r="W49" s="5">
        <v>80</v>
      </c>
      <c r="X49" s="6" t="str">
        <f t="shared" si="10"/>
        <v>A</v>
      </c>
      <c r="Y49" s="1">
        <f t="shared" si="11"/>
        <v>4</v>
      </c>
      <c r="Z49" s="5">
        <v>3</v>
      </c>
      <c r="AA49" s="2">
        <f t="shared" si="12"/>
        <v>12</v>
      </c>
      <c r="AB49" s="5">
        <v>79.7</v>
      </c>
      <c r="AC49" s="6" t="str">
        <f t="shared" si="13"/>
        <v>B+</v>
      </c>
      <c r="AD49" s="1">
        <f t="shared" si="14"/>
        <v>3.5</v>
      </c>
      <c r="AE49" s="2">
        <v>2</v>
      </c>
      <c r="AF49" s="2">
        <f t="shared" si="15"/>
        <v>7</v>
      </c>
      <c r="AG49" s="5">
        <v>78</v>
      </c>
      <c r="AH49" s="6" t="str">
        <f t="shared" si="16"/>
        <v>B+</v>
      </c>
      <c r="AI49" s="1">
        <f t="shared" si="17"/>
        <v>3.5</v>
      </c>
      <c r="AJ49" s="2">
        <v>2</v>
      </c>
      <c r="AK49" s="2">
        <f t="shared" si="18"/>
        <v>7</v>
      </c>
      <c r="AL49" s="5">
        <v>77</v>
      </c>
      <c r="AM49" s="6" t="str">
        <f t="shared" si="19"/>
        <v>B+</v>
      </c>
      <c r="AN49" s="1">
        <f t="shared" si="20"/>
        <v>3.5</v>
      </c>
      <c r="AO49" s="2">
        <v>2</v>
      </c>
      <c r="AP49" s="2">
        <f t="shared" si="21"/>
        <v>7</v>
      </c>
      <c r="AQ49" s="5">
        <v>74</v>
      </c>
      <c r="AR49" s="6" t="str">
        <f t="shared" si="22"/>
        <v>B</v>
      </c>
      <c r="AS49" s="1">
        <f t="shared" si="23"/>
        <v>3</v>
      </c>
      <c r="AT49" s="2">
        <v>2</v>
      </c>
      <c r="AU49" s="2">
        <f t="shared" si="24"/>
        <v>6</v>
      </c>
      <c r="AV49" s="5">
        <v>78</v>
      </c>
      <c r="AW49" s="6" t="str">
        <f t="shared" si="25"/>
        <v>B+</v>
      </c>
      <c r="AX49" s="1">
        <f t="shared" si="26"/>
        <v>3.5</v>
      </c>
      <c r="AY49" s="5">
        <v>3</v>
      </c>
      <c r="AZ49" s="3">
        <f t="shared" si="27"/>
        <v>10.5</v>
      </c>
      <c r="BA49" s="5">
        <v>76.25</v>
      </c>
      <c r="BB49" s="6" t="str">
        <f t="shared" si="28"/>
        <v>B+</v>
      </c>
      <c r="BC49" s="1">
        <f t="shared" si="29"/>
        <v>3.5</v>
      </c>
      <c r="BD49" s="5">
        <v>2</v>
      </c>
      <c r="BE49" s="2">
        <f t="shared" si="30"/>
        <v>7</v>
      </c>
      <c r="BF49" s="5">
        <v>77</v>
      </c>
      <c r="BG49" s="6" t="str">
        <f t="shared" si="31"/>
        <v>B+</v>
      </c>
      <c r="BH49" s="1">
        <f t="shared" si="32"/>
        <v>3.5</v>
      </c>
      <c r="BI49" s="5">
        <v>2</v>
      </c>
      <c r="BJ49" s="2">
        <f t="shared" si="33"/>
        <v>7</v>
      </c>
      <c r="BK49" s="5">
        <v>0</v>
      </c>
      <c r="BL49" s="6" t="str">
        <f t="shared" si="34"/>
        <v>E</v>
      </c>
      <c r="BM49" s="1">
        <f t="shared" si="35"/>
        <v>0</v>
      </c>
      <c r="BN49" s="5">
        <v>2</v>
      </c>
      <c r="BO49" s="2">
        <f t="shared" si="36"/>
        <v>0</v>
      </c>
      <c r="BP49" s="5">
        <v>0</v>
      </c>
      <c r="BQ49" s="6" t="str">
        <f t="shared" si="37"/>
        <v>E</v>
      </c>
      <c r="BR49" s="1">
        <f t="shared" si="38"/>
        <v>0</v>
      </c>
      <c r="BS49" s="5">
        <v>2</v>
      </c>
      <c r="BT49" s="2">
        <f t="shared" si="39"/>
        <v>0</v>
      </c>
      <c r="BU49" s="5">
        <v>0</v>
      </c>
      <c r="BV49" s="6" t="str">
        <f t="shared" si="40"/>
        <v>E</v>
      </c>
      <c r="BW49" s="1">
        <f t="shared" si="41"/>
        <v>0</v>
      </c>
      <c r="BX49" s="5">
        <v>2</v>
      </c>
      <c r="BY49" s="2">
        <f t="shared" si="42"/>
        <v>0</v>
      </c>
      <c r="BZ49" s="5">
        <v>0</v>
      </c>
      <c r="CA49" s="6" t="str">
        <f t="shared" si="43"/>
        <v>E</v>
      </c>
      <c r="CB49" s="1">
        <f t="shared" si="44"/>
        <v>0</v>
      </c>
      <c r="CC49" s="5">
        <v>2</v>
      </c>
      <c r="CD49" s="2">
        <f t="shared" si="45"/>
        <v>0</v>
      </c>
      <c r="CE49" s="5">
        <v>0</v>
      </c>
      <c r="CF49" s="6" t="str">
        <f t="shared" si="46"/>
        <v>E</v>
      </c>
      <c r="CG49" s="1">
        <f t="shared" si="47"/>
        <v>0</v>
      </c>
      <c r="CH49" s="5">
        <v>2</v>
      </c>
      <c r="CI49" s="2">
        <f t="shared" si="48"/>
        <v>0</v>
      </c>
      <c r="CJ49" s="5">
        <v>0</v>
      </c>
      <c r="CK49" s="6" t="str">
        <f t="shared" si="49"/>
        <v>E</v>
      </c>
      <c r="CL49" s="1">
        <f t="shared" si="50"/>
        <v>0</v>
      </c>
      <c r="CM49" s="2">
        <v>2</v>
      </c>
      <c r="CN49" s="2">
        <f t="shared" si="51"/>
        <v>0</v>
      </c>
      <c r="CO49" s="5">
        <v>0</v>
      </c>
      <c r="CP49" s="6" t="str">
        <f t="shared" si="52"/>
        <v>E</v>
      </c>
      <c r="CQ49" s="1">
        <f t="shared" si="53"/>
        <v>0</v>
      </c>
      <c r="CR49" s="2">
        <v>2</v>
      </c>
      <c r="CS49" s="2">
        <f t="shared" si="54"/>
        <v>0</v>
      </c>
      <c r="CT49" s="5">
        <v>0</v>
      </c>
      <c r="CU49" s="6" t="str">
        <f t="shared" si="55"/>
        <v>E</v>
      </c>
      <c r="CV49" s="1">
        <f t="shared" si="56"/>
        <v>0</v>
      </c>
      <c r="CW49" s="2">
        <v>2</v>
      </c>
      <c r="CX49" s="2">
        <f t="shared" si="57"/>
        <v>0</v>
      </c>
      <c r="CY49" s="5">
        <v>76</v>
      </c>
      <c r="CZ49" s="6" t="str">
        <f t="shared" si="58"/>
        <v>B+</v>
      </c>
      <c r="DA49" s="1">
        <f t="shared" si="59"/>
        <v>3.5</v>
      </c>
      <c r="DB49" s="5">
        <v>2</v>
      </c>
      <c r="DC49" s="3">
        <f t="shared" si="60"/>
        <v>7</v>
      </c>
      <c r="DD49" s="5"/>
      <c r="DE49" s="6" t="str">
        <f t="shared" si="61"/>
        <v>E</v>
      </c>
      <c r="DF49" s="1">
        <f t="shared" si="62"/>
        <v>0</v>
      </c>
      <c r="DG49" s="5">
        <v>2</v>
      </c>
      <c r="DH49" s="2">
        <f t="shared" si="63"/>
        <v>0</v>
      </c>
      <c r="DI49" s="5"/>
      <c r="DJ49" s="6" t="str">
        <f t="shared" si="64"/>
        <v>E</v>
      </c>
      <c r="DK49" s="1">
        <f t="shared" si="65"/>
        <v>0</v>
      </c>
      <c r="DL49" s="5">
        <v>4</v>
      </c>
      <c r="DM49" s="2">
        <f t="shared" si="66"/>
        <v>0</v>
      </c>
      <c r="DN49" s="30">
        <f t="shared" si="75"/>
        <v>84.5</v>
      </c>
      <c r="DO49" s="31">
        <f t="shared" si="67"/>
        <v>24</v>
      </c>
      <c r="DP49" s="5">
        <f t="shared" si="68"/>
        <v>7</v>
      </c>
      <c r="DQ49" s="5">
        <f t="shared" si="69"/>
        <v>24</v>
      </c>
      <c r="DR49" s="5">
        <f t="shared" si="70"/>
        <v>91.5</v>
      </c>
      <c r="DS49" s="5">
        <f t="shared" si="71"/>
        <v>48</v>
      </c>
      <c r="DT49" s="5">
        <v>0.29166666666666669</v>
      </c>
      <c r="DU49" s="5">
        <f t="shared" si="72"/>
        <v>1.90625</v>
      </c>
      <c r="DV49" s="10" t="str">
        <f t="shared" si="73"/>
        <v>GAGAL</v>
      </c>
      <c r="DW49" s="17" t="str">
        <f t="shared" si="74"/>
        <v>FAILED</v>
      </c>
      <c r="DX49" s="17"/>
    </row>
    <row r="50" spans="1:128" x14ac:dyDescent="0.2">
      <c r="A50" s="10">
        <v>48</v>
      </c>
      <c r="B50" s="10" t="s">
        <v>67</v>
      </c>
      <c r="C50" s="10">
        <v>182412051</v>
      </c>
      <c r="D50" s="16" t="s">
        <v>105</v>
      </c>
      <c r="E50" s="8" t="s">
        <v>146</v>
      </c>
      <c r="F50" s="15" t="s">
        <v>149</v>
      </c>
      <c r="G50" s="10"/>
      <c r="H50" s="5">
        <v>80.25</v>
      </c>
      <c r="I50" s="6" t="str">
        <f t="shared" si="1"/>
        <v>A</v>
      </c>
      <c r="J50" s="1">
        <f t="shared" si="2"/>
        <v>4</v>
      </c>
      <c r="K50" s="5">
        <v>2</v>
      </c>
      <c r="L50" s="2">
        <f t="shared" si="3"/>
        <v>8</v>
      </c>
      <c r="M50" s="5">
        <v>76</v>
      </c>
      <c r="N50" s="6" t="str">
        <f t="shared" si="4"/>
        <v>B+</v>
      </c>
      <c r="O50" s="1">
        <f t="shared" si="5"/>
        <v>3.5</v>
      </c>
      <c r="P50" s="5">
        <v>2</v>
      </c>
      <c r="Q50" s="2">
        <f t="shared" si="6"/>
        <v>7</v>
      </c>
      <c r="R50" s="5">
        <v>83</v>
      </c>
      <c r="S50" s="6" t="str">
        <f t="shared" si="7"/>
        <v>A</v>
      </c>
      <c r="T50" s="1">
        <f t="shared" si="8"/>
        <v>4</v>
      </c>
      <c r="U50" s="5">
        <v>2</v>
      </c>
      <c r="V50" s="2">
        <f t="shared" si="9"/>
        <v>8</v>
      </c>
      <c r="W50" s="5">
        <v>79</v>
      </c>
      <c r="X50" s="6" t="str">
        <f t="shared" si="10"/>
        <v>B+</v>
      </c>
      <c r="Y50" s="1">
        <f t="shared" si="11"/>
        <v>3.5</v>
      </c>
      <c r="Z50" s="5">
        <v>3</v>
      </c>
      <c r="AA50" s="2">
        <f t="shared" si="12"/>
        <v>10.5</v>
      </c>
      <c r="AB50" s="5">
        <v>80.3</v>
      </c>
      <c r="AC50" s="6" t="str">
        <f t="shared" si="13"/>
        <v>A</v>
      </c>
      <c r="AD50" s="1">
        <f t="shared" si="14"/>
        <v>4</v>
      </c>
      <c r="AE50" s="2">
        <v>2</v>
      </c>
      <c r="AF50" s="2">
        <f t="shared" si="15"/>
        <v>8</v>
      </c>
      <c r="AG50" s="5">
        <v>78</v>
      </c>
      <c r="AH50" s="6" t="str">
        <f t="shared" si="16"/>
        <v>B+</v>
      </c>
      <c r="AI50" s="1">
        <f t="shared" si="17"/>
        <v>3.5</v>
      </c>
      <c r="AJ50" s="2">
        <v>2</v>
      </c>
      <c r="AK50" s="2">
        <f t="shared" si="18"/>
        <v>7</v>
      </c>
      <c r="AL50" s="5">
        <v>80</v>
      </c>
      <c r="AM50" s="6" t="str">
        <f t="shared" si="19"/>
        <v>A</v>
      </c>
      <c r="AN50" s="1">
        <f t="shared" si="20"/>
        <v>4</v>
      </c>
      <c r="AO50" s="2">
        <v>2</v>
      </c>
      <c r="AP50" s="2">
        <f t="shared" si="21"/>
        <v>8</v>
      </c>
      <c r="AQ50" s="5">
        <v>75</v>
      </c>
      <c r="AR50" s="6" t="str">
        <f t="shared" si="22"/>
        <v>B+</v>
      </c>
      <c r="AS50" s="1">
        <f t="shared" si="23"/>
        <v>3.5</v>
      </c>
      <c r="AT50" s="2">
        <v>2</v>
      </c>
      <c r="AU50" s="2">
        <f t="shared" si="24"/>
        <v>7</v>
      </c>
      <c r="AV50" s="5">
        <v>78</v>
      </c>
      <c r="AW50" s="6" t="str">
        <f t="shared" si="25"/>
        <v>B+</v>
      </c>
      <c r="AX50" s="1">
        <f t="shared" si="26"/>
        <v>3.5</v>
      </c>
      <c r="AY50" s="5">
        <v>3</v>
      </c>
      <c r="AZ50" s="3">
        <f t="shared" si="27"/>
        <v>10.5</v>
      </c>
      <c r="BA50" s="5">
        <v>76.25</v>
      </c>
      <c r="BB50" s="6" t="str">
        <f t="shared" si="28"/>
        <v>B+</v>
      </c>
      <c r="BC50" s="1">
        <f t="shared" si="29"/>
        <v>3.5</v>
      </c>
      <c r="BD50" s="5">
        <v>2</v>
      </c>
      <c r="BE50" s="2">
        <f t="shared" si="30"/>
        <v>7</v>
      </c>
      <c r="BF50" s="5">
        <v>80</v>
      </c>
      <c r="BG50" s="6" t="str">
        <f t="shared" si="31"/>
        <v>A</v>
      </c>
      <c r="BH50" s="1">
        <f t="shared" si="32"/>
        <v>4</v>
      </c>
      <c r="BI50" s="5">
        <v>2</v>
      </c>
      <c r="BJ50" s="2">
        <f t="shared" si="33"/>
        <v>8</v>
      </c>
      <c r="BK50" s="5">
        <v>78.13</v>
      </c>
      <c r="BL50" s="6" t="str">
        <f t="shared" si="34"/>
        <v>B+</v>
      </c>
      <c r="BM50" s="1">
        <f t="shared" si="35"/>
        <v>3.5</v>
      </c>
      <c r="BN50" s="5">
        <v>2</v>
      </c>
      <c r="BO50" s="2">
        <f t="shared" si="36"/>
        <v>7</v>
      </c>
      <c r="BP50" s="5">
        <v>80</v>
      </c>
      <c r="BQ50" s="6" t="str">
        <f t="shared" si="37"/>
        <v>A</v>
      </c>
      <c r="BR50" s="1">
        <f t="shared" si="38"/>
        <v>4</v>
      </c>
      <c r="BS50" s="5">
        <v>2</v>
      </c>
      <c r="BT50" s="2">
        <f t="shared" si="39"/>
        <v>8</v>
      </c>
      <c r="BU50" s="5">
        <v>80</v>
      </c>
      <c r="BV50" s="6" t="str">
        <f t="shared" si="40"/>
        <v>A</v>
      </c>
      <c r="BW50" s="1">
        <f t="shared" si="41"/>
        <v>4</v>
      </c>
      <c r="BX50" s="5">
        <v>2</v>
      </c>
      <c r="BY50" s="2">
        <f t="shared" si="42"/>
        <v>8</v>
      </c>
      <c r="BZ50" s="5">
        <v>78.8</v>
      </c>
      <c r="CA50" s="6" t="str">
        <f t="shared" si="43"/>
        <v>B+</v>
      </c>
      <c r="CB50" s="1">
        <f t="shared" si="44"/>
        <v>3.5</v>
      </c>
      <c r="CC50" s="5">
        <v>2</v>
      </c>
      <c r="CD50" s="2">
        <f t="shared" si="45"/>
        <v>7</v>
      </c>
      <c r="CE50" s="5">
        <v>86</v>
      </c>
      <c r="CF50" s="6" t="str">
        <f t="shared" si="46"/>
        <v>A</v>
      </c>
      <c r="CG50" s="1">
        <f t="shared" si="47"/>
        <v>4</v>
      </c>
      <c r="CH50" s="5">
        <v>2</v>
      </c>
      <c r="CI50" s="2">
        <f t="shared" si="48"/>
        <v>8</v>
      </c>
      <c r="CJ50" s="5">
        <v>71.349999999999994</v>
      </c>
      <c r="CK50" s="6" t="str">
        <f t="shared" si="49"/>
        <v>B</v>
      </c>
      <c r="CL50" s="1">
        <f t="shared" si="50"/>
        <v>3</v>
      </c>
      <c r="CM50" s="2">
        <v>2</v>
      </c>
      <c r="CN50" s="2">
        <f t="shared" si="51"/>
        <v>6</v>
      </c>
      <c r="CO50" s="5">
        <v>78.2</v>
      </c>
      <c r="CP50" s="6" t="str">
        <f t="shared" si="52"/>
        <v>B+</v>
      </c>
      <c r="CQ50" s="1">
        <f t="shared" si="53"/>
        <v>3.5</v>
      </c>
      <c r="CR50" s="2">
        <v>2</v>
      </c>
      <c r="CS50" s="2">
        <f t="shared" si="54"/>
        <v>7</v>
      </c>
      <c r="CT50" s="5">
        <v>82.1</v>
      </c>
      <c r="CU50" s="6" t="str">
        <f t="shared" si="55"/>
        <v>A</v>
      </c>
      <c r="CV50" s="1">
        <f t="shared" si="56"/>
        <v>4</v>
      </c>
      <c r="CW50" s="2">
        <v>2</v>
      </c>
      <c r="CX50" s="2">
        <f t="shared" si="57"/>
        <v>8</v>
      </c>
      <c r="CY50" s="5">
        <v>82</v>
      </c>
      <c r="CZ50" s="6" t="str">
        <f t="shared" si="58"/>
        <v>A</v>
      </c>
      <c r="DA50" s="1">
        <f t="shared" si="59"/>
        <v>4</v>
      </c>
      <c r="DB50" s="5">
        <v>2</v>
      </c>
      <c r="DC50" s="3">
        <f t="shared" si="60"/>
        <v>8</v>
      </c>
      <c r="DD50" s="5">
        <v>75.3</v>
      </c>
      <c r="DE50" s="6" t="str">
        <f t="shared" si="61"/>
        <v>B+</v>
      </c>
      <c r="DF50" s="1">
        <f t="shared" si="62"/>
        <v>3.5</v>
      </c>
      <c r="DG50" s="5">
        <v>2</v>
      </c>
      <c r="DH50" s="2">
        <f t="shared" si="63"/>
        <v>7</v>
      </c>
      <c r="DI50" s="5">
        <v>79.7</v>
      </c>
      <c r="DJ50" s="6" t="str">
        <f t="shared" si="64"/>
        <v>B+</v>
      </c>
      <c r="DK50" s="1">
        <f t="shared" si="65"/>
        <v>3.5</v>
      </c>
      <c r="DL50" s="5">
        <v>4</v>
      </c>
      <c r="DM50" s="2">
        <f t="shared" si="66"/>
        <v>14</v>
      </c>
      <c r="DN50" s="30">
        <f t="shared" si="75"/>
        <v>89</v>
      </c>
      <c r="DO50" s="31">
        <f t="shared" si="67"/>
        <v>24</v>
      </c>
      <c r="DP50" s="5">
        <f t="shared" si="68"/>
        <v>88</v>
      </c>
      <c r="DQ50" s="5">
        <f t="shared" si="69"/>
        <v>24</v>
      </c>
      <c r="DR50" s="5">
        <f t="shared" si="70"/>
        <v>177</v>
      </c>
      <c r="DS50" s="5">
        <f t="shared" si="71"/>
        <v>48</v>
      </c>
      <c r="DT50" s="5">
        <v>3.6666666666666665</v>
      </c>
      <c r="DU50" s="5">
        <f t="shared" si="72"/>
        <v>3.6875</v>
      </c>
      <c r="DV50" s="10" t="str">
        <f t="shared" si="73"/>
        <v>Cum Laude</v>
      </c>
      <c r="DW50" s="17" t="str">
        <f t="shared" si="74"/>
        <v>Excellent</v>
      </c>
      <c r="DX50" s="17" t="s">
        <v>193</v>
      </c>
    </row>
    <row r="51" spans="1:128" x14ac:dyDescent="0.25">
      <c r="A51" s="10">
        <v>49</v>
      </c>
      <c r="B51" s="19" t="s">
        <v>68</v>
      </c>
      <c r="C51" s="10">
        <v>182412052</v>
      </c>
      <c r="D51" s="10"/>
      <c r="E51" s="8"/>
      <c r="F51" s="10"/>
      <c r="G51" s="10"/>
      <c r="H51" s="5">
        <v>71</v>
      </c>
      <c r="I51" s="6" t="str">
        <f t="shared" si="1"/>
        <v>B</v>
      </c>
      <c r="J51" s="1">
        <f t="shared" si="2"/>
        <v>3</v>
      </c>
      <c r="K51" s="5">
        <v>2</v>
      </c>
      <c r="L51" s="2">
        <f t="shared" si="3"/>
        <v>6</v>
      </c>
      <c r="M51" s="5">
        <v>79</v>
      </c>
      <c r="N51" s="6" t="str">
        <f t="shared" si="4"/>
        <v>B+</v>
      </c>
      <c r="O51" s="1">
        <f t="shared" si="5"/>
        <v>3.5</v>
      </c>
      <c r="P51" s="5">
        <v>2</v>
      </c>
      <c r="Q51" s="2">
        <f t="shared" si="6"/>
        <v>7</v>
      </c>
      <c r="R51" s="5">
        <v>80.2</v>
      </c>
      <c r="S51" s="6" t="str">
        <f t="shared" si="7"/>
        <v>A</v>
      </c>
      <c r="T51" s="1">
        <f t="shared" si="8"/>
        <v>4</v>
      </c>
      <c r="U51" s="5">
        <v>2</v>
      </c>
      <c r="V51" s="2">
        <f t="shared" si="9"/>
        <v>8</v>
      </c>
      <c r="W51" s="5">
        <v>78</v>
      </c>
      <c r="X51" s="6" t="str">
        <f t="shared" si="10"/>
        <v>B+</v>
      </c>
      <c r="Y51" s="1">
        <f t="shared" si="11"/>
        <v>3.5</v>
      </c>
      <c r="Z51" s="5">
        <v>3</v>
      </c>
      <c r="AA51" s="2">
        <f t="shared" si="12"/>
        <v>10.5</v>
      </c>
      <c r="AB51" s="5">
        <v>77.7</v>
      </c>
      <c r="AC51" s="6" t="str">
        <f t="shared" si="13"/>
        <v>B+</v>
      </c>
      <c r="AD51" s="1">
        <f t="shared" si="14"/>
        <v>3.5</v>
      </c>
      <c r="AE51" s="2">
        <v>2</v>
      </c>
      <c r="AF51" s="2">
        <f t="shared" si="15"/>
        <v>7</v>
      </c>
      <c r="AG51" s="5">
        <v>78</v>
      </c>
      <c r="AH51" s="6" t="str">
        <f t="shared" si="16"/>
        <v>B+</v>
      </c>
      <c r="AI51" s="1">
        <f t="shared" si="17"/>
        <v>3.5</v>
      </c>
      <c r="AJ51" s="2">
        <v>2</v>
      </c>
      <c r="AK51" s="2">
        <f t="shared" si="18"/>
        <v>7</v>
      </c>
      <c r="AL51" s="5">
        <v>77</v>
      </c>
      <c r="AM51" s="6" t="str">
        <f t="shared" si="19"/>
        <v>B+</v>
      </c>
      <c r="AN51" s="1">
        <f t="shared" si="20"/>
        <v>3.5</v>
      </c>
      <c r="AO51" s="2">
        <v>2</v>
      </c>
      <c r="AP51" s="2">
        <f t="shared" si="21"/>
        <v>7</v>
      </c>
      <c r="AQ51" s="5">
        <v>74</v>
      </c>
      <c r="AR51" s="6" t="str">
        <f t="shared" si="22"/>
        <v>B</v>
      </c>
      <c r="AS51" s="1">
        <f t="shared" si="23"/>
        <v>3</v>
      </c>
      <c r="AT51" s="2">
        <v>2</v>
      </c>
      <c r="AU51" s="2">
        <f t="shared" si="24"/>
        <v>6</v>
      </c>
      <c r="AV51" s="5">
        <v>76.75</v>
      </c>
      <c r="AW51" s="6" t="str">
        <f t="shared" si="25"/>
        <v>B+</v>
      </c>
      <c r="AX51" s="1">
        <f t="shared" si="26"/>
        <v>3.5</v>
      </c>
      <c r="AY51" s="5">
        <v>3</v>
      </c>
      <c r="AZ51" s="3">
        <f t="shared" si="27"/>
        <v>10.5</v>
      </c>
      <c r="BA51" s="5">
        <v>76.25</v>
      </c>
      <c r="BB51" s="6" t="str">
        <f t="shared" si="28"/>
        <v>B+</v>
      </c>
      <c r="BC51" s="1">
        <f t="shared" si="29"/>
        <v>3.5</v>
      </c>
      <c r="BD51" s="5">
        <v>2</v>
      </c>
      <c r="BE51" s="2">
        <f t="shared" si="30"/>
        <v>7</v>
      </c>
      <c r="BF51" s="5">
        <v>77</v>
      </c>
      <c r="BG51" s="6" t="str">
        <f t="shared" si="31"/>
        <v>B+</v>
      </c>
      <c r="BH51" s="1">
        <f t="shared" si="32"/>
        <v>3.5</v>
      </c>
      <c r="BI51" s="5">
        <v>2</v>
      </c>
      <c r="BJ51" s="2">
        <f t="shared" si="33"/>
        <v>7</v>
      </c>
      <c r="BK51" s="5">
        <v>0</v>
      </c>
      <c r="BL51" s="6" t="str">
        <f t="shared" si="34"/>
        <v>E</v>
      </c>
      <c r="BM51" s="1">
        <f t="shared" si="35"/>
        <v>0</v>
      </c>
      <c r="BN51" s="5">
        <v>2</v>
      </c>
      <c r="BO51" s="2">
        <f t="shared" si="36"/>
        <v>0</v>
      </c>
      <c r="BP51" s="5">
        <v>0</v>
      </c>
      <c r="BQ51" s="6" t="str">
        <f t="shared" si="37"/>
        <v>E</v>
      </c>
      <c r="BR51" s="1">
        <f t="shared" si="38"/>
        <v>0</v>
      </c>
      <c r="BS51" s="5">
        <v>2</v>
      </c>
      <c r="BT51" s="2">
        <f t="shared" si="39"/>
        <v>0</v>
      </c>
      <c r="BU51" s="5">
        <v>0</v>
      </c>
      <c r="BV51" s="6" t="str">
        <f t="shared" si="40"/>
        <v>E</v>
      </c>
      <c r="BW51" s="1">
        <f t="shared" si="41"/>
        <v>0</v>
      </c>
      <c r="BX51" s="5">
        <v>2</v>
      </c>
      <c r="BY51" s="2">
        <f t="shared" si="42"/>
        <v>0</v>
      </c>
      <c r="BZ51" s="5">
        <v>0</v>
      </c>
      <c r="CA51" s="6" t="str">
        <f t="shared" si="43"/>
        <v>E</v>
      </c>
      <c r="CB51" s="1">
        <f t="shared" si="44"/>
        <v>0</v>
      </c>
      <c r="CC51" s="5">
        <v>2</v>
      </c>
      <c r="CD51" s="2">
        <f t="shared" si="45"/>
        <v>0</v>
      </c>
      <c r="CE51" s="5">
        <v>0</v>
      </c>
      <c r="CF51" s="6" t="str">
        <f t="shared" si="46"/>
        <v>E</v>
      </c>
      <c r="CG51" s="1">
        <f t="shared" si="47"/>
        <v>0</v>
      </c>
      <c r="CH51" s="5">
        <v>2</v>
      </c>
      <c r="CI51" s="2">
        <f t="shared" si="48"/>
        <v>0</v>
      </c>
      <c r="CJ51" s="5">
        <v>0</v>
      </c>
      <c r="CK51" s="6" t="str">
        <f t="shared" si="49"/>
        <v>E</v>
      </c>
      <c r="CL51" s="1">
        <f t="shared" si="50"/>
        <v>0</v>
      </c>
      <c r="CM51" s="2">
        <v>2</v>
      </c>
      <c r="CN51" s="2">
        <f t="shared" si="51"/>
        <v>0</v>
      </c>
      <c r="CO51" s="5">
        <v>0</v>
      </c>
      <c r="CP51" s="6" t="str">
        <f t="shared" si="52"/>
        <v>E</v>
      </c>
      <c r="CQ51" s="1">
        <f t="shared" si="53"/>
        <v>0</v>
      </c>
      <c r="CR51" s="2">
        <v>2</v>
      </c>
      <c r="CS51" s="2">
        <f t="shared" si="54"/>
        <v>0</v>
      </c>
      <c r="CT51" s="5">
        <v>0</v>
      </c>
      <c r="CU51" s="6" t="str">
        <f t="shared" si="55"/>
        <v>E</v>
      </c>
      <c r="CV51" s="1">
        <f t="shared" si="56"/>
        <v>0</v>
      </c>
      <c r="CW51" s="2">
        <v>2</v>
      </c>
      <c r="CX51" s="2">
        <f t="shared" si="57"/>
        <v>0</v>
      </c>
      <c r="CY51" s="5">
        <v>76</v>
      </c>
      <c r="CZ51" s="6" t="str">
        <f t="shared" si="58"/>
        <v>B+</v>
      </c>
      <c r="DA51" s="1">
        <f t="shared" si="59"/>
        <v>3.5</v>
      </c>
      <c r="DB51" s="5">
        <v>2</v>
      </c>
      <c r="DC51" s="3">
        <f t="shared" si="60"/>
        <v>7</v>
      </c>
      <c r="DD51" s="5"/>
      <c r="DE51" s="6" t="str">
        <f t="shared" si="61"/>
        <v>E</v>
      </c>
      <c r="DF51" s="1">
        <f t="shared" si="62"/>
        <v>0</v>
      </c>
      <c r="DG51" s="5">
        <v>2</v>
      </c>
      <c r="DH51" s="2">
        <f t="shared" si="63"/>
        <v>0</v>
      </c>
      <c r="DI51" s="5"/>
      <c r="DJ51" s="6" t="str">
        <f t="shared" si="64"/>
        <v>E</v>
      </c>
      <c r="DK51" s="1">
        <f t="shared" si="65"/>
        <v>0</v>
      </c>
      <c r="DL51" s="5">
        <v>4</v>
      </c>
      <c r="DM51" s="2">
        <f t="shared" si="66"/>
        <v>0</v>
      </c>
      <c r="DN51" s="30">
        <f t="shared" si="75"/>
        <v>83</v>
      </c>
      <c r="DO51" s="31">
        <f t="shared" si="67"/>
        <v>24</v>
      </c>
      <c r="DP51" s="5">
        <f t="shared" si="68"/>
        <v>7</v>
      </c>
      <c r="DQ51" s="5">
        <f t="shared" si="69"/>
        <v>24</v>
      </c>
      <c r="DR51" s="5">
        <f t="shared" si="70"/>
        <v>90</v>
      </c>
      <c r="DS51" s="5">
        <f t="shared" si="71"/>
        <v>48</v>
      </c>
      <c r="DT51" s="5">
        <v>0.29166666666666669</v>
      </c>
      <c r="DU51" s="5">
        <f t="shared" si="72"/>
        <v>1.875</v>
      </c>
      <c r="DV51" s="10" t="str">
        <f t="shared" si="73"/>
        <v>GAGAL</v>
      </c>
      <c r="DW51" s="17" t="str">
        <f t="shared" si="74"/>
        <v>FAILED</v>
      </c>
      <c r="DX51" s="17"/>
    </row>
    <row r="52" spans="1:128" x14ac:dyDescent="0.2">
      <c r="A52" s="10">
        <v>50</v>
      </c>
      <c r="B52" s="19" t="s">
        <v>69</v>
      </c>
      <c r="C52" s="10">
        <v>182412053</v>
      </c>
      <c r="D52" s="16" t="s">
        <v>113</v>
      </c>
      <c r="E52" s="8" t="s">
        <v>147</v>
      </c>
      <c r="F52" s="15" t="s">
        <v>149</v>
      </c>
      <c r="G52" s="10"/>
      <c r="H52" s="5">
        <v>74</v>
      </c>
      <c r="I52" s="11" t="str">
        <f t="shared" si="1"/>
        <v>B</v>
      </c>
      <c r="J52" s="12">
        <f t="shared" si="2"/>
        <v>3</v>
      </c>
      <c r="K52" s="5">
        <v>2</v>
      </c>
      <c r="L52" s="13">
        <f t="shared" si="3"/>
        <v>6</v>
      </c>
      <c r="M52" s="5">
        <v>77</v>
      </c>
      <c r="N52" s="11" t="str">
        <f t="shared" si="4"/>
        <v>B+</v>
      </c>
      <c r="O52" s="12">
        <f t="shared" si="5"/>
        <v>3.5</v>
      </c>
      <c r="P52" s="5">
        <v>2</v>
      </c>
      <c r="Q52" s="13">
        <f t="shared" si="6"/>
        <v>7</v>
      </c>
      <c r="R52" s="5">
        <v>74</v>
      </c>
      <c r="S52" s="11" t="str">
        <f t="shared" si="7"/>
        <v>B</v>
      </c>
      <c r="T52" s="12">
        <f t="shared" si="8"/>
        <v>3</v>
      </c>
      <c r="U52" s="5">
        <v>2</v>
      </c>
      <c r="V52" s="13">
        <f t="shared" si="9"/>
        <v>6</v>
      </c>
      <c r="W52" s="5">
        <v>78</v>
      </c>
      <c r="X52" s="11" t="str">
        <f t="shared" si="10"/>
        <v>B+</v>
      </c>
      <c r="Y52" s="12">
        <f t="shared" si="11"/>
        <v>3.5</v>
      </c>
      <c r="Z52" s="5">
        <v>3</v>
      </c>
      <c r="AA52" s="13">
        <f t="shared" si="12"/>
        <v>10.5</v>
      </c>
      <c r="AB52" s="5">
        <v>82.55</v>
      </c>
      <c r="AC52" s="11" t="str">
        <f t="shared" si="13"/>
        <v>A</v>
      </c>
      <c r="AD52" s="12">
        <f t="shared" si="14"/>
        <v>4</v>
      </c>
      <c r="AE52" s="13">
        <v>2</v>
      </c>
      <c r="AF52" s="13">
        <f t="shared" si="15"/>
        <v>8</v>
      </c>
      <c r="AG52" s="5">
        <v>78</v>
      </c>
      <c r="AH52" s="11" t="str">
        <f t="shared" si="16"/>
        <v>B+</v>
      </c>
      <c r="AI52" s="12">
        <f t="shared" si="17"/>
        <v>3.5</v>
      </c>
      <c r="AJ52" s="13">
        <v>2</v>
      </c>
      <c r="AK52" s="13">
        <f t="shared" si="18"/>
        <v>7</v>
      </c>
      <c r="AL52" s="5">
        <v>78</v>
      </c>
      <c r="AM52" s="11" t="str">
        <f t="shared" si="19"/>
        <v>B+</v>
      </c>
      <c r="AN52" s="12">
        <f t="shared" si="20"/>
        <v>3.5</v>
      </c>
      <c r="AO52" s="13">
        <v>2</v>
      </c>
      <c r="AP52" s="13">
        <f t="shared" si="21"/>
        <v>7</v>
      </c>
      <c r="AQ52" s="5">
        <v>74</v>
      </c>
      <c r="AR52" s="11" t="str">
        <f t="shared" si="22"/>
        <v>B</v>
      </c>
      <c r="AS52" s="12">
        <f t="shared" si="23"/>
        <v>3</v>
      </c>
      <c r="AT52" s="13">
        <v>2</v>
      </c>
      <c r="AU52" s="13">
        <f t="shared" si="24"/>
        <v>6</v>
      </c>
      <c r="AV52" s="5">
        <v>74</v>
      </c>
      <c r="AW52" s="11" t="str">
        <f t="shared" si="25"/>
        <v>B</v>
      </c>
      <c r="AX52" s="12">
        <f t="shared" si="26"/>
        <v>3</v>
      </c>
      <c r="AY52" s="5">
        <v>3</v>
      </c>
      <c r="AZ52" s="14">
        <f t="shared" si="27"/>
        <v>9</v>
      </c>
      <c r="BA52" s="5">
        <v>70</v>
      </c>
      <c r="BB52" s="11" t="str">
        <f t="shared" si="28"/>
        <v>B</v>
      </c>
      <c r="BC52" s="12">
        <f t="shared" si="29"/>
        <v>3</v>
      </c>
      <c r="BD52" s="5">
        <v>2</v>
      </c>
      <c r="BE52" s="13">
        <f t="shared" si="30"/>
        <v>6</v>
      </c>
      <c r="BF52" s="5">
        <v>78</v>
      </c>
      <c r="BG52" s="11" t="str">
        <f t="shared" si="31"/>
        <v>B+</v>
      </c>
      <c r="BH52" s="12">
        <f t="shared" si="32"/>
        <v>3.5</v>
      </c>
      <c r="BI52" s="5">
        <v>2</v>
      </c>
      <c r="BJ52" s="13">
        <f t="shared" si="33"/>
        <v>7</v>
      </c>
      <c r="BK52" s="5">
        <v>79.069999999999993</v>
      </c>
      <c r="BL52" s="11" t="str">
        <f t="shared" si="34"/>
        <v>B+</v>
      </c>
      <c r="BM52" s="12">
        <f t="shared" si="35"/>
        <v>3.5</v>
      </c>
      <c r="BN52" s="5">
        <v>2</v>
      </c>
      <c r="BO52" s="13">
        <f t="shared" si="36"/>
        <v>7</v>
      </c>
      <c r="BP52" s="5">
        <v>79</v>
      </c>
      <c r="BQ52" s="11" t="str">
        <f t="shared" si="37"/>
        <v>B+</v>
      </c>
      <c r="BR52" s="12">
        <f t="shared" si="38"/>
        <v>3.5</v>
      </c>
      <c r="BS52" s="5">
        <v>2</v>
      </c>
      <c r="BT52" s="13">
        <f t="shared" si="39"/>
        <v>7</v>
      </c>
      <c r="BU52" s="5">
        <v>83</v>
      </c>
      <c r="BV52" s="11" t="str">
        <f t="shared" si="40"/>
        <v>A</v>
      </c>
      <c r="BW52" s="12">
        <f t="shared" si="41"/>
        <v>4</v>
      </c>
      <c r="BX52" s="5">
        <v>2</v>
      </c>
      <c r="BY52" s="13">
        <f t="shared" si="42"/>
        <v>8</v>
      </c>
      <c r="BZ52" s="5">
        <v>77.2</v>
      </c>
      <c r="CA52" s="11" t="str">
        <f t="shared" si="43"/>
        <v>B+</v>
      </c>
      <c r="CB52" s="12">
        <f t="shared" si="44"/>
        <v>3.5</v>
      </c>
      <c r="CC52" s="5">
        <v>2</v>
      </c>
      <c r="CD52" s="13">
        <f t="shared" si="45"/>
        <v>7</v>
      </c>
      <c r="CE52" s="5">
        <v>85</v>
      </c>
      <c r="CF52" s="11" t="str">
        <f t="shared" si="46"/>
        <v>A</v>
      </c>
      <c r="CG52" s="12">
        <f t="shared" si="47"/>
        <v>4</v>
      </c>
      <c r="CH52" s="5">
        <v>2</v>
      </c>
      <c r="CI52" s="13">
        <f t="shared" si="48"/>
        <v>8</v>
      </c>
      <c r="CJ52" s="5">
        <v>76.73</v>
      </c>
      <c r="CK52" s="11" t="str">
        <f t="shared" si="49"/>
        <v>B+</v>
      </c>
      <c r="CL52" s="12">
        <f t="shared" si="50"/>
        <v>3.5</v>
      </c>
      <c r="CM52" s="13">
        <v>2</v>
      </c>
      <c r="CN52" s="13">
        <f t="shared" si="51"/>
        <v>7</v>
      </c>
      <c r="CO52" s="5">
        <v>73.400000000000006</v>
      </c>
      <c r="CP52" s="11" t="str">
        <f t="shared" si="52"/>
        <v>B</v>
      </c>
      <c r="CQ52" s="12">
        <f t="shared" si="53"/>
        <v>3</v>
      </c>
      <c r="CR52" s="13">
        <v>2</v>
      </c>
      <c r="CS52" s="13">
        <f t="shared" si="54"/>
        <v>6</v>
      </c>
      <c r="CT52" s="5">
        <v>70</v>
      </c>
      <c r="CU52" s="11" t="str">
        <f t="shared" si="55"/>
        <v>B</v>
      </c>
      <c r="CV52" s="12">
        <f t="shared" si="56"/>
        <v>3</v>
      </c>
      <c r="CW52" s="13">
        <v>2</v>
      </c>
      <c r="CX52" s="13">
        <f t="shared" si="57"/>
        <v>6</v>
      </c>
      <c r="CY52" s="5">
        <v>72</v>
      </c>
      <c r="CZ52" s="11" t="str">
        <f t="shared" si="58"/>
        <v>B</v>
      </c>
      <c r="DA52" s="12">
        <f t="shared" si="59"/>
        <v>3</v>
      </c>
      <c r="DB52" s="5">
        <v>2</v>
      </c>
      <c r="DC52" s="14">
        <f t="shared" si="60"/>
        <v>6</v>
      </c>
      <c r="DD52" s="5">
        <v>72.75</v>
      </c>
      <c r="DE52" s="11" t="str">
        <f t="shared" si="61"/>
        <v>B</v>
      </c>
      <c r="DF52" s="12">
        <f t="shared" si="62"/>
        <v>3</v>
      </c>
      <c r="DG52" s="5">
        <v>2</v>
      </c>
      <c r="DH52" s="13">
        <f t="shared" si="63"/>
        <v>6</v>
      </c>
      <c r="DI52" s="5">
        <v>79</v>
      </c>
      <c r="DJ52" s="11" t="str">
        <f t="shared" si="64"/>
        <v>B+</v>
      </c>
      <c r="DK52" s="12">
        <f t="shared" si="65"/>
        <v>3.5</v>
      </c>
      <c r="DL52" s="5">
        <v>4</v>
      </c>
      <c r="DM52" s="13">
        <f t="shared" si="66"/>
        <v>14</v>
      </c>
      <c r="DN52" s="30">
        <f t="shared" si="75"/>
        <v>79.5</v>
      </c>
      <c r="DO52" s="31">
        <f t="shared" si="67"/>
        <v>24</v>
      </c>
      <c r="DP52" s="5">
        <f t="shared" si="68"/>
        <v>82</v>
      </c>
      <c r="DQ52" s="5">
        <f t="shared" si="69"/>
        <v>24</v>
      </c>
      <c r="DR52" s="5">
        <f t="shared" si="70"/>
        <v>161.5</v>
      </c>
      <c r="DS52" s="5">
        <f t="shared" si="71"/>
        <v>48</v>
      </c>
      <c r="DT52" s="5">
        <v>3.4166666666666665</v>
      </c>
      <c r="DU52" s="5">
        <f t="shared" si="72"/>
        <v>3.3645833333333335</v>
      </c>
      <c r="DV52" s="10" t="str">
        <f t="shared" si="73"/>
        <v>Sangat Memuaskan</v>
      </c>
      <c r="DW52" s="17" t="str">
        <f t="shared" si="74"/>
        <v>Highly Satisfactory</v>
      </c>
      <c r="DX52" s="17"/>
    </row>
    <row r="53" spans="1:128" x14ac:dyDescent="0.25">
      <c r="A53" s="10">
        <v>51</v>
      </c>
      <c r="B53" s="10" t="s">
        <v>70</v>
      </c>
      <c r="C53" s="10">
        <v>182412054</v>
      </c>
      <c r="D53" s="10"/>
      <c r="E53" s="8"/>
      <c r="F53" s="10"/>
      <c r="G53" s="10"/>
      <c r="H53" s="5">
        <v>71</v>
      </c>
      <c r="I53" s="11" t="str">
        <f t="shared" si="1"/>
        <v>B</v>
      </c>
      <c r="J53" s="12">
        <f t="shared" si="2"/>
        <v>3</v>
      </c>
      <c r="K53" s="5">
        <v>2</v>
      </c>
      <c r="L53" s="13">
        <f t="shared" si="3"/>
        <v>6</v>
      </c>
      <c r="M53" s="5">
        <v>76</v>
      </c>
      <c r="N53" s="11" t="str">
        <f t="shared" si="4"/>
        <v>B+</v>
      </c>
      <c r="O53" s="12">
        <f t="shared" si="5"/>
        <v>3.5</v>
      </c>
      <c r="P53" s="5">
        <v>2</v>
      </c>
      <c r="Q53" s="13">
        <f t="shared" si="6"/>
        <v>7</v>
      </c>
      <c r="R53" s="5">
        <v>80.2</v>
      </c>
      <c r="S53" s="11" t="str">
        <f t="shared" si="7"/>
        <v>A</v>
      </c>
      <c r="T53" s="12">
        <f t="shared" si="8"/>
        <v>4</v>
      </c>
      <c r="U53" s="5">
        <v>2</v>
      </c>
      <c r="V53" s="13">
        <f t="shared" si="9"/>
        <v>8</v>
      </c>
      <c r="W53" s="5">
        <v>80</v>
      </c>
      <c r="X53" s="11" t="str">
        <f t="shared" si="10"/>
        <v>A</v>
      </c>
      <c r="Y53" s="12">
        <f t="shared" si="11"/>
        <v>4</v>
      </c>
      <c r="Z53" s="5">
        <v>3</v>
      </c>
      <c r="AA53" s="13">
        <f t="shared" si="12"/>
        <v>12</v>
      </c>
      <c r="AB53" s="5">
        <v>81.7</v>
      </c>
      <c r="AC53" s="11" t="str">
        <f t="shared" si="13"/>
        <v>A</v>
      </c>
      <c r="AD53" s="12">
        <f t="shared" si="14"/>
        <v>4</v>
      </c>
      <c r="AE53" s="13">
        <v>2</v>
      </c>
      <c r="AF53" s="13">
        <f t="shared" si="15"/>
        <v>8</v>
      </c>
      <c r="AG53" s="5">
        <v>78</v>
      </c>
      <c r="AH53" s="11" t="str">
        <f t="shared" si="16"/>
        <v>B+</v>
      </c>
      <c r="AI53" s="12">
        <f t="shared" si="17"/>
        <v>3.5</v>
      </c>
      <c r="AJ53" s="13">
        <v>2</v>
      </c>
      <c r="AK53" s="13">
        <f t="shared" si="18"/>
        <v>7</v>
      </c>
      <c r="AL53" s="5">
        <v>79</v>
      </c>
      <c r="AM53" s="11" t="str">
        <f t="shared" si="19"/>
        <v>B+</v>
      </c>
      <c r="AN53" s="12">
        <f t="shared" si="20"/>
        <v>3.5</v>
      </c>
      <c r="AO53" s="13">
        <v>2</v>
      </c>
      <c r="AP53" s="13">
        <f t="shared" si="21"/>
        <v>7</v>
      </c>
      <c r="AQ53" s="5">
        <v>74</v>
      </c>
      <c r="AR53" s="11" t="str">
        <f t="shared" si="22"/>
        <v>B</v>
      </c>
      <c r="AS53" s="12">
        <f t="shared" si="23"/>
        <v>3</v>
      </c>
      <c r="AT53" s="13">
        <v>2</v>
      </c>
      <c r="AU53" s="13">
        <f t="shared" si="24"/>
        <v>6</v>
      </c>
      <c r="AV53" s="5">
        <v>75.25</v>
      </c>
      <c r="AW53" s="11" t="str">
        <f t="shared" si="25"/>
        <v>B+</v>
      </c>
      <c r="AX53" s="12">
        <f t="shared" si="26"/>
        <v>3.5</v>
      </c>
      <c r="AY53" s="5">
        <v>3</v>
      </c>
      <c r="AZ53" s="14">
        <f t="shared" si="27"/>
        <v>10.5</v>
      </c>
      <c r="BA53" s="5">
        <v>70</v>
      </c>
      <c r="BB53" s="11" t="str">
        <f t="shared" si="28"/>
        <v>B</v>
      </c>
      <c r="BC53" s="12">
        <f t="shared" si="29"/>
        <v>3</v>
      </c>
      <c r="BD53" s="5">
        <v>2</v>
      </c>
      <c r="BE53" s="13">
        <f t="shared" si="30"/>
        <v>6</v>
      </c>
      <c r="BF53" s="5">
        <v>79</v>
      </c>
      <c r="BG53" s="11" t="str">
        <f t="shared" si="31"/>
        <v>B+</v>
      </c>
      <c r="BH53" s="12">
        <f t="shared" si="32"/>
        <v>3.5</v>
      </c>
      <c r="BI53" s="5">
        <v>2</v>
      </c>
      <c r="BJ53" s="13">
        <f t="shared" si="33"/>
        <v>7</v>
      </c>
      <c r="BK53" s="5">
        <v>79.069999999999993</v>
      </c>
      <c r="BL53" s="11" t="str">
        <f t="shared" si="34"/>
        <v>B+</v>
      </c>
      <c r="BM53" s="12">
        <f t="shared" si="35"/>
        <v>3.5</v>
      </c>
      <c r="BN53" s="5">
        <v>2</v>
      </c>
      <c r="BO53" s="13">
        <f t="shared" si="36"/>
        <v>7</v>
      </c>
      <c r="BP53" s="5">
        <v>79</v>
      </c>
      <c r="BQ53" s="11" t="str">
        <f t="shared" si="37"/>
        <v>B+</v>
      </c>
      <c r="BR53" s="12">
        <f t="shared" si="38"/>
        <v>3.5</v>
      </c>
      <c r="BS53" s="5">
        <v>2</v>
      </c>
      <c r="BT53" s="13">
        <f t="shared" si="39"/>
        <v>7</v>
      </c>
      <c r="BU53" s="5">
        <v>85</v>
      </c>
      <c r="BV53" s="11" t="str">
        <f t="shared" si="40"/>
        <v>A</v>
      </c>
      <c r="BW53" s="12">
        <f t="shared" si="41"/>
        <v>4</v>
      </c>
      <c r="BX53" s="5">
        <v>2</v>
      </c>
      <c r="BY53" s="13">
        <f t="shared" si="42"/>
        <v>8</v>
      </c>
      <c r="BZ53" s="5">
        <v>80.3</v>
      </c>
      <c r="CA53" s="11" t="str">
        <f t="shared" si="43"/>
        <v>A</v>
      </c>
      <c r="CB53" s="12">
        <f t="shared" si="44"/>
        <v>4</v>
      </c>
      <c r="CC53" s="5">
        <v>2</v>
      </c>
      <c r="CD53" s="13">
        <f t="shared" si="45"/>
        <v>8</v>
      </c>
      <c r="CE53" s="5">
        <v>86</v>
      </c>
      <c r="CF53" s="11" t="str">
        <f t="shared" si="46"/>
        <v>A</v>
      </c>
      <c r="CG53" s="12">
        <f t="shared" si="47"/>
        <v>4</v>
      </c>
      <c r="CH53" s="5">
        <v>2</v>
      </c>
      <c r="CI53" s="13">
        <f t="shared" si="48"/>
        <v>8</v>
      </c>
      <c r="CJ53" s="5">
        <v>70.75</v>
      </c>
      <c r="CK53" s="11" t="str">
        <f t="shared" si="49"/>
        <v>B</v>
      </c>
      <c r="CL53" s="12">
        <f t="shared" si="50"/>
        <v>3</v>
      </c>
      <c r="CM53" s="13">
        <v>2</v>
      </c>
      <c r="CN53" s="13">
        <f t="shared" si="51"/>
        <v>6</v>
      </c>
      <c r="CO53" s="5">
        <v>77.2</v>
      </c>
      <c r="CP53" s="11" t="str">
        <f t="shared" si="52"/>
        <v>B+</v>
      </c>
      <c r="CQ53" s="12">
        <f t="shared" si="53"/>
        <v>3.5</v>
      </c>
      <c r="CR53" s="13">
        <v>2</v>
      </c>
      <c r="CS53" s="13">
        <f t="shared" si="54"/>
        <v>7</v>
      </c>
      <c r="CT53" s="5">
        <v>81</v>
      </c>
      <c r="CU53" s="11" t="str">
        <f t="shared" si="55"/>
        <v>A</v>
      </c>
      <c r="CV53" s="12">
        <f t="shared" si="56"/>
        <v>4</v>
      </c>
      <c r="CW53" s="13">
        <v>2</v>
      </c>
      <c r="CX53" s="13">
        <f t="shared" si="57"/>
        <v>8</v>
      </c>
      <c r="CY53" s="5">
        <v>78</v>
      </c>
      <c r="CZ53" s="11" t="str">
        <f t="shared" si="58"/>
        <v>B+</v>
      </c>
      <c r="DA53" s="12">
        <f t="shared" si="59"/>
        <v>3.5</v>
      </c>
      <c r="DB53" s="5">
        <v>2</v>
      </c>
      <c r="DC53" s="14">
        <f t="shared" si="60"/>
        <v>7</v>
      </c>
      <c r="DD53" s="5">
        <v>75.099999999999994</v>
      </c>
      <c r="DE53" s="11" t="str">
        <f t="shared" si="61"/>
        <v>B+</v>
      </c>
      <c r="DF53" s="12">
        <f t="shared" si="62"/>
        <v>3.5</v>
      </c>
      <c r="DG53" s="5">
        <v>2</v>
      </c>
      <c r="DH53" s="13">
        <f t="shared" si="63"/>
        <v>7</v>
      </c>
      <c r="DI53" s="5"/>
      <c r="DJ53" s="11" t="str">
        <f t="shared" si="64"/>
        <v>E</v>
      </c>
      <c r="DK53" s="12">
        <f t="shared" si="65"/>
        <v>0</v>
      </c>
      <c r="DL53" s="5">
        <v>4</v>
      </c>
      <c r="DM53" s="13">
        <f t="shared" si="66"/>
        <v>0</v>
      </c>
      <c r="DN53" s="30">
        <f t="shared" si="75"/>
        <v>84.5</v>
      </c>
      <c r="DO53" s="31">
        <f t="shared" si="67"/>
        <v>24</v>
      </c>
      <c r="DP53" s="5">
        <f t="shared" si="68"/>
        <v>73</v>
      </c>
      <c r="DQ53" s="5">
        <f t="shared" si="69"/>
        <v>24</v>
      </c>
      <c r="DR53" s="5">
        <f t="shared" si="70"/>
        <v>157.5</v>
      </c>
      <c r="DS53" s="5">
        <f t="shared" si="71"/>
        <v>48</v>
      </c>
      <c r="DT53" s="5">
        <v>3.0416666666666665</v>
      </c>
      <c r="DU53" s="5">
        <f t="shared" si="72"/>
        <v>3.28125</v>
      </c>
      <c r="DV53" s="10" t="str">
        <f t="shared" si="73"/>
        <v>Sangat Memuaskan</v>
      </c>
      <c r="DW53" s="17" t="str">
        <f t="shared" si="74"/>
        <v>Highly Satisfactory</v>
      </c>
      <c r="DX53" s="17" t="s">
        <v>194</v>
      </c>
    </row>
    <row r="54" spans="1:128" x14ac:dyDescent="0.2">
      <c r="A54" s="10">
        <v>52</v>
      </c>
      <c r="B54" s="10" t="s">
        <v>71</v>
      </c>
      <c r="C54" s="10">
        <v>182412055</v>
      </c>
      <c r="D54" s="16" t="s">
        <v>144</v>
      </c>
      <c r="E54" s="8" t="s">
        <v>148</v>
      </c>
      <c r="F54" s="15" t="s">
        <v>149</v>
      </c>
      <c r="G54" s="10"/>
      <c r="H54" s="5">
        <v>78.75</v>
      </c>
      <c r="I54" s="11" t="str">
        <f t="shared" si="1"/>
        <v>B+</v>
      </c>
      <c r="J54" s="12">
        <f t="shared" si="2"/>
        <v>3.5</v>
      </c>
      <c r="K54" s="5">
        <v>2</v>
      </c>
      <c r="L54" s="13">
        <f t="shared" si="3"/>
        <v>7</v>
      </c>
      <c r="M54" s="5">
        <v>75</v>
      </c>
      <c r="N54" s="11" t="str">
        <f t="shared" si="4"/>
        <v>B+</v>
      </c>
      <c r="O54" s="12">
        <f t="shared" si="5"/>
        <v>3.5</v>
      </c>
      <c r="P54" s="5">
        <v>2</v>
      </c>
      <c r="Q54" s="13">
        <f t="shared" si="6"/>
        <v>7</v>
      </c>
      <c r="R54" s="5">
        <v>80.2</v>
      </c>
      <c r="S54" s="11" t="str">
        <f t="shared" si="7"/>
        <v>A</v>
      </c>
      <c r="T54" s="12">
        <f t="shared" si="8"/>
        <v>4</v>
      </c>
      <c r="U54" s="5">
        <v>2</v>
      </c>
      <c r="V54" s="13">
        <f t="shared" si="9"/>
        <v>8</v>
      </c>
      <c r="W54" s="5">
        <v>78</v>
      </c>
      <c r="X54" s="11" t="str">
        <f t="shared" si="10"/>
        <v>B+</v>
      </c>
      <c r="Y54" s="12">
        <f t="shared" si="11"/>
        <v>3.5</v>
      </c>
      <c r="Z54" s="5">
        <v>3</v>
      </c>
      <c r="AA54" s="13">
        <f t="shared" si="12"/>
        <v>10.5</v>
      </c>
      <c r="AB54" s="5">
        <v>83.55</v>
      </c>
      <c r="AC54" s="11" t="str">
        <f t="shared" si="13"/>
        <v>A</v>
      </c>
      <c r="AD54" s="12">
        <f t="shared" si="14"/>
        <v>4</v>
      </c>
      <c r="AE54" s="13">
        <v>2</v>
      </c>
      <c r="AF54" s="13">
        <f t="shared" si="15"/>
        <v>8</v>
      </c>
      <c r="AG54" s="5">
        <v>78</v>
      </c>
      <c r="AH54" s="11" t="str">
        <f t="shared" si="16"/>
        <v>B+</v>
      </c>
      <c r="AI54" s="12">
        <f t="shared" si="17"/>
        <v>3.5</v>
      </c>
      <c r="AJ54" s="13">
        <v>2</v>
      </c>
      <c r="AK54" s="13">
        <f t="shared" si="18"/>
        <v>7</v>
      </c>
      <c r="AL54" s="5">
        <v>79</v>
      </c>
      <c r="AM54" s="11" t="str">
        <f t="shared" si="19"/>
        <v>B+</v>
      </c>
      <c r="AN54" s="12">
        <f t="shared" si="20"/>
        <v>3.5</v>
      </c>
      <c r="AO54" s="13">
        <v>2</v>
      </c>
      <c r="AP54" s="13">
        <f t="shared" si="21"/>
        <v>7</v>
      </c>
      <c r="AQ54" s="5">
        <v>74</v>
      </c>
      <c r="AR54" s="11" t="str">
        <f t="shared" si="22"/>
        <v>B</v>
      </c>
      <c r="AS54" s="12">
        <f t="shared" si="23"/>
        <v>3</v>
      </c>
      <c r="AT54" s="13">
        <v>2</v>
      </c>
      <c r="AU54" s="13">
        <f t="shared" si="24"/>
        <v>6</v>
      </c>
      <c r="AV54" s="5">
        <v>79.5</v>
      </c>
      <c r="AW54" s="11" t="str">
        <f t="shared" si="25"/>
        <v>B+</v>
      </c>
      <c r="AX54" s="12">
        <f t="shared" si="26"/>
        <v>3.5</v>
      </c>
      <c r="AY54" s="5">
        <v>3</v>
      </c>
      <c r="AZ54" s="14">
        <f t="shared" si="27"/>
        <v>10.5</v>
      </c>
      <c r="BA54" s="5">
        <v>70</v>
      </c>
      <c r="BB54" s="11" t="str">
        <f t="shared" si="28"/>
        <v>B</v>
      </c>
      <c r="BC54" s="12">
        <f t="shared" si="29"/>
        <v>3</v>
      </c>
      <c r="BD54" s="5">
        <v>2</v>
      </c>
      <c r="BE54" s="13">
        <f t="shared" si="30"/>
        <v>6</v>
      </c>
      <c r="BF54" s="5">
        <v>79</v>
      </c>
      <c r="BG54" s="11" t="str">
        <f t="shared" si="31"/>
        <v>B+</v>
      </c>
      <c r="BH54" s="12">
        <f t="shared" si="32"/>
        <v>3.5</v>
      </c>
      <c r="BI54" s="5">
        <v>2</v>
      </c>
      <c r="BJ54" s="13">
        <f t="shared" si="33"/>
        <v>7</v>
      </c>
      <c r="BK54" s="5">
        <v>79.73</v>
      </c>
      <c r="BL54" s="11" t="str">
        <f t="shared" si="34"/>
        <v>B+</v>
      </c>
      <c r="BM54" s="12">
        <f t="shared" si="35"/>
        <v>3.5</v>
      </c>
      <c r="BN54" s="5">
        <v>2</v>
      </c>
      <c r="BO54" s="13">
        <f t="shared" si="36"/>
        <v>7</v>
      </c>
      <c r="BP54" s="5">
        <v>80</v>
      </c>
      <c r="BQ54" s="11" t="str">
        <f t="shared" si="37"/>
        <v>A</v>
      </c>
      <c r="BR54" s="12">
        <f t="shared" si="38"/>
        <v>4</v>
      </c>
      <c r="BS54" s="5">
        <v>2</v>
      </c>
      <c r="BT54" s="13">
        <f t="shared" si="39"/>
        <v>8</v>
      </c>
      <c r="BU54" s="5">
        <v>86</v>
      </c>
      <c r="BV54" s="11" t="str">
        <f t="shared" si="40"/>
        <v>A</v>
      </c>
      <c r="BW54" s="12">
        <f t="shared" si="41"/>
        <v>4</v>
      </c>
      <c r="BX54" s="5">
        <v>2</v>
      </c>
      <c r="BY54" s="13">
        <f t="shared" si="42"/>
        <v>8</v>
      </c>
      <c r="BZ54" s="5">
        <v>82.6</v>
      </c>
      <c r="CA54" s="11" t="str">
        <f t="shared" si="43"/>
        <v>A</v>
      </c>
      <c r="CB54" s="12">
        <f t="shared" si="44"/>
        <v>4</v>
      </c>
      <c r="CC54" s="5">
        <v>2</v>
      </c>
      <c r="CD54" s="13">
        <f t="shared" si="45"/>
        <v>8</v>
      </c>
      <c r="CE54" s="5">
        <v>85</v>
      </c>
      <c r="CF54" s="11" t="str">
        <f t="shared" si="46"/>
        <v>A</v>
      </c>
      <c r="CG54" s="12">
        <f t="shared" si="47"/>
        <v>4</v>
      </c>
      <c r="CH54" s="5">
        <v>2</v>
      </c>
      <c r="CI54" s="13">
        <f t="shared" si="48"/>
        <v>8</v>
      </c>
      <c r="CJ54" s="5">
        <v>76.75</v>
      </c>
      <c r="CK54" s="11" t="str">
        <f t="shared" si="49"/>
        <v>B+</v>
      </c>
      <c r="CL54" s="12">
        <f t="shared" si="50"/>
        <v>3.5</v>
      </c>
      <c r="CM54" s="13">
        <v>2</v>
      </c>
      <c r="CN54" s="13">
        <f t="shared" si="51"/>
        <v>7</v>
      </c>
      <c r="CO54" s="5">
        <v>77.7</v>
      </c>
      <c r="CP54" s="11" t="str">
        <f t="shared" si="52"/>
        <v>B+</v>
      </c>
      <c r="CQ54" s="12">
        <f t="shared" si="53"/>
        <v>3.5</v>
      </c>
      <c r="CR54" s="13">
        <v>2</v>
      </c>
      <c r="CS54" s="13">
        <f t="shared" si="54"/>
        <v>7</v>
      </c>
      <c r="CT54" s="5">
        <v>81.599999999999994</v>
      </c>
      <c r="CU54" s="11" t="str">
        <f t="shared" si="55"/>
        <v>A</v>
      </c>
      <c r="CV54" s="12">
        <f t="shared" si="56"/>
        <v>4</v>
      </c>
      <c r="CW54" s="13">
        <v>2</v>
      </c>
      <c r="CX54" s="13">
        <f t="shared" si="57"/>
        <v>8</v>
      </c>
      <c r="CY54" s="5">
        <v>82</v>
      </c>
      <c r="CZ54" s="11" t="str">
        <f t="shared" si="58"/>
        <v>A</v>
      </c>
      <c r="DA54" s="12">
        <f t="shared" si="59"/>
        <v>4</v>
      </c>
      <c r="DB54" s="5">
        <v>2</v>
      </c>
      <c r="DC54" s="14">
        <f t="shared" si="60"/>
        <v>8</v>
      </c>
      <c r="DD54" s="5">
        <v>73.5</v>
      </c>
      <c r="DE54" s="11" t="str">
        <f t="shared" si="61"/>
        <v>B</v>
      </c>
      <c r="DF54" s="12">
        <f t="shared" si="62"/>
        <v>3</v>
      </c>
      <c r="DG54" s="5">
        <v>2</v>
      </c>
      <c r="DH54" s="13">
        <f t="shared" si="63"/>
        <v>6</v>
      </c>
      <c r="DI54" s="5">
        <v>80</v>
      </c>
      <c r="DJ54" s="11" t="str">
        <f t="shared" si="64"/>
        <v>A</v>
      </c>
      <c r="DK54" s="12">
        <f t="shared" si="65"/>
        <v>4</v>
      </c>
      <c r="DL54" s="5">
        <v>4</v>
      </c>
      <c r="DM54" s="13">
        <f t="shared" si="66"/>
        <v>16</v>
      </c>
      <c r="DN54" s="30">
        <f t="shared" si="75"/>
        <v>84</v>
      </c>
      <c r="DO54" s="31">
        <f t="shared" si="67"/>
        <v>24</v>
      </c>
      <c r="DP54" s="5">
        <f t="shared" si="68"/>
        <v>91</v>
      </c>
      <c r="DQ54" s="5">
        <f>BN54+BS54+BX54+CC54+CH54+CM54+CR54+CW54+DB54+DG54+DL54</f>
        <v>24</v>
      </c>
      <c r="DR54" s="5">
        <f t="shared" si="70"/>
        <v>175</v>
      </c>
      <c r="DS54" s="5">
        <f t="shared" si="71"/>
        <v>48</v>
      </c>
      <c r="DT54" s="5">
        <v>3.7916666666666665</v>
      </c>
      <c r="DU54" s="5">
        <f t="shared" si="72"/>
        <v>3.6458333333333335</v>
      </c>
      <c r="DV54" s="10" t="str">
        <f t="shared" si="73"/>
        <v>Cum Laude</v>
      </c>
      <c r="DW54" s="17" t="str">
        <f t="shared" si="74"/>
        <v>Excellent</v>
      </c>
      <c r="DX54" s="17" t="s">
        <v>195</v>
      </c>
    </row>
  </sheetData>
  <mergeCells count="38">
    <mergeCell ref="DX1:DX2"/>
    <mergeCell ref="CT1:CX1"/>
    <mergeCell ref="CY1:DC1"/>
    <mergeCell ref="DD1:DH1"/>
    <mergeCell ref="DI1:DM1"/>
    <mergeCell ref="DT1:DT2"/>
    <mergeCell ref="DS1:DS2"/>
    <mergeCell ref="DR1:DR2"/>
    <mergeCell ref="CE1:CI1"/>
    <mergeCell ref="CJ1:CN1"/>
    <mergeCell ref="DU1:DU2"/>
    <mergeCell ref="DV1:DV2"/>
    <mergeCell ref="DW1:DW2"/>
    <mergeCell ref="R1:V1"/>
    <mergeCell ref="CO1:CS1"/>
    <mergeCell ref="BA1:BE1"/>
    <mergeCell ref="BF1:BJ1"/>
    <mergeCell ref="DP1:DQ1"/>
    <mergeCell ref="BK1:BO1"/>
    <mergeCell ref="W1:AA1"/>
    <mergeCell ref="AB1:AF1"/>
    <mergeCell ref="AG1:AK1"/>
    <mergeCell ref="AL1:AP1"/>
    <mergeCell ref="AQ1:AU1"/>
    <mergeCell ref="AV1:AZ1"/>
    <mergeCell ref="DN1:DO1"/>
    <mergeCell ref="BP1:BT1"/>
    <mergeCell ref="BU1:BY1"/>
    <mergeCell ref="BZ1:CD1"/>
    <mergeCell ref="A1:A2"/>
    <mergeCell ref="B1:B2"/>
    <mergeCell ref="C1:C2"/>
    <mergeCell ref="H1:L1"/>
    <mergeCell ref="M1:Q1"/>
    <mergeCell ref="D1:D2"/>
    <mergeCell ref="G1:G2"/>
    <mergeCell ref="E1:E2"/>
    <mergeCell ref="F1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Transkip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NURZAMAN</dc:creator>
  <cp:lastModifiedBy>FERNANDO NURZAMAN</cp:lastModifiedBy>
  <dcterms:created xsi:type="dcterms:W3CDTF">2025-11-28T07:08:00Z</dcterms:created>
  <dcterms:modified xsi:type="dcterms:W3CDTF">2025-11-30T05:53:19Z</dcterms:modified>
</cp:coreProperties>
</file>