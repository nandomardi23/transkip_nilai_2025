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Nando\Documents\Stikes\Transkip Nilai 2025\S1 Keperawatan\Reguler\"/>
    </mc:Choice>
  </mc:AlternateContent>
  <xr:revisionPtr revIDLastSave="0" documentId="13_ncr:1_{A427873F-6AFC-4D43-8BD7-2B3375621474}" xr6:coauthVersionLast="47" xr6:coauthVersionMax="47" xr10:uidLastSave="{00000000-0000-0000-0000-000000000000}"/>
  <bookViews>
    <workbookView xWindow="-120" yWindow="-120" windowWidth="29040" windowHeight="15720" xr2:uid="{42621251-7584-4841-8D22-06C617E2C04A}"/>
  </bookViews>
  <sheets>
    <sheet name="Transkip" sheetId="1" r:id="rId1"/>
    <sheet name="Transkip Belakang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N40" i="2" l="1"/>
  <c r="CM40" i="2"/>
  <c r="CN39" i="2"/>
  <c r="CM39" i="2"/>
  <c r="CN38" i="2"/>
  <c r="CM38" i="2"/>
  <c r="CN37" i="2"/>
  <c r="CM37" i="2"/>
  <c r="CN36" i="2"/>
  <c r="CM36" i="2"/>
  <c r="CN35" i="2"/>
  <c r="CM35" i="2"/>
  <c r="CN34" i="2"/>
  <c r="CM34" i="2"/>
  <c r="CN33" i="2"/>
  <c r="CM33" i="2"/>
  <c r="CN32" i="2"/>
  <c r="CM32" i="2"/>
  <c r="CN31" i="2"/>
  <c r="CM31" i="2"/>
  <c r="CN30" i="2"/>
  <c r="CM30" i="2"/>
  <c r="CN29" i="2"/>
  <c r="CM29" i="2"/>
  <c r="CN28" i="2"/>
  <c r="CM28" i="2"/>
  <c r="CN27" i="2"/>
  <c r="CM27" i="2"/>
  <c r="CN26" i="2"/>
  <c r="CM26" i="2"/>
  <c r="CN25" i="2"/>
  <c r="CM25" i="2"/>
  <c r="CN24" i="2"/>
  <c r="CM24" i="2"/>
  <c r="CN23" i="2"/>
  <c r="CM23" i="2"/>
  <c r="CN22" i="2"/>
  <c r="CM22" i="2"/>
  <c r="CN21" i="2"/>
  <c r="CM21" i="2"/>
  <c r="CN20" i="2"/>
  <c r="CM20" i="2"/>
  <c r="CN19" i="2"/>
  <c r="CM19" i="2"/>
  <c r="CN18" i="2"/>
  <c r="CM18" i="2"/>
  <c r="CN17" i="2"/>
  <c r="CM17" i="2"/>
  <c r="CN16" i="2"/>
  <c r="CM16" i="2"/>
  <c r="CN15" i="2"/>
  <c r="CM15" i="2"/>
  <c r="CN14" i="2"/>
  <c r="CM14" i="2"/>
  <c r="CN13" i="2"/>
  <c r="CM13" i="2"/>
  <c r="CN12" i="2"/>
  <c r="CM12" i="2"/>
  <c r="CN11" i="2"/>
  <c r="CM11" i="2"/>
  <c r="CN10" i="2"/>
  <c r="CM10" i="2"/>
  <c r="CN9" i="2"/>
  <c r="CM9" i="2"/>
  <c r="CN8" i="2"/>
  <c r="CM8" i="2"/>
  <c r="CN7" i="2"/>
  <c r="CM7" i="2"/>
  <c r="CN6" i="2"/>
  <c r="CM6" i="2"/>
  <c r="CN5" i="2"/>
  <c r="CM5" i="2"/>
  <c r="CN4" i="2"/>
  <c r="CM4" i="2"/>
  <c r="CN3" i="2"/>
  <c r="CM3" i="2"/>
  <c r="JT35" i="1"/>
  <c r="JS35" i="1"/>
  <c r="JU35" i="1" s="1"/>
  <c r="JW35" i="1" s="1"/>
  <c r="JT34" i="1"/>
  <c r="JS34" i="1"/>
  <c r="JT33" i="1"/>
  <c r="JS33" i="1"/>
  <c r="JT32" i="1"/>
  <c r="JS32" i="1"/>
  <c r="JT31" i="1"/>
  <c r="JS31" i="1"/>
  <c r="JU31" i="1" s="1"/>
  <c r="JW31" i="1" s="1"/>
  <c r="JT30" i="1"/>
  <c r="JS30" i="1"/>
  <c r="JT29" i="1"/>
  <c r="JS29" i="1"/>
  <c r="JT28" i="1"/>
  <c r="JS28" i="1"/>
  <c r="JT27" i="1"/>
  <c r="JS27" i="1"/>
  <c r="JT26" i="1"/>
  <c r="JS26" i="1"/>
  <c r="JU26" i="1" s="1"/>
  <c r="JW26" i="1" s="1"/>
  <c r="JT25" i="1"/>
  <c r="JS25" i="1"/>
  <c r="JT24" i="1"/>
  <c r="JS24" i="1"/>
  <c r="JT23" i="1"/>
  <c r="JS23" i="1"/>
  <c r="JT22" i="1"/>
  <c r="JS22" i="1"/>
  <c r="JT21" i="1"/>
  <c r="JS21" i="1"/>
  <c r="JU21" i="1" s="1"/>
  <c r="JW21" i="1" s="1"/>
  <c r="JT20" i="1"/>
  <c r="JS20" i="1"/>
  <c r="JT19" i="1"/>
  <c r="JS19" i="1"/>
  <c r="JT18" i="1"/>
  <c r="JS18" i="1"/>
  <c r="JT17" i="1"/>
  <c r="JS17" i="1"/>
  <c r="JT16" i="1"/>
  <c r="JS16" i="1"/>
  <c r="JT15" i="1"/>
  <c r="JS15" i="1"/>
  <c r="JT14" i="1"/>
  <c r="JS14" i="1"/>
  <c r="JT13" i="1"/>
  <c r="JS13" i="1"/>
  <c r="JT12" i="1"/>
  <c r="JS12" i="1"/>
  <c r="JU12" i="1" s="1"/>
  <c r="JW12" i="1" s="1"/>
  <c r="JT11" i="1"/>
  <c r="JS11" i="1"/>
  <c r="JT10" i="1"/>
  <c r="JS10" i="1"/>
  <c r="JT9" i="1"/>
  <c r="JS9" i="1"/>
  <c r="JT8" i="1"/>
  <c r="JS8" i="1"/>
  <c r="JT7" i="1"/>
  <c r="JS7" i="1"/>
  <c r="JT6" i="1"/>
  <c r="JS6" i="1"/>
  <c r="JT5" i="1"/>
  <c r="JS5" i="1"/>
  <c r="JT4" i="1"/>
  <c r="JS4" i="1"/>
  <c r="JU4" i="1" s="1"/>
  <c r="JW4" i="1" s="1"/>
  <c r="JT3" i="1"/>
  <c r="JS3" i="1"/>
  <c r="CL4" i="2"/>
  <c r="CL5" i="2"/>
  <c r="CL6" i="2"/>
  <c r="CL7" i="2"/>
  <c r="CL8" i="2"/>
  <c r="CL9" i="2"/>
  <c r="CL10" i="2"/>
  <c r="CL11" i="2"/>
  <c r="CL12" i="2"/>
  <c r="CL13" i="2"/>
  <c r="CL14" i="2"/>
  <c r="CL15" i="2"/>
  <c r="CL16" i="2"/>
  <c r="CL17" i="2"/>
  <c r="CL18" i="2"/>
  <c r="CL19" i="2"/>
  <c r="CL20" i="2"/>
  <c r="CL21" i="2"/>
  <c r="CL22" i="2"/>
  <c r="CL23" i="2"/>
  <c r="CL24" i="2"/>
  <c r="CL25" i="2"/>
  <c r="CL26" i="2"/>
  <c r="CL27" i="2"/>
  <c r="CL28" i="2"/>
  <c r="CL29" i="2"/>
  <c r="CL30" i="2"/>
  <c r="CL31" i="2"/>
  <c r="CL32" i="2"/>
  <c r="CL33" i="2"/>
  <c r="CL34" i="2"/>
  <c r="CL35" i="2"/>
  <c r="CL36" i="2"/>
  <c r="CL37" i="2"/>
  <c r="CL38" i="2"/>
  <c r="CL39" i="2"/>
  <c r="CL40" i="2"/>
  <c r="CL3" i="2"/>
  <c r="CJ40" i="2"/>
  <c r="CK40" i="2"/>
  <c r="CJ4" i="2"/>
  <c r="CK4" i="2"/>
  <c r="CJ5" i="2"/>
  <c r="CK5" i="2"/>
  <c r="CJ6" i="2"/>
  <c r="CK6" i="2"/>
  <c r="CJ7" i="2"/>
  <c r="CK7" i="2"/>
  <c r="CJ8" i="2"/>
  <c r="CK8" i="2"/>
  <c r="CJ9" i="2"/>
  <c r="CK9" i="2"/>
  <c r="CJ10" i="2"/>
  <c r="CK10" i="2"/>
  <c r="CJ11" i="2"/>
  <c r="CK11" i="2"/>
  <c r="CJ12" i="2"/>
  <c r="CK12" i="2"/>
  <c r="CJ13" i="2"/>
  <c r="CK13" i="2"/>
  <c r="CJ14" i="2"/>
  <c r="CK14" i="2"/>
  <c r="CJ15" i="2"/>
  <c r="CK15" i="2"/>
  <c r="CJ16" i="2"/>
  <c r="CK16" i="2"/>
  <c r="CJ17" i="2"/>
  <c r="CK17" i="2"/>
  <c r="CJ18" i="2"/>
  <c r="CK18" i="2"/>
  <c r="CJ19" i="2"/>
  <c r="CK19" i="2"/>
  <c r="CJ20" i="2"/>
  <c r="CK20" i="2"/>
  <c r="CJ21" i="2"/>
  <c r="CK21" i="2"/>
  <c r="CJ22" i="2"/>
  <c r="CK22" i="2"/>
  <c r="CJ23" i="2"/>
  <c r="CK23" i="2"/>
  <c r="CJ24" i="2"/>
  <c r="CK24" i="2"/>
  <c r="CJ25" i="2"/>
  <c r="CK25" i="2"/>
  <c r="CJ26" i="2"/>
  <c r="CK26" i="2"/>
  <c r="CJ27" i="2"/>
  <c r="CK27" i="2"/>
  <c r="CJ28" i="2"/>
  <c r="CK28" i="2"/>
  <c r="CJ29" i="2"/>
  <c r="CK29" i="2"/>
  <c r="CJ30" i="2"/>
  <c r="CK30" i="2"/>
  <c r="CJ31" i="2"/>
  <c r="CK31" i="2"/>
  <c r="CJ32" i="2"/>
  <c r="CK32" i="2"/>
  <c r="CJ33" i="2"/>
  <c r="CK33" i="2"/>
  <c r="CJ34" i="2"/>
  <c r="CK34" i="2"/>
  <c r="CJ35" i="2"/>
  <c r="CK35" i="2"/>
  <c r="CJ36" i="2"/>
  <c r="CK36" i="2"/>
  <c r="CJ37" i="2"/>
  <c r="CK37" i="2"/>
  <c r="CJ38" i="2"/>
  <c r="CK38" i="2"/>
  <c r="CJ39" i="2"/>
  <c r="CK39" i="2"/>
  <c r="CK3" i="2"/>
  <c r="CJ3" i="2"/>
  <c r="BP40" i="2"/>
  <c r="BQ40" i="2" s="1"/>
  <c r="BS40" i="2" s="1"/>
  <c r="BL40" i="2"/>
  <c r="BN40" i="2" s="1"/>
  <c r="BK40" i="2"/>
  <c r="BF40" i="2"/>
  <c r="BG40" i="2" s="1"/>
  <c r="BI40" i="2" s="1"/>
  <c r="BA40" i="2"/>
  <c r="BB40" i="2" s="1"/>
  <c r="BD40" i="2" s="1"/>
  <c r="AV40" i="2"/>
  <c r="AW40" i="2" s="1"/>
  <c r="AY40" i="2" s="1"/>
  <c r="AQ40" i="2"/>
  <c r="AR40" i="2" s="1"/>
  <c r="AT40" i="2" s="1"/>
  <c r="AL40" i="2"/>
  <c r="AM40" i="2" s="1"/>
  <c r="AO40" i="2" s="1"/>
  <c r="AG40" i="2"/>
  <c r="AH40" i="2" s="1"/>
  <c r="AJ40" i="2" s="1"/>
  <c r="AC40" i="2"/>
  <c r="AE40" i="2" s="1"/>
  <c r="AB40" i="2"/>
  <c r="W40" i="2"/>
  <c r="X40" i="2" s="1"/>
  <c r="Z40" i="2" s="1"/>
  <c r="S40" i="2"/>
  <c r="U40" i="2" s="1"/>
  <c r="R40" i="2"/>
  <c r="M40" i="2"/>
  <c r="N40" i="2" s="1"/>
  <c r="P40" i="2" s="1"/>
  <c r="H40" i="2"/>
  <c r="I40" i="2" s="1"/>
  <c r="K40" i="2" s="1"/>
  <c r="BP39" i="2"/>
  <c r="BQ39" i="2" s="1"/>
  <c r="BS39" i="2" s="1"/>
  <c r="BK39" i="2"/>
  <c r="BL39" i="2" s="1"/>
  <c r="BN39" i="2" s="1"/>
  <c r="BF39" i="2"/>
  <c r="BG39" i="2" s="1"/>
  <c r="BI39" i="2" s="1"/>
  <c r="BA39" i="2"/>
  <c r="BB39" i="2" s="1"/>
  <c r="BD39" i="2" s="1"/>
  <c r="AV39" i="2"/>
  <c r="AW39" i="2" s="1"/>
  <c r="AY39" i="2" s="1"/>
  <c r="AQ39" i="2"/>
  <c r="AR39" i="2" s="1"/>
  <c r="AT39" i="2" s="1"/>
  <c r="AL39" i="2"/>
  <c r="AM39" i="2" s="1"/>
  <c r="AO39" i="2" s="1"/>
  <c r="AG39" i="2"/>
  <c r="AH39" i="2" s="1"/>
  <c r="AJ39" i="2" s="1"/>
  <c r="AB39" i="2"/>
  <c r="AC39" i="2" s="1"/>
  <c r="AE39" i="2" s="1"/>
  <c r="W39" i="2"/>
  <c r="X39" i="2" s="1"/>
  <c r="Z39" i="2" s="1"/>
  <c r="R39" i="2"/>
  <c r="S39" i="2" s="1"/>
  <c r="U39" i="2" s="1"/>
  <c r="M39" i="2"/>
  <c r="N39" i="2" s="1"/>
  <c r="P39" i="2" s="1"/>
  <c r="H39" i="2"/>
  <c r="I39" i="2" s="1"/>
  <c r="K39" i="2" s="1"/>
  <c r="BQ38" i="2"/>
  <c r="BS38" i="2" s="1"/>
  <c r="BP38" i="2"/>
  <c r="BK38" i="2"/>
  <c r="BL38" i="2" s="1"/>
  <c r="BN38" i="2" s="1"/>
  <c r="BF38" i="2"/>
  <c r="BG38" i="2" s="1"/>
  <c r="BI38" i="2" s="1"/>
  <c r="BA38" i="2"/>
  <c r="BB38" i="2" s="1"/>
  <c r="BD38" i="2" s="1"/>
  <c r="AW38" i="2"/>
  <c r="AY38" i="2" s="1"/>
  <c r="AV38" i="2"/>
  <c r="AQ38" i="2"/>
  <c r="AR38" i="2" s="1"/>
  <c r="AT38" i="2" s="1"/>
  <c r="AL38" i="2"/>
  <c r="AM38" i="2" s="1"/>
  <c r="AO38" i="2" s="1"/>
  <c r="AG38" i="2"/>
  <c r="AH38" i="2" s="1"/>
  <c r="AJ38" i="2" s="1"/>
  <c r="AB38" i="2"/>
  <c r="AC38" i="2" s="1"/>
  <c r="AE38" i="2" s="1"/>
  <c r="W38" i="2"/>
  <c r="X38" i="2" s="1"/>
  <c r="Z38" i="2" s="1"/>
  <c r="R38" i="2"/>
  <c r="S38" i="2" s="1"/>
  <c r="U38" i="2" s="1"/>
  <c r="M38" i="2"/>
  <c r="N38" i="2" s="1"/>
  <c r="P38" i="2" s="1"/>
  <c r="H38" i="2"/>
  <c r="I38" i="2" s="1"/>
  <c r="K38" i="2" s="1"/>
  <c r="BP37" i="2"/>
  <c r="BQ37" i="2" s="1"/>
  <c r="BS37" i="2" s="1"/>
  <c r="BK37" i="2"/>
  <c r="BL37" i="2" s="1"/>
  <c r="BN37" i="2" s="1"/>
  <c r="BG37" i="2"/>
  <c r="BI37" i="2" s="1"/>
  <c r="BF37" i="2"/>
  <c r="BA37" i="2"/>
  <c r="BB37" i="2" s="1"/>
  <c r="BD37" i="2" s="1"/>
  <c r="AV37" i="2"/>
  <c r="AW37" i="2" s="1"/>
  <c r="AY37" i="2" s="1"/>
  <c r="AQ37" i="2"/>
  <c r="AR37" i="2" s="1"/>
  <c r="AT37" i="2" s="1"/>
  <c r="AL37" i="2"/>
  <c r="AM37" i="2" s="1"/>
  <c r="AO37" i="2" s="1"/>
  <c r="AG37" i="2"/>
  <c r="AH37" i="2" s="1"/>
  <c r="AJ37" i="2" s="1"/>
  <c r="AB37" i="2"/>
  <c r="AC37" i="2" s="1"/>
  <c r="AE37" i="2" s="1"/>
  <c r="W37" i="2"/>
  <c r="X37" i="2" s="1"/>
  <c r="Z37" i="2" s="1"/>
  <c r="R37" i="2"/>
  <c r="S37" i="2" s="1"/>
  <c r="U37" i="2" s="1"/>
  <c r="M37" i="2"/>
  <c r="N37" i="2" s="1"/>
  <c r="P37" i="2" s="1"/>
  <c r="H37" i="2"/>
  <c r="I37" i="2" s="1"/>
  <c r="K37" i="2" s="1"/>
  <c r="BP36" i="2"/>
  <c r="BQ36" i="2" s="1"/>
  <c r="BS36" i="2" s="1"/>
  <c r="BK36" i="2"/>
  <c r="BL36" i="2" s="1"/>
  <c r="BN36" i="2" s="1"/>
  <c r="BF36" i="2"/>
  <c r="BG36" i="2" s="1"/>
  <c r="BI36" i="2" s="1"/>
  <c r="BA36" i="2"/>
  <c r="BB36" i="2" s="1"/>
  <c r="BD36" i="2" s="1"/>
  <c r="AV36" i="2"/>
  <c r="AW36" i="2" s="1"/>
  <c r="AY36" i="2" s="1"/>
  <c r="AQ36" i="2"/>
  <c r="AR36" i="2" s="1"/>
  <c r="AT36" i="2" s="1"/>
  <c r="AL36" i="2"/>
  <c r="AM36" i="2" s="1"/>
  <c r="AO36" i="2" s="1"/>
  <c r="AG36" i="2"/>
  <c r="AH36" i="2" s="1"/>
  <c r="AJ36" i="2" s="1"/>
  <c r="AB36" i="2"/>
  <c r="AC36" i="2" s="1"/>
  <c r="AE36" i="2" s="1"/>
  <c r="X36" i="2"/>
  <c r="Z36" i="2" s="1"/>
  <c r="W36" i="2"/>
  <c r="R36" i="2"/>
  <c r="S36" i="2" s="1"/>
  <c r="U36" i="2" s="1"/>
  <c r="M36" i="2"/>
  <c r="N36" i="2" s="1"/>
  <c r="P36" i="2" s="1"/>
  <c r="H36" i="2"/>
  <c r="I36" i="2" s="1"/>
  <c r="K36" i="2" s="1"/>
  <c r="BP35" i="2"/>
  <c r="BQ35" i="2" s="1"/>
  <c r="BS35" i="2" s="1"/>
  <c r="BK35" i="2"/>
  <c r="BL35" i="2" s="1"/>
  <c r="BN35" i="2" s="1"/>
  <c r="BF35" i="2"/>
  <c r="BG35" i="2" s="1"/>
  <c r="BI35" i="2" s="1"/>
  <c r="BA35" i="2"/>
  <c r="BB35" i="2" s="1"/>
  <c r="BD35" i="2" s="1"/>
  <c r="AV35" i="2"/>
  <c r="AW35" i="2" s="1"/>
  <c r="AY35" i="2" s="1"/>
  <c r="AQ35" i="2"/>
  <c r="AR35" i="2" s="1"/>
  <c r="AT35" i="2" s="1"/>
  <c r="AM35" i="2"/>
  <c r="AO35" i="2" s="1"/>
  <c r="AL35" i="2"/>
  <c r="AG35" i="2"/>
  <c r="AH35" i="2" s="1"/>
  <c r="AJ35" i="2" s="1"/>
  <c r="AB35" i="2"/>
  <c r="AC35" i="2" s="1"/>
  <c r="AE35" i="2" s="1"/>
  <c r="W35" i="2"/>
  <c r="X35" i="2" s="1"/>
  <c r="Z35" i="2" s="1"/>
  <c r="R35" i="2"/>
  <c r="S35" i="2" s="1"/>
  <c r="U35" i="2" s="1"/>
  <c r="M35" i="2"/>
  <c r="N35" i="2" s="1"/>
  <c r="P35" i="2" s="1"/>
  <c r="H35" i="2"/>
  <c r="I35" i="2" s="1"/>
  <c r="K35" i="2" s="1"/>
  <c r="BP34" i="2"/>
  <c r="BQ34" i="2" s="1"/>
  <c r="BS34" i="2" s="1"/>
  <c r="BK34" i="2"/>
  <c r="BL34" i="2" s="1"/>
  <c r="BN34" i="2" s="1"/>
  <c r="BF34" i="2"/>
  <c r="BG34" i="2" s="1"/>
  <c r="BI34" i="2" s="1"/>
  <c r="BA34" i="2"/>
  <c r="BB34" i="2" s="1"/>
  <c r="BD34" i="2" s="1"/>
  <c r="AV34" i="2"/>
  <c r="AW34" i="2" s="1"/>
  <c r="AY34" i="2" s="1"/>
  <c r="AQ34" i="2"/>
  <c r="AR34" i="2" s="1"/>
  <c r="AT34" i="2" s="1"/>
  <c r="AL34" i="2"/>
  <c r="AM34" i="2" s="1"/>
  <c r="AO34" i="2" s="1"/>
  <c r="AG34" i="2"/>
  <c r="AH34" i="2" s="1"/>
  <c r="AJ34" i="2" s="1"/>
  <c r="AB34" i="2"/>
  <c r="AC34" i="2" s="1"/>
  <c r="AE34" i="2" s="1"/>
  <c r="W34" i="2"/>
  <c r="X34" i="2" s="1"/>
  <c r="Z34" i="2" s="1"/>
  <c r="R34" i="2"/>
  <c r="S34" i="2" s="1"/>
  <c r="U34" i="2" s="1"/>
  <c r="M34" i="2"/>
  <c r="N34" i="2" s="1"/>
  <c r="P34" i="2" s="1"/>
  <c r="H34" i="2"/>
  <c r="I34" i="2" s="1"/>
  <c r="K34" i="2" s="1"/>
  <c r="BQ33" i="2"/>
  <c r="BS33" i="2" s="1"/>
  <c r="BP33" i="2"/>
  <c r="BK33" i="2"/>
  <c r="BL33" i="2" s="1"/>
  <c r="BN33" i="2" s="1"/>
  <c r="BF33" i="2"/>
  <c r="BG33" i="2" s="1"/>
  <c r="BI33" i="2" s="1"/>
  <c r="BA33" i="2"/>
  <c r="BB33" i="2" s="1"/>
  <c r="BD33" i="2" s="1"/>
  <c r="AV33" i="2"/>
  <c r="AW33" i="2" s="1"/>
  <c r="AY33" i="2" s="1"/>
  <c r="AQ33" i="2"/>
  <c r="AR33" i="2" s="1"/>
  <c r="AT33" i="2" s="1"/>
  <c r="AL33" i="2"/>
  <c r="AM33" i="2" s="1"/>
  <c r="AO33" i="2" s="1"/>
  <c r="AG33" i="2"/>
  <c r="AH33" i="2" s="1"/>
  <c r="AJ33" i="2" s="1"/>
  <c r="AB33" i="2"/>
  <c r="AC33" i="2" s="1"/>
  <c r="AE33" i="2" s="1"/>
  <c r="W33" i="2"/>
  <c r="X33" i="2" s="1"/>
  <c r="Z33" i="2" s="1"/>
  <c r="S33" i="2"/>
  <c r="U33" i="2" s="1"/>
  <c r="R33" i="2"/>
  <c r="M33" i="2"/>
  <c r="N33" i="2" s="1"/>
  <c r="P33" i="2" s="1"/>
  <c r="H33" i="2"/>
  <c r="I33" i="2" s="1"/>
  <c r="K33" i="2" s="1"/>
  <c r="BP32" i="2"/>
  <c r="BQ32" i="2" s="1"/>
  <c r="BS32" i="2" s="1"/>
  <c r="BK32" i="2"/>
  <c r="BL32" i="2" s="1"/>
  <c r="BN32" i="2" s="1"/>
  <c r="BF32" i="2"/>
  <c r="BG32" i="2" s="1"/>
  <c r="BI32" i="2" s="1"/>
  <c r="BA32" i="2"/>
  <c r="BB32" i="2" s="1"/>
  <c r="BD32" i="2" s="1"/>
  <c r="AV32" i="2"/>
  <c r="AW32" i="2" s="1"/>
  <c r="AY32" i="2" s="1"/>
  <c r="AQ32" i="2"/>
  <c r="AR32" i="2" s="1"/>
  <c r="AT32" i="2" s="1"/>
  <c r="AL32" i="2"/>
  <c r="AM32" i="2" s="1"/>
  <c r="AO32" i="2" s="1"/>
  <c r="AG32" i="2"/>
  <c r="AH32" i="2" s="1"/>
  <c r="AJ32" i="2" s="1"/>
  <c r="AC32" i="2"/>
  <c r="AE32" i="2" s="1"/>
  <c r="AB32" i="2"/>
  <c r="W32" i="2"/>
  <c r="X32" i="2" s="1"/>
  <c r="Z32" i="2" s="1"/>
  <c r="R32" i="2"/>
  <c r="S32" i="2" s="1"/>
  <c r="U32" i="2" s="1"/>
  <c r="M32" i="2"/>
  <c r="N32" i="2" s="1"/>
  <c r="P32" i="2" s="1"/>
  <c r="H32" i="2"/>
  <c r="I32" i="2" s="1"/>
  <c r="K32" i="2" s="1"/>
  <c r="BP31" i="2"/>
  <c r="BQ31" i="2" s="1"/>
  <c r="BS31" i="2" s="1"/>
  <c r="BK31" i="2"/>
  <c r="BL31" i="2" s="1"/>
  <c r="BN31" i="2" s="1"/>
  <c r="BF31" i="2"/>
  <c r="BG31" i="2" s="1"/>
  <c r="BI31" i="2" s="1"/>
  <c r="BA31" i="2"/>
  <c r="BB31" i="2" s="1"/>
  <c r="BD31" i="2" s="1"/>
  <c r="AW31" i="2"/>
  <c r="AY31" i="2" s="1"/>
  <c r="AV31" i="2"/>
  <c r="AQ31" i="2"/>
  <c r="AR31" i="2" s="1"/>
  <c r="AT31" i="2" s="1"/>
  <c r="AL31" i="2"/>
  <c r="AM31" i="2" s="1"/>
  <c r="AO31" i="2" s="1"/>
  <c r="AG31" i="2"/>
  <c r="AH31" i="2" s="1"/>
  <c r="AJ31" i="2" s="1"/>
  <c r="AB31" i="2"/>
  <c r="AC31" i="2" s="1"/>
  <c r="AE31" i="2" s="1"/>
  <c r="W31" i="2"/>
  <c r="X31" i="2" s="1"/>
  <c r="Z31" i="2" s="1"/>
  <c r="R31" i="2"/>
  <c r="S31" i="2" s="1"/>
  <c r="U31" i="2" s="1"/>
  <c r="M31" i="2"/>
  <c r="N31" i="2" s="1"/>
  <c r="P31" i="2" s="1"/>
  <c r="H31" i="2"/>
  <c r="I31" i="2" s="1"/>
  <c r="K31" i="2" s="1"/>
  <c r="BP30" i="2"/>
  <c r="BQ30" i="2" s="1"/>
  <c r="BS30" i="2" s="1"/>
  <c r="BK30" i="2"/>
  <c r="BL30" i="2" s="1"/>
  <c r="BN30" i="2" s="1"/>
  <c r="BG30" i="2"/>
  <c r="BI30" i="2" s="1"/>
  <c r="BF30" i="2"/>
  <c r="BA30" i="2"/>
  <c r="BB30" i="2" s="1"/>
  <c r="BD30" i="2" s="1"/>
  <c r="AW30" i="2"/>
  <c r="AY30" i="2" s="1"/>
  <c r="AV30" i="2"/>
  <c r="AQ30" i="2"/>
  <c r="AR30" i="2" s="1"/>
  <c r="AT30" i="2" s="1"/>
  <c r="AL30" i="2"/>
  <c r="AM30" i="2" s="1"/>
  <c r="AO30" i="2" s="1"/>
  <c r="AG30" i="2"/>
  <c r="AH30" i="2" s="1"/>
  <c r="AJ30" i="2" s="1"/>
  <c r="AB30" i="2"/>
  <c r="AC30" i="2" s="1"/>
  <c r="AE30" i="2" s="1"/>
  <c r="W30" i="2"/>
  <c r="X30" i="2" s="1"/>
  <c r="Z30" i="2" s="1"/>
  <c r="R30" i="2"/>
  <c r="S30" i="2" s="1"/>
  <c r="U30" i="2" s="1"/>
  <c r="M30" i="2"/>
  <c r="N30" i="2" s="1"/>
  <c r="P30" i="2" s="1"/>
  <c r="I30" i="2"/>
  <c r="K30" i="2" s="1"/>
  <c r="H30" i="2"/>
  <c r="BP29" i="2"/>
  <c r="BQ29" i="2" s="1"/>
  <c r="BS29" i="2" s="1"/>
  <c r="BK29" i="2"/>
  <c r="BL29" i="2" s="1"/>
  <c r="BN29" i="2" s="1"/>
  <c r="BF29" i="2"/>
  <c r="BG29" i="2" s="1"/>
  <c r="BI29" i="2" s="1"/>
  <c r="BA29" i="2"/>
  <c r="BB29" i="2" s="1"/>
  <c r="BD29" i="2" s="1"/>
  <c r="AV29" i="2"/>
  <c r="AW29" i="2" s="1"/>
  <c r="AY29" i="2" s="1"/>
  <c r="AR29" i="2"/>
  <c r="AT29" i="2" s="1"/>
  <c r="AQ29" i="2"/>
  <c r="AM29" i="2"/>
  <c r="AO29" i="2" s="1"/>
  <c r="AL29" i="2"/>
  <c r="AH29" i="2"/>
  <c r="AJ29" i="2" s="1"/>
  <c r="AG29" i="2"/>
  <c r="AB29" i="2"/>
  <c r="AC29" i="2" s="1"/>
  <c r="AE29" i="2" s="1"/>
  <c r="W29" i="2"/>
  <c r="X29" i="2" s="1"/>
  <c r="Z29" i="2" s="1"/>
  <c r="R29" i="2"/>
  <c r="S29" i="2" s="1"/>
  <c r="U29" i="2" s="1"/>
  <c r="M29" i="2"/>
  <c r="N29" i="2" s="1"/>
  <c r="P29" i="2" s="1"/>
  <c r="I29" i="2"/>
  <c r="K29" i="2" s="1"/>
  <c r="H29" i="2"/>
  <c r="BQ28" i="2"/>
  <c r="BS28" i="2" s="1"/>
  <c r="BP28" i="2"/>
  <c r="BK28" i="2"/>
  <c r="BL28" i="2" s="1"/>
  <c r="BN28" i="2" s="1"/>
  <c r="BF28" i="2"/>
  <c r="BG28" i="2" s="1"/>
  <c r="BI28" i="2" s="1"/>
  <c r="BA28" i="2"/>
  <c r="BB28" i="2" s="1"/>
  <c r="BD28" i="2" s="1"/>
  <c r="AW28" i="2"/>
  <c r="AY28" i="2" s="1"/>
  <c r="AV28" i="2"/>
  <c r="AR28" i="2"/>
  <c r="AT28" i="2" s="1"/>
  <c r="AQ28" i="2"/>
  <c r="AL28" i="2"/>
  <c r="AM28" i="2" s="1"/>
  <c r="AO28" i="2" s="1"/>
  <c r="AG28" i="2"/>
  <c r="AH28" i="2" s="1"/>
  <c r="AJ28" i="2" s="1"/>
  <c r="AB28" i="2"/>
  <c r="AC28" i="2" s="1"/>
  <c r="AE28" i="2" s="1"/>
  <c r="W28" i="2"/>
  <c r="X28" i="2" s="1"/>
  <c r="Z28" i="2" s="1"/>
  <c r="S28" i="2"/>
  <c r="U28" i="2" s="1"/>
  <c r="R28" i="2"/>
  <c r="N28" i="2"/>
  <c r="P28" i="2" s="1"/>
  <c r="M28" i="2"/>
  <c r="H28" i="2"/>
  <c r="I28" i="2" s="1"/>
  <c r="K28" i="2" s="1"/>
  <c r="BQ27" i="2"/>
  <c r="BS27" i="2" s="1"/>
  <c r="BP27" i="2"/>
  <c r="BL27" i="2"/>
  <c r="BN27" i="2" s="1"/>
  <c r="BK27" i="2"/>
  <c r="BF27" i="2"/>
  <c r="BG27" i="2" s="1"/>
  <c r="BI27" i="2" s="1"/>
  <c r="BA27" i="2"/>
  <c r="BB27" i="2" s="1"/>
  <c r="BD27" i="2" s="1"/>
  <c r="AW27" i="2"/>
  <c r="AY27" i="2" s="1"/>
  <c r="AV27" i="2"/>
  <c r="AQ27" i="2"/>
  <c r="AR27" i="2" s="1"/>
  <c r="AT27" i="2" s="1"/>
  <c r="AL27" i="2"/>
  <c r="AM27" i="2" s="1"/>
  <c r="AO27" i="2" s="1"/>
  <c r="AG27" i="2"/>
  <c r="AH27" i="2" s="1"/>
  <c r="AJ27" i="2" s="1"/>
  <c r="AB27" i="2"/>
  <c r="AC27" i="2" s="1"/>
  <c r="AE27" i="2" s="1"/>
  <c r="W27" i="2"/>
  <c r="X27" i="2" s="1"/>
  <c r="Z27" i="2" s="1"/>
  <c r="R27" i="2"/>
  <c r="S27" i="2" s="1"/>
  <c r="U27" i="2" s="1"/>
  <c r="M27" i="2"/>
  <c r="N27" i="2" s="1"/>
  <c r="P27" i="2" s="1"/>
  <c r="H27" i="2"/>
  <c r="I27" i="2" s="1"/>
  <c r="K27" i="2" s="1"/>
  <c r="BP26" i="2"/>
  <c r="BQ26" i="2" s="1"/>
  <c r="BS26" i="2" s="1"/>
  <c r="BK26" i="2"/>
  <c r="BL26" i="2" s="1"/>
  <c r="BN26" i="2" s="1"/>
  <c r="BF26" i="2"/>
  <c r="BG26" i="2" s="1"/>
  <c r="BI26" i="2" s="1"/>
  <c r="BA26" i="2"/>
  <c r="BB26" i="2" s="1"/>
  <c r="BD26" i="2" s="1"/>
  <c r="AV26" i="2"/>
  <c r="AW26" i="2" s="1"/>
  <c r="AY26" i="2" s="1"/>
  <c r="AQ26" i="2"/>
  <c r="AR26" i="2" s="1"/>
  <c r="AT26" i="2" s="1"/>
  <c r="AL26" i="2"/>
  <c r="AM26" i="2" s="1"/>
  <c r="AO26" i="2" s="1"/>
  <c r="AG26" i="2"/>
  <c r="AH26" i="2" s="1"/>
  <c r="AJ26" i="2" s="1"/>
  <c r="AB26" i="2"/>
  <c r="AC26" i="2" s="1"/>
  <c r="AE26" i="2" s="1"/>
  <c r="W26" i="2"/>
  <c r="X26" i="2" s="1"/>
  <c r="Z26" i="2" s="1"/>
  <c r="R26" i="2"/>
  <c r="S26" i="2" s="1"/>
  <c r="U26" i="2" s="1"/>
  <c r="N26" i="2"/>
  <c r="P26" i="2" s="1"/>
  <c r="M26" i="2"/>
  <c r="H26" i="2"/>
  <c r="I26" i="2" s="1"/>
  <c r="K26" i="2" s="1"/>
  <c r="BS25" i="2"/>
  <c r="BP25" i="2"/>
  <c r="BQ25" i="2" s="1"/>
  <c r="BL25" i="2"/>
  <c r="BN25" i="2" s="1"/>
  <c r="BK25" i="2"/>
  <c r="BF25" i="2"/>
  <c r="BG25" i="2" s="1"/>
  <c r="BI25" i="2" s="1"/>
  <c r="BB25" i="2"/>
  <c r="BD25" i="2" s="1"/>
  <c r="BA25" i="2"/>
  <c r="AW25" i="2"/>
  <c r="AY25" i="2" s="1"/>
  <c r="AV25" i="2"/>
  <c r="AQ25" i="2"/>
  <c r="AR25" i="2" s="1"/>
  <c r="AT25" i="2" s="1"/>
  <c r="AL25" i="2"/>
  <c r="AM25" i="2" s="1"/>
  <c r="AO25" i="2" s="1"/>
  <c r="AH25" i="2"/>
  <c r="AJ25" i="2" s="1"/>
  <c r="AG25" i="2"/>
  <c r="AB25" i="2"/>
  <c r="AC25" i="2" s="1"/>
  <c r="AE25" i="2" s="1"/>
  <c r="W25" i="2"/>
  <c r="X25" i="2" s="1"/>
  <c r="Z25" i="2" s="1"/>
  <c r="R25" i="2"/>
  <c r="S25" i="2" s="1"/>
  <c r="U25" i="2" s="1"/>
  <c r="M25" i="2"/>
  <c r="N25" i="2" s="1"/>
  <c r="P25" i="2" s="1"/>
  <c r="H25" i="2"/>
  <c r="I25" i="2" s="1"/>
  <c r="K25" i="2" s="1"/>
  <c r="BQ24" i="2"/>
  <c r="BS24" i="2" s="1"/>
  <c r="BP24" i="2"/>
  <c r="BL24" i="2"/>
  <c r="BN24" i="2" s="1"/>
  <c r="BK24" i="2"/>
  <c r="BG24" i="2"/>
  <c r="BI24" i="2" s="1"/>
  <c r="BF24" i="2"/>
  <c r="BA24" i="2"/>
  <c r="BB24" i="2" s="1"/>
  <c r="BD24" i="2" s="1"/>
  <c r="AV24" i="2"/>
  <c r="AW24" i="2" s="1"/>
  <c r="AY24" i="2" s="1"/>
  <c r="AQ24" i="2"/>
  <c r="AR24" i="2" s="1"/>
  <c r="AT24" i="2" s="1"/>
  <c r="AM24" i="2"/>
  <c r="AO24" i="2" s="1"/>
  <c r="AL24" i="2"/>
  <c r="AH24" i="2"/>
  <c r="AJ24" i="2" s="1"/>
  <c r="AG24" i="2"/>
  <c r="AB24" i="2"/>
  <c r="AC24" i="2" s="1"/>
  <c r="AE24" i="2" s="1"/>
  <c r="X24" i="2"/>
  <c r="Z24" i="2" s="1"/>
  <c r="W24" i="2"/>
  <c r="R24" i="2"/>
  <c r="S24" i="2" s="1"/>
  <c r="U24" i="2" s="1"/>
  <c r="M24" i="2"/>
  <c r="N24" i="2" s="1"/>
  <c r="P24" i="2" s="1"/>
  <c r="I24" i="2"/>
  <c r="K24" i="2" s="1"/>
  <c r="H24" i="2"/>
  <c r="BP23" i="2"/>
  <c r="BQ23" i="2" s="1"/>
  <c r="BS23" i="2" s="1"/>
  <c r="BK23" i="2"/>
  <c r="BL23" i="2" s="1"/>
  <c r="BN23" i="2" s="1"/>
  <c r="BF23" i="2"/>
  <c r="BG23" i="2" s="1"/>
  <c r="BI23" i="2" s="1"/>
  <c r="BA23" i="2"/>
  <c r="BB23" i="2" s="1"/>
  <c r="BD23" i="2" s="1"/>
  <c r="AV23" i="2"/>
  <c r="AW23" i="2" s="1"/>
  <c r="AY23" i="2" s="1"/>
  <c r="AR23" i="2"/>
  <c r="AT23" i="2" s="1"/>
  <c r="AQ23" i="2"/>
  <c r="AM23" i="2"/>
  <c r="AO23" i="2" s="1"/>
  <c r="AL23" i="2"/>
  <c r="AH23" i="2"/>
  <c r="AJ23" i="2" s="1"/>
  <c r="AG23" i="2"/>
  <c r="AB23" i="2"/>
  <c r="AC23" i="2" s="1"/>
  <c r="AE23" i="2" s="1"/>
  <c r="W23" i="2"/>
  <c r="X23" i="2" s="1"/>
  <c r="Z23" i="2" s="1"/>
  <c r="R23" i="2"/>
  <c r="S23" i="2" s="1"/>
  <c r="U23" i="2" s="1"/>
  <c r="M23" i="2"/>
  <c r="N23" i="2" s="1"/>
  <c r="P23" i="2" s="1"/>
  <c r="H23" i="2"/>
  <c r="I23" i="2" s="1"/>
  <c r="K23" i="2" s="1"/>
  <c r="BP22" i="2"/>
  <c r="BQ22" i="2" s="1"/>
  <c r="BS22" i="2" s="1"/>
  <c r="BK22" i="2"/>
  <c r="BL22" i="2" s="1"/>
  <c r="BN22" i="2" s="1"/>
  <c r="BF22" i="2"/>
  <c r="BG22" i="2" s="1"/>
  <c r="BI22" i="2" s="1"/>
  <c r="BD22" i="2"/>
  <c r="BA22" i="2"/>
  <c r="BB22" i="2" s="1"/>
  <c r="AW22" i="2"/>
  <c r="AY22" i="2" s="1"/>
  <c r="AV22" i="2"/>
  <c r="AQ22" i="2"/>
  <c r="AR22" i="2" s="1"/>
  <c r="AT22" i="2" s="1"/>
  <c r="AL22" i="2"/>
  <c r="AM22" i="2" s="1"/>
  <c r="AO22" i="2" s="1"/>
  <c r="AG22" i="2"/>
  <c r="AH22" i="2" s="1"/>
  <c r="AJ22" i="2" s="1"/>
  <c r="AB22" i="2"/>
  <c r="AC22" i="2" s="1"/>
  <c r="AE22" i="2" s="1"/>
  <c r="W22" i="2"/>
  <c r="X22" i="2" s="1"/>
  <c r="Z22" i="2" s="1"/>
  <c r="R22" i="2"/>
  <c r="S22" i="2" s="1"/>
  <c r="U22" i="2" s="1"/>
  <c r="M22" i="2"/>
  <c r="N22" i="2" s="1"/>
  <c r="P22" i="2" s="1"/>
  <c r="H22" i="2"/>
  <c r="I22" i="2" s="1"/>
  <c r="K22" i="2" s="1"/>
  <c r="BP21" i="2"/>
  <c r="BQ21" i="2" s="1"/>
  <c r="BS21" i="2" s="1"/>
  <c r="BK21" i="2"/>
  <c r="BL21" i="2" s="1"/>
  <c r="BN21" i="2" s="1"/>
  <c r="BF21" i="2"/>
  <c r="BG21" i="2" s="1"/>
  <c r="BI21" i="2" s="1"/>
  <c r="BA21" i="2"/>
  <c r="BB21" i="2" s="1"/>
  <c r="BD21" i="2" s="1"/>
  <c r="AV21" i="2"/>
  <c r="AW21" i="2" s="1"/>
  <c r="AY21" i="2" s="1"/>
  <c r="AR21" i="2"/>
  <c r="AT21" i="2" s="1"/>
  <c r="AQ21" i="2"/>
  <c r="AM21" i="2"/>
  <c r="AO21" i="2" s="1"/>
  <c r="AL21" i="2"/>
  <c r="AG21" i="2"/>
  <c r="AH21" i="2" s="1"/>
  <c r="AJ21" i="2" s="1"/>
  <c r="AB21" i="2"/>
  <c r="AC21" i="2" s="1"/>
  <c r="AE21" i="2" s="1"/>
  <c r="X21" i="2"/>
  <c r="Z21" i="2" s="1"/>
  <c r="W21" i="2"/>
  <c r="S21" i="2"/>
  <c r="U21" i="2" s="1"/>
  <c r="R21" i="2"/>
  <c r="N21" i="2"/>
  <c r="P21" i="2" s="1"/>
  <c r="M21" i="2"/>
  <c r="H21" i="2"/>
  <c r="I21" i="2" s="1"/>
  <c r="K21" i="2" s="1"/>
  <c r="BP20" i="2"/>
  <c r="BQ20" i="2" s="1"/>
  <c r="BS20" i="2" s="1"/>
  <c r="BK20" i="2"/>
  <c r="BL20" i="2" s="1"/>
  <c r="BN20" i="2" s="1"/>
  <c r="BG20" i="2"/>
  <c r="BI20" i="2" s="1"/>
  <c r="BF20" i="2"/>
  <c r="BB20" i="2"/>
  <c r="BD20" i="2" s="1"/>
  <c r="BA20" i="2"/>
  <c r="AV20" i="2"/>
  <c r="AW20" i="2" s="1"/>
  <c r="AY20" i="2" s="1"/>
  <c r="AR20" i="2"/>
  <c r="AT20" i="2" s="1"/>
  <c r="AQ20" i="2"/>
  <c r="AL20" i="2"/>
  <c r="AM20" i="2" s="1"/>
  <c r="AO20" i="2" s="1"/>
  <c r="AG20" i="2"/>
  <c r="AH20" i="2" s="1"/>
  <c r="AJ20" i="2" s="1"/>
  <c r="AC20" i="2"/>
  <c r="AE20" i="2" s="1"/>
  <c r="AB20" i="2"/>
  <c r="W20" i="2"/>
  <c r="X20" i="2" s="1"/>
  <c r="Z20" i="2" s="1"/>
  <c r="R20" i="2"/>
  <c r="S20" i="2" s="1"/>
  <c r="U20" i="2" s="1"/>
  <c r="M20" i="2"/>
  <c r="N20" i="2" s="1"/>
  <c r="P20" i="2" s="1"/>
  <c r="I20" i="2"/>
  <c r="K20" i="2" s="1"/>
  <c r="H20" i="2"/>
  <c r="BP19" i="2"/>
  <c r="BQ19" i="2" s="1"/>
  <c r="BS19" i="2" s="1"/>
  <c r="BK19" i="2"/>
  <c r="BL19" i="2" s="1"/>
  <c r="BN19" i="2" s="1"/>
  <c r="BF19" i="2"/>
  <c r="BG19" i="2" s="1"/>
  <c r="BI19" i="2" s="1"/>
  <c r="BA19" i="2"/>
  <c r="BB19" i="2" s="1"/>
  <c r="BD19" i="2" s="1"/>
  <c r="AV19" i="2"/>
  <c r="AW19" i="2" s="1"/>
  <c r="AY19" i="2" s="1"/>
  <c r="AQ19" i="2"/>
  <c r="AR19" i="2" s="1"/>
  <c r="AT19" i="2" s="1"/>
  <c r="AL19" i="2"/>
  <c r="AM19" i="2" s="1"/>
  <c r="AO19" i="2" s="1"/>
  <c r="AG19" i="2"/>
  <c r="AH19" i="2" s="1"/>
  <c r="AJ19" i="2" s="1"/>
  <c r="AB19" i="2"/>
  <c r="AC19" i="2" s="1"/>
  <c r="AE19" i="2" s="1"/>
  <c r="X19" i="2"/>
  <c r="Z19" i="2" s="1"/>
  <c r="W19" i="2"/>
  <c r="S19" i="2"/>
  <c r="U19" i="2" s="1"/>
  <c r="R19" i="2"/>
  <c r="M19" i="2"/>
  <c r="N19" i="2" s="1"/>
  <c r="P19" i="2" s="1"/>
  <c r="K19" i="2"/>
  <c r="H19" i="2"/>
  <c r="I19" i="2" s="1"/>
  <c r="BQ18" i="2"/>
  <c r="BS18" i="2" s="1"/>
  <c r="BP18" i="2"/>
  <c r="BL18" i="2"/>
  <c r="BN18" i="2" s="1"/>
  <c r="BK18" i="2"/>
  <c r="BF18" i="2"/>
  <c r="BG18" i="2" s="1"/>
  <c r="BI18" i="2" s="1"/>
  <c r="BA18" i="2"/>
  <c r="BB18" i="2" s="1"/>
  <c r="BD18" i="2" s="1"/>
  <c r="AV18" i="2"/>
  <c r="AW18" i="2" s="1"/>
  <c r="AY18" i="2" s="1"/>
  <c r="AQ18" i="2"/>
  <c r="AR18" i="2" s="1"/>
  <c r="AT18" i="2" s="1"/>
  <c r="AM18" i="2"/>
  <c r="AO18" i="2" s="1"/>
  <c r="AL18" i="2"/>
  <c r="AH18" i="2"/>
  <c r="AJ18" i="2" s="1"/>
  <c r="AG18" i="2"/>
  <c r="AB18" i="2"/>
  <c r="AC18" i="2" s="1"/>
  <c r="AE18" i="2" s="1"/>
  <c r="X18" i="2"/>
  <c r="Z18" i="2" s="1"/>
  <c r="W18" i="2"/>
  <c r="R18" i="2"/>
  <c r="S18" i="2" s="1"/>
  <c r="U18" i="2" s="1"/>
  <c r="M18" i="2"/>
  <c r="N18" i="2" s="1"/>
  <c r="P18" i="2" s="1"/>
  <c r="I18" i="2"/>
  <c r="K18" i="2" s="1"/>
  <c r="H18" i="2"/>
  <c r="BP17" i="2"/>
  <c r="BQ17" i="2" s="1"/>
  <c r="BS17" i="2" s="1"/>
  <c r="BK17" i="2"/>
  <c r="BL17" i="2" s="1"/>
  <c r="BN17" i="2" s="1"/>
  <c r="BF17" i="2"/>
  <c r="BG17" i="2" s="1"/>
  <c r="BI17" i="2" s="1"/>
  <c r="BA17" i="2"/>
  <c r="BB17" i="2" s="1"/>
  <c r="BD17" i="2" s="1"/>
  <c r="AV17" i="2"/>
  <c r="AW17" i="2" s="1"/>
  <c r="AY17" i="2" s="1"/>
  <c r="AQ17" i="2"/>
  <c r="AR17" i="2" s="1"/>
  <c r="AT17" i="2" s="1"/>
  <c r="AL17" i="2"/>
  <c r="AM17" i="2" s="1"/>
  <c r="AO17" i="2" s="1"/>
  <c r="AG17" i="2"/>
  <c r="AH17" i="2" s="1"/>
  <c r="AJ17" i="2" s="1"/>
  <c r="AB17" i="2"/>
  <c r="AC17" i="2" s="1"/>
  <c r="AE17" i="2" s="1"/>
  <c r="W17" i="2"/>
  <c r="X17" i="2" s="1"/>
  <c r="Z17" i="2" s="1"/>
  <c r="R17" i="2"/>
  <c r="S17" i="2" s="1"/>
  <c r="U17" i="2" s="1"/>
  <c r="M17" i="2"/>
  <c r="N17" i="2" s="1"/>
  <c r="P17" i="2" s="1"/>
  <c r="H17" i="2"/>
  <c r="I17" i="2" s="1"/>
  <c r="K17" i="2" s="1"/>
  <c r="BP16" i="2"/>
  <c r="BQ16" i="2" s="1"/>
  <c r="BS16" i="2" s="1"/>
  <c r="BK16" i="2"/>
  <c r="BL16" i="2" s="1"/>
  <c r="BN16" i="2" s="1"/>
  <c r="BF16" i="2"/>
  <c r="BG16" i="2" s="1"/>
  <c r="BI16" i="2" s="1"/>
  <c r="BA16" i="2"/>
  <c r="BB16" i="2" s="1"/>
  <c r="BD16" i="2" s="1"/>
  <c r="AV16" i="2"/>
  <c r="AW16" i="2" s="1"/>
  <c r="AY16" i="2" s="1"/>
  <c r="AQ16" i="2"/>
  <c r="AR16" i="2" s="1"/>
  <c r="AT16" i="2" s="1"/>
  <c r="AM16" i="2"/>
  <c r="AO16" i="2" s="1"/>
  <c r="AL16" i="2"/>
  <c r="AG16" i="2"/>
  <c r="AH16" i="2" s="1"/>
  <c r="AJ16" i="2" s="1"/>
  <c r="AB16" i="2"/>
  <c r="AC16" i="2" s="1"/>
  <c r="AE16" i="2" s="1"/>
  <c r="Z16" i="2"/>
  <c r="W16" i="2"/>
  <c r="X16" i="2" s="1"/>
  <c r="S16" i="2"/>
  <c r="U16" i="2" s="1"/>
  <c r="R16" i="2"/>
  <c r="M16" i="2"/>
  <c r="N16" i="2" s="1"/>
  <c r="P16" i="2" s="1"/>
  <c r="I16" i="2"/>
  <c r="K16" i="2" s="1"/>
  <c r="H16" i="2"/>
  <c r="BP15" i="2"/>
  <c r="BQ15" i="2" s="1"/>
  <c r="BS15" i="2" s="1"/>
  <c r="BL15" i="2"/>
  <c r="BN15" i="2" s="1"/>
  <c r="BK15" i="2"/>
  <c r="BF15" i="2"/>
  <c r="BG15" i="2" s="1"/>
  <c r="BI15" i="2" s="1"/>
  <c r="BB15" i="2"/>
  <c r="BD15" i="2" s="1"/>
  <c r="BA15" i="2"/>
  <c r="AV15" i="2"/>
  <c r="AW15" i="2" s="1"/>
  <c r="AY15" i="2" s="1"/>
  <c r="AQ15" i="2"/>
  <c r="AR15" i="2" s="1"/>
  <c r="AT15" i="2" s="1"/>
  <c r="AL15" i="2"/>
  <c r="AM15" i="2" s="1"/>
  <c r="AO15" i="2" s="1"/>
  <c r="AG15" i="2"/>
  <c r="AH15" i="2" s="1"/>
  <c r="AJ15" i="2" s="1"/>
  <c r="AE15" i="2"/>
  <c r="AB15" i="2"/>
  <c r="AC15" i="2" s="1"/>
  <c r="W15" i="2"/>
  <c r="X15" i="2" s="1"/>
  <c r="Z15" i="2" s="1"/>
  <c r="R15" i="2"/>
  <c r="S15" i="2" s="1"/>
  <c r="U15" i="2" s="1"/>
  <c r="N15" i="2"/>
  <c r="P15" i="2" s="1"/>
  <c r="M15" i="2"/>
  <c r="H15" i="2"/>
  <c r="I15" i="2" s="1"/>
  <c r="K15" i="2" s="1"/>
  <c r="BP14" i="2"/>
  <c r="BQ14" i="2" s="1"/>
  <c r="BS14" i="2" s="1"/>
  <c r="BK14" i="2"/>
  <c r="BL14" i="2" s="1"/>
  <c r="BN14" i="2" s="1"/>
  <c r="BG14" i="2"/>
  <c r="BI14" i="2" s="1"/>
  <c r="BF14" i="2"/>
  <c r="BA14" i="2"/>
  <c r="BB14" i="2" s="1"/>
  <c r="BD14" i="2" s="1"/>
  <c r="AW14" i="2"/>
  <c r="AY14" i="2" s="1"/>
  <c r="AV14" i="2"/>
  <c r="AQ14" i="2"/>
  <c r="AR14" i="2" s="1"/>
  <c r="AT14" i="2" s="1"/>
  <c r="AM14" i="2"/>
  <c r="AO14" i="2" s="1"/>
  <c r="AL14" i="2"/>
  <c r="AG14" i="2"/>
  <c r="AH14" i="2" s="1"/>
  <c r="AJ14" i="2" s="1"/>
  <c r="AC14" i="2"/>
  <c r="AE14" i="2" s="1"/>
  <c r="AB14" i="2"/>
  <c r="W14" i="2"/>
  <c r="X14" i="2" s="1"/>
  <c r="Z14" i="2" s="1"/>
  <c r="R14" i="2"/>
  <c r="S14" i="2" s="1"/>
  <c r="U14" i="2" s="1"/>
  <c r="M14" i="2"/>
  <c r="N14" i="2" s="1"/>
  <c r="P14" i="2" s="1"/>
  <c r="H14" i="2"/>
  <c r="I14" i="2" s="1"/>
  <c r="K14" i="2" s="1"/>
  <c r="BP13" i="2"/>
  <c r="BQ13" i="2" s="1"/>
  <c r="BS13" i="2" s="1"/>
  <c r="BL13" i="2"/>
  <c r="BN13" i="2" s="1"/>
  <c r="BK13" i="2"/>
  <c r="BF13" i="2"/>
  <c r="BG13" i="2" s="1"/>
  <c r="BI13" i="2" s="1"/>
  <c r="BB13" i="2"/>
  <c r="BD13" i="2" s="1"/>
  <c r="BA13" i="2"/>
  <c r="AV13" i="2"/>
  <c r="AW13" i="2" s="1"/>
  <c r="AY13" i="2" s="1"/>
  <c r="AQ13" i="2"/>
  <c r="AR13" i="2" s="1"/>
  <c r="AT13" i="2" s="1"/>
  <c r="AL13" i="2"/>
  <c r="AM13" i="2" s="1"/>
  <c r="AO13" i="2" s="1"/>
  <c r="AG13" i="2"/>
  <c r="AH13" i="2" s="1"/>
  <c r="AJ13" i="2" s="1"/>
  <c r="AB13" i="2"/>
  <c r="AC13" i="2" s="1"/>
  <c r="AE13" i="2" s="1"/>
  <c r="W13" i="2"/>
  <c r="X13" i="2" s="1"/>
  <c r="Z13" i="2" s="1"/>
  <c r="R13" i="2"/>
  <c r="S13" i="2" s="1"/>
  <c r="U13" i="2" s="1"/>
  <c r="M13" i="2"/>
  <c r="N13" i="2" s="1"/>
  <c r="P13" i="2" s="1"/>
  <c r="K13" i="2"/>
  <c r="H13" i="2"/>
  <c r="I13" i="2" s="1"/>
  <c r="BQ12" i="2"/>
  <c r="BS12" i="2" s="1"/>
  <c r="BP12" i="2"/>
  <c r="BK12" i="2"/>
  <c r="BL12" i="2" s="1"/>
  <c r="BN12" i="2" s="1"/>
  <c r="BF12" i="2"/>
  <c r="BG12" i="2" s="1"/>
  <c r="BI12" i="2" s="1"/>
  <c r="BA12" i="2"/>
  <c r="BB12" i="2" s="1"/>
  <c r="BD12" i="2" s="1"/>
  <c r="AV12" i="2"/>
  <c r="AW12" i="2" s="1"/>
  <c r="AY12" i="2" s="1"/>
  <c r="AQ12" i="2"/>
  <c r="AR12" i="2" s="1"/>
  <c r="AT12" i="2" s="1"/>
  <c r="AL12" i="2"/>
  <c r="AM12" i="2" s="1"/>
  <c r="AO12" i="2" s="1"/>
  <c r="AG12" i="2"/>
  <c r="AH12" i="2" s="1"/>
  <c r="AJ12" i="2" s="1"/>
  <c r="AB12" i="2"/>
  <c r="AC12" i="2" s="1"/>
  <c r="AE12" i="2" s="1"/>
  <c r="W12" i="2"/>
  <c r="X12" i="2" s="1"/>
  <c r="Z12" i="2" s="1"/>
  <c r="R12" i="2"/>
  <c r="S12" i="2" s="1"/>
  <c r="U12" i="2" s="1"/>
  <c r="M12" i="2"/>
  <c r="N12" i="2" s="1"/>
  <c r="P12" i="2" s="1"/>
  <c r="H12" i="2"/>
  <c r="I12" i="2" s="1"/>
  <c r="K12" i="2" s="1"/>
  <c r="BQ11" i="2"/>
  <c r="BS11" i="2" s="1"/>
  <c r="BP11" i="2"/>
  <c r="BL11" i="2"/>
  <c r="BN11" i="2" s="1"/>
  <c r="BK11" i="2"/>
  <c r="BF11" i="2"/>
  <c r="BG11" i="2" s="1"/>
  <c r="BI11" i="2" s="1"/>
  <c r="BB11" i="2"/>
  <c r="BD11" i="2" s="1"/>
  <c r="BA11" i="2"/>
  <c r="AV11" i="2"/>
  <c r="AW11" i="2" s="1"/>
  <c r="AY11" i="2" s="1"/>
  <c r="AQ11" i="2"/>
  <c r="AR11" i="2" s="1"/>
  <c r="AT11" i="2" s="1"/>
  <c r="AL11" i="2"/>
  <c r="AM11" i="2" s="1"/>
  <c r="AO11" i="2" s="1"/>
  <c r="AH11" i="2"/>
  <c r="AJ11" i="2" s="1"/>
  <c r="AG11" i="2"/>
  <c r="AB11" i="2"/>
  <c r="AC11" i="2" s="1"/>
  <c r="AE11" i="2" s="1"/>
  <c r="X11" i="2"/>
  <c r="Z11" i="2" s="1"/>
  <c r="W11" i="2"/>
  <c r="U11" i="2"/>
  <c r="R11" i="2"/>
  <c r="S11" i="2" s="1"/>
  <c r="M11" i="2"/>
  <c r="N11" i="2" s="1"/>
  <c r="P11" i="2" s="1"/>
  <c r="H11" i="2"/>
  <c r="I11" i="2" s="1"/>
  <c r="K11" i="2" s="1"/>
  <c r="BP10" i="2"/>
  <c r="BQ10" i="2" s="1"/>
  <c r="BS10" i="2" s="1"/>
  <c r="BK10" i="2"/>
  <c r="BL10" i="2" s="1"/>
  <c r="BN10" i="2" s="1"/>
  <c r="BF10" i="2"/>
  <c r="BG10" i="2" s="1"/>
  <c r="BI10" i="2" s="1"/>
  <c r="BA10" i="2"/>
  <c r="BB10" i="2" s="1"/>
  <c r="BD10" i="2" s="1"/>
  <c r="AV10" i="2"/>
  <c r="AW10" i="2" s="1"/>
  <c r="AY10" i="2" s="1"/>
  <c r="AR10" i="2"/>
  <c r="AT10" i="2" s="1"/>
  <c r="AQ10" i="2"/>
  <c r="AM10" i="2"/>
  <c r="AO10" i="2" s="1"/>
  <c r="AL10" i="2"/>
  <c r="AG10" i="2"/>
  <c r="AH10" i="2" s="1"/>
  <c r="AJ10" i="2" s="1"/>
  <c r="AC10" i="2"/>
  <c r="AE10" i="2" s="1"/>
  <c r="AB10" i="2"/>
  <c r="W10" i="2"/>
  <c r="X10" i="2" s="1"/>
  <c r="Z10" i="2" s="1"/>
  <c r="R10" i="2"/>
  <c r="S10" i="2" s="1"/>
  <c r="U10" i="2" s="1"/>
  <c r="M10" i="2"/>
  <c r="N10" i="2" s="1"/>
  <c r="P10" i="2" s="1"/>
  <c r="I10" i="2"/>
  <c r="K10" i="2" s="1"/>
  <c r="H10" i="2"/>
  <c r="BP9" i="2"/>
  <c r="BQ9" i="2" s="1"/>
  <c r="BS9" i="2" s="1"/>
  <c r="BK9" i="2"/>
  <c r="BL9" i="2" s="1"/>
  <c r="BN9" i="2" s="1"/>
  <c r="BF9" i="2"/>
  <c r="BG9" i="2" s="1"/>
  <c r="BI9" i="2" s="1"/>
  <c r="BB9" i="2"/>
  <c r="BD9" i="2" s="1"/>
  <c r="BA9" i="2"/>
  <c r="AV9" i="2"/>
  <c r="AW9" i="2" s="1"/>
  <c r="AY9" i="2" s="1"/>
  <c r="AR9" i="2"/>
  <c r="AT9" i="2" s="1"/>
  <c r="AQ9" i="2"/>
  <c r="AL9" i="2"/>
  <c r="AM9" i="2" s="1"/>
  <c r="AO9" i="2" s="1"/>
  <c r="AG9" i="2"/>
  <c r="AH9" i="2" s="1"/>
  <c r="AJ9" i="2" s="1"/>
  <c r="AE9" i="2"/>
  <c r="AB9" i="2"/>
  <c r="AC9" i="2" s="1"/>
  <c r="W9" i="2"/>
  <c r="X9" i="2" s="1"/>
  <c r="Z9" i="2" s="1"/>
  <c r="R9" i="2"/>
  <c r="S9" i="2" s="1"/>
  <c r="U9" i="2" s="1"/>
  <c r="M9" i="2"/>
  <c r="N9" i="2" s="1"/>
  <c r="P9" i="2" s="1"/>
  <c r="H9" i="2"/>
  <c r="I9" i="2" s="1"/>
  <c r="K9" i="2" s="1"/>
  <c r="BP8" i="2"/>
  <c r="BQ8" i="2" s="1"/>
  <c r="BS8" i="2" s="1"/>
  <c r="BN8" i="2"/>
  <c r="BK8" i="2"/>
  <c r="BL8" i="2" s="1"/>
  <c r="BF8" i="2"/>
  <c r="BG8" i="2" s="1"/>
  <c r="BI8" i="2" s="1"/>
  <c r="BA8" i="2"/>
  <c r="BB8" i="2" s="1"/>
  <c r="BD8" i="2" s="1"/>
  <c r="AW8" i="2"/>
  <c r="AY8" i="2" s="1"/>
  <c r="AV8" i="2"/>
  <c r="AQ8" i="2"/>
  <c r="AR8" i="2" s="1"/>
  <c r="AT8" i="2" s="1"/>
  <c r="AL8" i="2"/>
  <c r="AM8" i="2" s="1"/>
  <c r="AO8" i="2" s="1"/>
  <c r="AG8" i="2"/>
  <c r="AH8" i="2" s="1"/>
  <c r="AJ8" i="2" s="1"/>
  <c r="AB8" i="2"/>
  <c r="AC8" i="2" s="1"/>
  <c r="AE8" i="2" s="1"/>
  <c r="W8" i="2"/>
  <c r="X8" i="2" s="1"/>
  <c r="Z8" i="2" s="1"/>
  <c r="R8" i="2"/>
  <c r="S8" i="2" s="1"/>
  <c r="U8" i="2" s="1"/>
  <c r="M8" i="2"/>
  <c r="N8" i="2" s="1"/>
  <c r="P8" i="2" s="1"/>
  <c r="H8" i="2"/>
  <c r="I8" i="2" s="1"/>
  <c r="K8" i="2" s="1"/>
  <c r="BS7" i="2"/>
  <c r="BP7" i="2"/>
  <c r="BQ7" i="2" s="1"/>
  <c r="BK7" i="2"/>
  <c r="BL7" i="2" s="1"/>
  <c r="BN7" i="2" s="1"/>
  <c r="BF7" i="2"/>
  <c r="BG7" i="2" s="1"/>
  <c r="BI7" i="2" s="1"/>
  <c r="BA7" i="2"/>
  <c r="BB7" i="2" s="1"/>
  <c r="BD7" i="2" s="1"/>
  <c r="AW7" i="2"/>
  <c r="AY7" i="2" s="1"/>
  <c r="AV7" i="2"/>
  <c r="AR7" i="2"/>
  <c r="AT7" i="2" s="1"/>
  <c r="AQ7" i="2"/>
  <c r="AL7" i="2"/>
  <c r="AM7" i="2" s="1"/>
  <c r="AO7" i="2" s="1"/>
  <c r="AG7" i="2"/>
  <c r="AH7" i="2" s="1"/>
  <c r="AJ7" i="2" s="1"/>
  <c r="AB7" i="2"/>
  <c r="AC7" i="2" s="1"/>
  <c r="AE7" i="2" s="1"/>
  <c r="W7" i="2"/>
  <c r="X7" i="2" s="1"/>
  <c r="Z7" i="2" s="1"/>
  <c r="R7" i="2"/>
  <c r="S7" i="2" s="1"/>
  <c r="U7" i="2" s="1"/>
  <c r="M7" i="2"/>
  <c r="N7" i="2" s="1"/>
  <c r="P7" i="2" s="1"/>
  <c r="H7" i="2"/>
  <c r="I7" i="2" s="1"/>
  <c r="K7" i="2" s="1"/>
  <c r="BP6" i="2"/>
  <c r="BQ6" i="2" s="1"/>
  <c r="BS6" i="2" s="1"/>
  <c r="BK6" i="2"/>
  <c r="BL6" i="2" s="1"/>
  <c r="BN6" i="2" s="1"/>
  <c r="BF6" i="2"/>
  <c r="BG6" i="2" s="1"/>
  <c r="BI6" i="2" s="1"/>
  <c r="BA6" i="2"/>
  <c r="BB6" i="2" s="1"/>
  <c r="BD6" i="2" s="1"/>
  <c r="AV6" i="2"/>
  <c r="AW6" i="2" s="1"/>
  <c r="AY6" i="2" s="1"/>
  <c r="AQ6" i="2"/>
  <c r="AR6" i="2" s="1"/>
  <c r="AT6" i="2" s="1"/>
  <c r="AL6" i="2"/>
  <c r="AM6" i="2" s="1"/>
  <c r="AO6" i="2" s="1"/>
  <c r="AG6" i="2"/>
  <c r="AH6" i="2" s="1"/>
  <c r="AJ6" i="2" s="1"/>
  <c r="AB6" i="2"/>
  <c r="AC6" i="2" s="1"/>
  <c r="AE6" i="2" s="1"/>
  <c r="X6" i="2"/>
  <c r="Z6" i="2" s="1"/>
  <c r="W6" i="2"/>
  <c r="S6" i="2"/>
  <c r="U6" i="2" s="1"/>
  <c r="R6" i="2"/>
  <c r="M6" i="2"/>
  <c r="N6" i="2" s="1"/>
  <c r="P6" i="2" s="1"/>
  <c r="H6" i="2"/>
  <c r="I6" i="2" s="1"/>
  <c r="K6" i="2" s="1"/>
  <c r="BP5" i="2"/>
  <c r="BQ5" i="2" s="1"/>
  <c r="BS5" i="2" s="1"/>
  <c r="BK5" i="2"/>
  <c r="BL5" i="2" s="1"/>
  <c r="BN5" i="2" s="1"/>
  <c r="BF5" i="2"/>
  <c r="BG5" i="2" s="1"/>
  <c r="BI5" i="2" s="1"/>
  <c r="BA5" i="2"/>
  <c r="BB5" i="2" s="1"/>
  <c r="BD5" i="2" s="1"/>
  <c r="AV5" i="2"/>
  <c r="AW5" i="2" s="1"/>
  <c r="AY5" i="2" s="1"/>
  <c r="AQ5" i="2"/>
  <c r="AR5" i="2" s="1"/>
  <c r="AT5" i="2" s="1"/>
  <c r="AM5" i="2"/>
  <c r="AO5" i="2" s="1"/>
  <c r="AL5" i="2"/>
  <c r="AH5" i="2"/>
  <c r="AJ5" i="2" s="1"/>
  <c r="AG5" i="2"/>
  <c r="AB5" i="2"/>
  <c r="AC5" i="2" s="1"/>
  <c r="AE5" i="2" s="1"/>
  <c r="W5" i="2"/>
  <c r="X5" i="2" s="1"/>
  <c r="Z5" i="2" s="1"/>
  <c r="R5" i="2"/>
  <c r="S5" i="2" s="1"/>
  <c r="U5" i="2" s="1"/>
  <c r="M5" i="2"/>
  <c r="N5" i="2" s="1"/>
  <c r="P5" i="2" s="1"/>
  <c r="I5" i="2"/>
  <c r="K5" i="2" s="1"/>
  <c r="H5" i="2"/>
  <c r="BP4" i="2"/>
  <c r="BQ4" i="2" s="1"/>
  <c r="BS4" i="2" s="1"/>
  <c r="BK4" i="2"/>
  <c r="BL4" i="2" s="1"/>
  <c r="BN4" i="2" s="1"/>
  <c r="BF4" i="2"/>
  <c r="BG4" i="2" s="1"/>
  <c r="BI4" i="2" s="1"/>
  <c r="BD4" i="2"/>
  <c r="BA4" i="2"/>
  <c r="BB4" i="2" s="1"/>
  <c r="AV4" i="2"/>
  <c r="AW4" i="2" s="1"/>
  <c r="AY4" i="2" s="1"/>
  <c r="AQ4" i="2"/>
  <c r="AR4" i="2" s="1"/>
  <c r="AT4" i="2" s="1"/>
  <c r="AL4" i="2"/>
  <c r="AM4" i="2" s="1"/>
  <c r="AO4" i="2" s="1"/>
  <c r="AG4" i="2"/>
  <c r="AH4" i="2" s="1"/>
  <c r="AJ4" i="2" s="1"/>
  <c r="AB4" i="2"/>
  <c r="AC4" i="2" s="1"/>
  <c r="AE4" i="2" s="1"/>
  <c r="Z4" i="2"/>
  <c r="W4" i="2"/>
  <c r="X4" i="2" s="1"/>
  <c r="R4" i="2"/>
  <c r="S4" i="2" s="1"/>
  <c r="U4" i="2" s="1"/>
  <c r="M4" i="2"/>
  <c r="N4" i="2" s="1"/>
  <c r="P4" i="2" s="1"/>
  <c r="H4" i="2"/>
  <c r="I4" i="2" s="1"/>
  <c r="K4" i="2" s="1"/>
  <c r="BP3" i="2"/>
  <c r="BQ3" i="2" s="1"/>
  <c r="BS3" i="2" s="1"/>
  <c r="BK3" i="2"/>
  <c r="BL3" i="2" s="1"/>
  <c r="BN3" i="2" s="1"/>
  <c r="BF3" i="2"/>
  <c r="BG3" i="2" s="1"/>
  <c r="BI3" i="2" s="1"/>
  <c r="BA3" i="2"/>
  <c r="BB3" i="2" s="1"/>
  <c r="BD3" i="2" s="1"/>
  <c r="AV3" i="2"/>
  <c r="AW3" i="2" s="1"/>
  <c r="AY3" i="2" s="1"/>
  <c r="AQ3" i="2"/>
  <c r="AR3" i="2" s="1"/>
  <c r="AT3" i="2" s="1"/>
  <c r="AL3" i="2"/>
  <c r="AM3" i="2" s="1"/>
  <c r="AO3" i="2" s="1"/>
  <c r="AG3" i="2"/>
  <c r="AH3" i="2" s="1"/>
  <c r="AJ3" i="2" s="1"/>
  <c r="AB3" i="2"/>
  <c r="AC3" i="2" s="1"/>
  <c r="AE3" i="2" s="1"/>
  <c r="W3" i="2"/>
  <c r="X3" i="2" s="1"/>
  <c r="Z3" i="2" s="1"/>
  <c r="R3" i="2"/>
  <c r="S3" i="2" s="1"/>
  <c r="U3" i="2" s="1"/>
  <c r="M3" i="2"/>
  <c r="N3" i="2" s="1"/>
  <c r="P3" i="2" s="1"/>
  <c r="H3" i="2"/>
  <c r="I3" i="2" s="1"/>
  <c r="K3" i="2" s="1"/>
  <c r="JU10" i="1" l="1"/>
  <c r="JV10" i="1" s="1"/>
  <c r="JU19" i="1"/>
  <c r="JV19" i="1" s="1"/>
  <c r="JU27" i="1"/>
  <c r="JW27" i="1" s="1"/>
  <c r="JU7" i="1"/>
  <c r="JW7" i="1" s="1"/>
  <c r="JU16" i="1"/>
  <c r="JU33" i="1"/>
  <c r="JW33" i="1" s="1"/>
  <c r="JU5" i="1"/>
  <c r="JW5" i="1" s="1"/>
  <c r="JU13" i="1"/>
  <c r="JV13" i="1" s="1"/>
  <c r="JU22" i="1"/>
  <c r="JW22" i="1" s="1"/>
  <c r="JU29" i="1"/>
  <c r="JW29" i="1" s="1"/>
  <c r="JU15" i="1"/>
  <c r="JW15" i="1" s="1"/>
  <c r="JU24" i="1"/>
  <c r="JW24" i="1" s="1"/>
  <c r="JU30" i="1"/>
  <c r="JW30" i="1" s="1"/>
  <c r="JU8" i="1"/>
  <c r="JV8" i="1" s="1"/>
  <c r="JU17" i="1"/>
  <c r="JV17" i="1" s="1"/>
  <c r="JU6" i="1"/>
  <c r="JU14" i="1"/>
  <c r="JU23" i="1"/>
  <c r="JU28" i="1"/>
  <c r="JU3" i="1"/>
  <c r="JW3" i="1" s="1"/>
  <c r="JU11" i="1"/>
  <c r="JW11" i="1" s="1"/>
  <c r="JU20" i="1"/>
  <c r="JW20" i="1" s="1"/>
  <c r="JU34" i="1"/>
  <c r="JW34" i="1" s="1"/>
  <c r="JU9" i="1"/>
  <c r="JU18" i="1"/>
  <c r="JU25" i="1"/>
  <c r="JU32" i="1"/>
  <c r="JV31" i="1"/>
  <c r="JW10" i="1"/>
  <c r="JV3" i="1"/>
  <c r="JV4" i="1"/>
  <c r="JV12" i="1"/>
  <c r="JV21" i="1"/>
  <c r="JV35" i="1"/>
  <c r="JV26" i="1"/>
  <c r="IY35" i="1"/>
  <c r="IZ35" i="1" s="1"/>
  <c r="JB35" i="1" s="1"/>
  <c r="IY34" i="1"/>
  <c r="IZ34" i="1" s="1"/>
  <c r="JB34" i="1" s="1"/>
  <c r="IY33" i="1"/>
  <c r="IZ33" i="1" s="1"/>
  <c r="JB33" i="1" s="1"/>
  <c r="IY32" i="1"/>
  <c r="IZ32" i="1" s="1"/>
  <c r="JB32" i="1" s="1"/>
  <c r="IY31" i="1"/>
  <c r="IZ31" i="1" s="1"/>
  <c r="JB31" i="1" s="1"/>
  <c r="IY30" i="1"/>
  <c r="IZ30" i="1" s="1"/>
  <c r="JB30" i="1" s="1"/>
  <c r="IY29" i="1"/>
  <c r="IZ29" i="1" s="1"/>
  <c r="JB29" i="1" s="1"/>
  <c r="IY28" i="1"/>
  <c r="IZ28" i="1" s="1"/>
  <c r="JB28" i="1" s="1"/>
  <c r="IY27" i="1"/>
  <c r="IZ27" i="1" s="1"/>
  <c r="JB27" i="1" s="1"/>
  <c r="IY26" i="1"/>
  <c r="IZ26" i="1" s="1"/>
  <c r="JB26" i="1" s="1"/>
  <c r="IY25" i="1"/>
  <c r="IZ25" i="1" s="1"/>
  <c r="JB25" i="1" s="1"/>
  <c r="IY24" i="1"/>
  <c r="IZ24" i="1" s="1"/>
  <c r="JB24" i="1" s="1"/>
  <c r="IY23" i="1"/>
  <c r="IZ23" i="1" s="1"/>
  <c r="JB23" i="1" s="1"/>
  <c r="IY22" i="1"/>
  <c r="IZ22" i="1" s="1"/>
  <c r="JB22" i="1" s="1"/>
  <c r="IY21" i="1"/>
  <c r="IZ21" i="1" s="1"/>
  <c r="JB21" i="1" s="1"/>
  <c r="IY20" i="1"/>
  <c r="IZ20" i="1" s="1"/>
  <c r="JB20" i="1" s="1"/>
  <c r="IY19" i="1"/>
  <c r="IZ19" i="1" s="1"/>
  <c r="JB19" i="1" s="1"/>
  <c r="IY18" i="1"/>
  <c r="IZ18" i="1" s="1"/>
  <c r="JB18" i="1" s="1"/>
  <c r="IY17" i="1"/>
  <c r="IZ17" i="1" s="1"/>
  <c r="JB17" i="1" s="1"/>
  <c r="IY16" i="1"/>
  <c r="IZ16" i="1" s="1"/>
  <c r="JB16" i="1" s="1"/>
  <c r="IY15" i="1"/>
  <c r="IZ15" i="1" s="1"/>
  <c r="JB15" i="1" s="1"/>
  <c r="IY14" i="1"/>
  <c r="IZ14" i="1" s="1"/>
  <c r="JB14" i="1" s="1"/>
  <c r="IY13" i="1"/>
  <c r="IZ13" i="1" s="1"/>
  <c r="JB13" i="1" s="1"/>
  <c r="IY12" i="1"/>
  <c r="IZ12" i="1" s="1"/>
  <c r="JB12" i="1" s="1"/>
  <c r="IY11" i="1"/>
  <c r="IZ11" i="1" s="1"/>
  <c r="JB11" i="1" s="1"/>
  <c r="IY10" i="1"/>
  <c r="IZ10" i="1" s="1"/>
  <c r="JB10" i="1" s="1"/>
  <c r="IY9" i="1"/>
  <c r="IZ9" i="1" s="1"/>
  <c r="JB9" i="1" s="1"/>
  <c r="IY8" i="1"/>
  <c r="IZ8" i="1" s="1"/>
  <c r="JB8" i="1" s="1"/>
  <c r="IY7" i="1"/>
  <c r="IZ7" i="1" s="1"/>
  <c r="JB7" i="1" s="1"/>
  <c r="IY6" i="1"/>
  <c r="IZ6" i="1" s="1"/>
  <c r="JB6" i="1" s="1"/>
  <c r="IY5" i="1"/>
  <c r="IZ5" i="1" s="1"/>
  <c r="JB5" i="1" s="1"/>
  <c r="IY4" i="1"/>
  <c r="IZ4" i="1" s="1"/>
  <c r="JB4" i="1" s="1"/>
  <c r="IY3" i="1"/>
  <c r="IZ3" i="1" s="1"/>
  <c r="JB3" i="1" s="1"/>
  <c r="IT35" i="1"/>
  <c r="IU35" i="1" s="1"/>
  <c r="IW35" i="1" s="1"/>
  <c r="IO35" i="1"/>
  <c r="IP35" i="1" s="1"/>
  <c r="IR35" i="1" s="1"/>
  <c r="IJ35" i="1"/>
  <c r="IK35" i="1" s="1"/>
  <c r="IM35" i="1" s="1"/>
  <c r="IE35" i="1"/>
  <c r="IF35" i="1" s="1"/>
  <c r="IH35" i="1" s="1"/>
  <c r="HZ35" i="1"/>
  <c r="IA35" i="1" s="1"/>
  <c r="IC35" i="1" s="1"/>
  <c r="HU35" i="1"/>
  <c r="HV35" i="1" s="1"/>
  <c r="HX35" i="1" s="1"/>
  <c r="IT34" i="1"/>
  <c r="IU34" i="1" s="1"/>
  <c r="IW34" i="1" s="1"/>
  <c r="IO34" i="1"/>
  <c r="IP34" i="1" s="1"/>
  <c r="IR34" i="1" s="1"/>
  <c r="IJ34" i="1"/>
  <c r="IK34" i="1" s="1"/>
  <c r="IM34" i="1" s="1"/>
  <c r="IE34" i="1"/>
  <c r="IF34" i="1" s="1"/>
  <c r="IH34" i="1" s="1"/>
  <c r="HZ34" i="1"/>
  <c r="IA34" i="1" s="1"/>
  <c r="IC34" i="1" s="1"/>
  <c r="HU34" i="1"/>
  <c r="HV34" i="1" s="1"/>
  <c r="HX34" i="1" s="1"/>
  <c r="IT33" i="1"/>
  <c r="IU33" i="1" s="1"/>
  <c r="IW33" i="1" s="1"/>
  <c r="IO33" i="1"/>
  <c r="IP33" i="1" s="1"/>
  <c r="IR33" i="1" s="1"/>
  <c r="IJ33" i="1"/>
  <c r="IK33" i="1" s="1"/>
  <c r="IM33" i="1" s="1"/>
  <c r="IE33" i="1"/>
  <c r="IF33" i="1" s="1"/>
  <c r="IH33" i="1" s="1"/>
  <c r="HZ33" i="1"/>
  <c r="IA33" i="1" s="1"/>
  <c r="IC33" i="1" s="1"/>
  <c r="HU33" i="1"/>
  <c r="HV33" i="1" s="1"/>
  <c r="HX33" i="1" s="1"/>
  <c r="IT32" i="1"/>
  <c r="IU32" i="1" s="1"/>
  <c r="IW32" i="1" s="1"/>
  <c r="IO32" i="1"/>
  <c r="IP32" i="1" s="1"/>
  <c r="IR32" i="1" s="1"/>
  <c r="IJ32" i="1"/>
  <c r="IK32" i="1" s="1"/>
  <c r="IM32" i="1" s="1"/>
  <c r="IE32" i="1"/>
  <c r="IF32" i="1" s="1"/>
  <c r="IH32" i="1" s="1"/>
  <c r="HZ32" i="1"/>
  <c r="IA32" i="1" s="1"/>
  <c r="IC32" i="1" s="1"/>
  <c r="HU32" i="1"/>
  <c r="HV32" i="1" s="1"/>
  <c r="HX32" i="1" s="1"/>
  <c r="IT31" i="1"/>
  <c r="IU31" i="1" s="1"/>
  <c r="IW31" i="1" s="1"/>
  <c r="IO31" i="1"/>
  <c r="IP31" i="1" s="1"/>
  <c r="IR31" i="1" s="1"/>
  <c r="IJ31" i="1"/>
  <c r="IK31" i="1" s="1"/>
  <c r="IM31" i="1" s="1"/>
  <c r="IE31" i="1"/>
  <c r="IF31" i="1" s="1"/>
  <c r="IH31" i="1" s="1"/>
  <c r="HZ31" i="1"/>
  <c r="IA31" i="1" s="1"/>
  <c r="IC31" i="1" s="1"/>
  <c r="HU31" i="1"/>
  <c r="HV31" i="1" s="1"/>
  <c r="HX31" i="1" s="1"/>
  <c r="IT30" i="1"/>
  <c r="IU30" i="1" s="1"/>
  <c r="IW30" i="1" s="1"/>
  <c r="IO30" i="1"/>
  <c r="IP30" i="1" s="1"/>
  <c r="IR30" i="1" s="1"/>
  <c r="IJ30" i="1"/>
  <c r="IK30" i="1" s="1"/>
  <c r="IM30" i="1" s="1"/>
  <c r="IE30" i="1"/>
  <c r="IF30" i="1" s="1"/>
  <c r="IH30" i="1" s="1"/>
  <c r="HZ30" i="1"/>
  <c r="IA30" i="1" s="1"/>
  <c r="IC30" i="1" s="1"/>
  <c r="HU30" i="1"/>
  <c r="HV30" i="1" s="1"/>
  <c r="HX30" i="1" s="1"/>
  <c r="IT29" i="1"/>
  <c r="IU29" i="1" s="1"/>
  <c r="IW29" i="1" s="1"/>
  <c r="IO29" i="1"/>
  <c r="IP29" i="1" s="1"/>
  <c r="IR29" i="1" s="1"/>
  <c r="IJ29" i="1"/>
  <c r="IK29" i="1" s="1"/>
  <c r="IM29" i="1" s="1"/>
  <c r="IE29" i="1"/>
  <c r="IF29" i="1" s="1"/>
  <c r="IH29" i="1" s="1"/>
  <c r="HZ29" i="1"/>
  <c r="IA29" i="1" s="1"/>
  <c r="IC29" i="1" s="1"/>
  <c r="HU29" i="1"/>
  <c r="HV29" i="1" s="1"/>
  <c r="HX29" i="1" s="1"/>
  <c r="IT28" i="1"/>
  <c r="IU28" i="1" s="1"/>
  <c r="IW28" i="1" s="1"/>
  <c r="IO28" i="1"/>
  <c r="IP28" i="1" s="1"/>
  <c r="IR28" i="1" s="1"/>
  <c r="IJ28" i="1"/>
  <c r="IK28" i="1" s="1"/>
  <c r="IM28" i="1" s="1"/>
  <c r="IE28" i="1"/>
  <c r="IF28" i="1" s="1"/>
  <c r="IH28" i="1" s="1"/>
  <c r="HZ28" i="1"/>
  <c r="IA28" i="1" s="1"/>
  <c r="IC28" i="1" s="1"/>
  <c r="HU28" i="1"/>
  <c r="HV28" i="1" s="1"/>
  <c r="HX28" i="1" s="1"/>
  <c r="IT27" i="1"/>
  <c r="IU27" i="1" s="1"/>
  <c r="IW27" i="1" s="1"/>
  <c r="IO27" i="1"/>
  <c r="IP27" i="1" s="1"/>
  <c r="IR27" i="1" s="1"/>
  <c r="IJ27" i="1"/>
  <c r="IK27" i="1" s="1"/>
  <c r="IM27" i="1" s="1"/>
  <c r="IE27" i="1"/>
  <c r="IF27" i="1" s="1"/>
  <c r="IH27" i="1" s="1"/>
  <c r="HZ27" i="1"/>
  <c r="IA27" i="1" s="1"/>
  <c r="IC27" i="1" s="1"/>
  <c r="HU27" i="1"/>
  <c r="HV27" i="1" s="1"/>
  <c r="HX27" i="1" s="1"/>
  <c r="IT26" i="1"/>
  <c r="IU26" i="1" s="1"/>
  <c r="IW26" i="1" s="1"/>
  <c r="IO26" i="1"/>
  <c r="IP26" i="1" s="1"/>
  <c r="IR26" i="1" s="1"/>
  <c r="IJ26" i="1"/>
  <c r="IK26" i="1" s="1"/>
  <c r="IM26" i="1" s="1"/>
  <c r="IE26" i="1"/>
  <c r="IF26" i="1" s="1"/>
  <c r="IH26" i="1" s="1"/>
  <c r="HZ26" i="1"/>
  <c r="IA26" i="1" s="1"/>
  <c r="IC26" i="1" s="1"/>
  <c r="HU26" i="1"/>
  <c r="HV26" i="1" s="1"/>
  <c r="HX26" i="1" s="1"/>
  <c r="IT25" i="1"/>
  <c r="IU25" i="1" s="1"/>
  <c r="IW25" i="1" s="1"/>
  <c r="IO25" i="1"/>
  <c r="IP25" i="1" s="1"/>
  <c r="IR25" i="1" s="1"/>
  <c r="IJ25" i="1"/>
  <c r="IK25" i="1" s="1"/>
  <c r="IM25" i="1" s="1"/>
  <c r="IE25" i="1"/>
  <c r="IF25" i="1" s="1"/>
  <c r="IH25" i="1" s="1"/>
  <c r="HZ25" i="1"/>
  <c r="IA25" i="1" s="1"/>
  <c r="IC25" i="1" s="1"/>
  <c r="HU25" i="1"/>
  <c r="HV25" i="1" s="1"/>
  <c r="HX25" i="1" s="1"/>
  <c r="IT24" i="1"/>
  <c r="IU24" i="1" s="1"/>
  <c r="IW24" i="1" s="1"/>
  <c r="IO24" i="1"/>
  <c r="IP24" i="1" s="1"/>
  <c r="IR24" i="1" s="1"/>
  <c r="IJ24" i="1"/>
  <c r="IK24" i="1" s="1"/>
  <c r="IM24" i="1" s="1"/>
  <c r="IE24" i="1"/>
  <c r="IF24" i="1" s="1"/>
  <c r="IH24" i="1" s="1"/>
  <c r="HZ24" i="1"/>
  <c r="IA24" i="1" s="1"/>
  <c r="IC24" i="1" s="1"/>
  <c r="HU24" i="1"/>
  <c r="HV24" i="1" s="1"/>
  <c r="HX24" i="1" s="1"/>
  <c r="IT23" i="1"/>
  <c r="IU23" i="1" s="1"/>
  <c r="IW23" i="1" s="1"/>
  <c r="IO23" i="1"/>
  <c r="IP23" i="1" s="1"/>
  <c r="IR23" i="1" s="1"/>
  <c r="IJ23" i="1"/>
  <c r="IK23" i="1" s="1"/>
  <c r="IM23" i="1" s="1"/>
  <c r="IE23" i="1"/>
  <c r="IF23" i="1" s="1"/>
  <c r="IH23" i="1" s="1"/>
  <c r="HZ23" i="1"/>
  <c r="IA23" i="1" s="1"/>
  <c r="IC23" i="1" s="1"/>
  <c r="HU23" i="1"/>
  <c r="HV23" i="1" s="1"/>
  <c r="HX23" i="1" s="1"/>
  <c r="IT22" i="1"/>
  <c r="IU22" i="1" s="1"/>
  <c r="IW22" i="1" s="1"/>
  <c r="IO22" i="1"/>
  <c r="IP22" i="1" s="1"/>
  <c r="IR22" i="1" s="1"/>
  <c r="IJ22" i="1"/>
  <c r="IK22" i="1" s="1"/>
  <c r="IM22" i="1" s="1"/>
  <c r="IE22" i="1"/>
  <c r="IF22" i="1" s="1"/>
  <c r="IH22" i="1" s="1"/>
  <c r="HZ22" i="1"/>
  <c r="IA22" i="1" s="1"/>
  <c r="IC22" i="1" s="1"/>
  <c r="HU22" i="1"/>
  <c r="HV22" i="1" s="1"/>
  <c r="HX22" i="1" s="1"/>
  <c r="IT21" i="1"/>
  <c r="IU21" i="1" s="1"/>
  <c r="IW21" i="1" s="1"/>
  <c r="IO21" i="1"/>
  <c r="IP21" i="1" s="1"/>
  <c r="IR21" i="1" s="1"/>
  <c r="IJ21" i="1"/>
  <c r="IK21" i="1" s="1"/>
  <c r="IM21" i="1" s="1"/>
  <c r="IE21" i="1"/>
  <c r="IF21" i="1" s="1"/>
  <c r="IH21" i="1" s="1"/>
  <c r="HZ21" i="1"/>
  <c r="IA21" i="1" s="1"/>
  <c r="IC21" i="1" s="1"/>
  <c r="HU21" i="1"/>
  <c r="HV21" i="1" s="1"/>
  <c r="HX21" i="1" s="1"/>
  <c r="IT20" i="1"/>
  <c r="IU20" i="1" s="1"/>
  <c r="IW20" i="1" s="1"/>
  <c r="IO20" i="1"/>
  <c r="IP20" i="1" s="1"/>
  <c r="IR20" i="1" s="1"/>
  <c r="IJ20" i="1"/>
  <c r="IK20" i="1" s="1"/>
  <c r="IM20" i="1" s="1"/>
  <c r="IE20" i="1"/>
  <c r="IF20" i="1" s="1"/>
  <c r="IH20" i="1" s="1"/>
  <c r="HZ20" i="1"/>
  <c r="IA20" i="1" s="1"/>
  <c r="IC20" i="1" s="1"/>
  <c r="HU20" i="1"/>
  <c r="HV20" i="1" s="1"/>
  <c r="HX20" i="1" s="1"/>
  <c r="IT19" i="1"/>
  <c r="IU19" i="1" s="1"/>
  <c r="IW19" i="1" s="1"/>
  <c r="IO19" i="1"/>
  <c r="IP19" i="1" s="1"/>
  <c r="IR19" i="1" s="1"/>
  <c r="IJ19" i="1"/>
  <c r="IK19" i="1" s="1"/>
  <c r="IM19" i="1" s="1"/>
  <c r="IE19" i="1"/>
  <c r="IF19" i="1" s="1"/>
  <c r="IH19" i="1" s="1"/>
  <c r="HZ19" i="1"/>
  <c r="IA19" i="1" s="1"/>
  <c r="IC19" i="1" s="1"/>
  <c r="HU19" i="1"/>
  <c r="HV19" i="1" s="1"/>
  <c r="HX19" i="1" s="1"/>
  <c r="IT18" i="1"/>
  <c r="IU18" i="1" s="1"/>
  <c r="IW18" i="1" s="1"/>
  <c r="IO18" i="1"/>
  <c r="IP18" i="1" s="1"/>
  <c r="IR18" i="1" s="1"/>
  <c r="IJ18" i="1"/>
  <c r="IK18" i="1" s="1"/>
  <c r="IM18" i="1" s="1"/>
  <c r="IE18" i="1"/>
  <c r="IF18" i="1" s="1"/>
  <c r="IH18" i="1" s="1"/>
  <c r="HZ18" i="1"/>
  <c r="IA18" i="1" s="1"/>
  <c r="IC18" i="1" s="1"/>
  <c r="HU18" i="1"/>
  <c r="HV18" i="1" s="1"/>
  <c r="HX18" i="1" s="1"/>
  <c r="IT17" i="1"/>
  <c r="IU17" i="1" s="1"/>
  <c r="IW17" i="1" s="1"/>
  <c r="IO17" i="1"/>
  <c r="IP17" i="1" s="1"/>
  <c r="IR17" i="1" s="1"/>
  <c r="IJ17" i="1"/>
  <c r="IK17" i="1" s="1"/>
  <c r="IM17" i="1" s="1"/>
  <c r="IE17" i="1"/>
  <c r="IF17" i="1" s="1"/>
  <c r="IH17" i="1" s="1"/>
  <c r="HZ17" i="1"/>
  <c r="IA17" i="1" s="1"/>
  <c r="IC17" i="1" s="1"/>
  <c r="HU17" i="1"/>
  <c r="HV17" i="1" s="1"/>
  <c r="HX17" i="1" s="1"/>
  <c r="IT16" i="1"/>
  <c r="IU16" i="1" s="1"/>
  <c r="IW16" i="1" s="1"/>
  <c r="IO16" i="1"/>
  <c r="IP16" i="1" s="1"/>
  <c r="IR16" i="1" s="1"/>
  <c r="IJ16" i="1"/>
  <c r="IK16" i="1" s="1"/>
  <c r="IM16" i="1" s="1"/>
  <c r="IE16" i="1"/>
  <c r="IF16" i="1" s="1"/>
  <c r="IH16" i="1" s="1"/>
  <c r="HZ16" i="1"/>
  <c r="IA16" i="1" s="1"/>
  <c r="IC16" i="1" s="1"/>
  <c r="HU16" i="1"/>
  <c r="HV16" i="1" s="1"/>
  <c r="HX16" i="1" s="1"/>
  <c r="IT15" i="1"/>
  <c r="IU15" i="1" s="1"/>
  <c r="IW15" i="1" s="1"/>
  <c r="IO15" i="1"/>
  <c r="IP15" i="1" s="1"/>
  <c r="IR15" i="1" s="1"/>
  <c r="IJ15" i="1"/>
  <c r="IK15" i="1" s="1"/>
  <c r="IM15" i="1" s="1"/>
  <c r="IE15" i="1"/>
  <c r="IF15" i="1" s="1"/>
  <c r="IH15" i="1" s="1"/>
  <c r="HZ15" i="1"/>
  <c r="IA15" i="1" s="1"/>
  <c r="IC15" i="1" s="1"/>
  <c r="HU15" i="1"/>
  <c r="HV15" i="1" s="1"/>
  <c r="HX15" i="1" s="1"/>
  <c r="IT14" i="1"/>
  <c r="IU14" i="1" s="1"/>
  <c r="IW14" i="1" s="1"/>
  <c r="IO14" i="1"/>
  <c r="IP14" i="1" s="1"/>
  <c r="IR14" i="1" s="1"/>
  <c r="IJ14" i="1"/>
  <c r="IK14" i="1" s="1"/>
  <c r="IM14" i="1" s="1"/>
  <c r="IE14" i="1"/>
  <c r="IF14" i="1" s="1"/>
  <c r="IH14" i="1" s="1"/>
  <c r="HZ14" i="1"/>
  <c r="IA14" i="1" s="1"/>
  <c r="IC14" i="1" s="1"/>
  <c r="HU14" i="1"/>
  <c r="HV14" i="1" s="1"/>
  <c r="HX14" i="1" s="1"/>
  <c r="IT13" i="1"/>
  <c r="IU13" i="1" s="1"/>
  <c r="IW13" i="1" s="1"/>
  <c r="IO13" i="1"/>
  <c r="IP13" i="1" s="1"/>
  <c r="IR13" i="1" s="1"/>
  <c r="IJ13" i="1"/>
  <c r="IK13" i="1" s="1"/>
  <c r="IM13" i="1" s="1"/>
  <c r="IE13" i="1"/>
  <c r="IF13" i="1" s="1"/>
  <c r="IH13" i="1" s="1"/>
  <c r="HZ13" i="1"/>
  <c r="IA13" i="1" s="1"/>
  <c r="IC13" i="1" s="1"/>
  <c r="HU13" i="1"/>
  <c r="HV13" i="1" s="1"/>
  <c r="HX13" i="1" s="1"/>
  <c r="IT12" i="1"/>
  <c r="IU12" i="1" s="1"/>
  <c r="IW12" i="1" s="1"/>
  <c r="IO12" i="1"/>
  <c r="IP12" i="1" s="1"/>
  <c r="IR12" i="1" s="1"/>
  <c r="IJ12" i="1"/>
  <c r="IK12" i="1" s="1"/>
  <c r="IM12" i="1" s="1"/>
  <c r="IE12" i="1"/>
  <c r="IF12" i="1" s="1"/>
  <c r="IH12" i="1" s="1"/>
  <c r="HZ12" i="1"/>
  <c r="IA12" i="1" s="1"/>
  <c r="IC12" i="1" s="1"/>
  <c r="HU12" i="1"/>
  <c r="HV12" i="1" s="1"/>
  <c r="HX12" i="1" s="1"/>
  <c r="IT11" i="1"/>
  <c r="IU11" i="1" s="1"/>
  <c r="IW11" i="1" s="1"/>
  <c r="IO11" i="1"/>
  <c r="IP11" i="1" s="1"/>
  <c r="IR11" i="1" s="1"/>
  <c r="IJ11" i="1"/>
  <c r="IK11" i="1" s="1"/>
  <c r="IM11" i="1" s="1"/>
  <c r="IE11" i="1"/>
  <c r="IF11" i="1" s="1"/>
  <c r="IH11" i="1" s="1"/>
  <c r="HZ11" i="1"/>
  <c r="IA11" i="1" s="1"/>
  <c r="IC11" i="1" s="1"/>
  <c r="HU11" i="1"/>
  <c r="HV11" i="1" s="1"/>
  <c r="HX11" i="1" s="1"/>
  <c r="IT10" i="1"/>
  <c r="IU10" i="1" s="1"/>
  <c r="IW10" i="1" s="1"/>
  <c r="IO10" i="1"/>
  <c r="IP10" i="1" s="1"/>
  <c r="IR10" i="1" s="1"/>
  <c r="IJ10" i="1"/>
  <c r="IK10" i="1" s="1"/>
  <c r="IM10" i="1" s="1"/>
  <c r="IE10" i="1"/>
  <c r="IF10" i="1" s="1"/>
  <c r="IH10" i="1" s="1"/>
  <c r="HZ10" i="1"/>
  <c r="IA10" i="1" s="1"/>
  <c r="IC10" i="1" s="1"/>
  <c r="HU10" i="1"/>
  <c r="HV10" i="1" s="1"/>
  <c r="HX10" i="1" s="1"/>
  <c r="IT9" i="1"/>
  <c r="IU9" i="1" s="1"/>
  <c r="IW9" i="1" s="1"/>
  <c r="IO9" i="1"/>
  <c r="IP9" i="1" s="1"/>
  <c r="IR9" i="1" s="1"/>
  <c r="IJ9" i="1"/>
  <c r="IK9" i="1" s="1"/>
  <c r="IM9" i="1" s="1"/>
  <c r="IE9" i="1"/>
  <c r="IF9" i="1" s="1"/>
  <c r="IH9" i="1" s="1"/>
  <c r="HZ9" i="1"/>
  <c r="IA9" i="1" s="1"/>
  <c r="IC9" i="1" s="1"/>
  <c r="HU9" i="1"/>
  <c r="HV9" i="1" s="1"/>
  <c r="HX9" i="1" s="1"/>
  <c r="IT8" i="1"/>
  <c r="IU8" i="1" s="1"/>
  <c r="IW8" i="1" s="1"/>
  <c r="IO8" i="1"/>
  <c r="IP8" i="1" s="1"/>
  <c r="IR8" i="1" s="1"/>
  <c r="IJ8" i="1"/>
  <c r="IK8" i="1" s="1"/>
  <c r="IM8" i="1" s="1"/>
  <c r="IE8" i="1"/>
  <c r="IF8" i="1" s="1"/>
  <c r="IH8" i="1" s="1"/>
  <c r="HZ8" i="1"/>
  <c r="IA8" i="1" s="1"/>
  <c r="IC8" i="1" s="1"/>
  <c r="HU8" i="1"/>
  <c r="HV8" i="1" s="1"/>
  <c r="HX8" i="1" s="1"/>
  <c r="IT7" i="1"/>
  <c r="IU7" i="1" s="1"/>
  <c r="IW7" i="1" s="1"/>
  <c r="IO7" i="1"/>
  <c r="IP7" i="1" s="1"/>
  <c r="IR7" i="1" s="1"/>
  <c r="IJ7" i="1"/>
  <c r="IK7" i="1" s="1"/>
  <c r="IM7" i="1" s="1"/>
  <c r="IE7" i="1"/>
  <c r="IF7" i="1" s="1"/>
  <c r="IH7" i="1" s="1"/>
  <c r="HZ7" i="1"/>
  <c r="IA7" i="1" s="1"/>
  <c r="IC7" i="1" s="1"/>
  <c r="HU7" i="1"/>
  <c r="HV7" i="1" s="1"/>
  <c r="HX7" i="1" s="1"/>
  <c r="IT6" i="1"/>
  <c r="IU6" i="1" s="1"/>
  <c r="IW6" i="1" s="1"/>
  <c r="IO6" i="1"/>
  <c r="IP6" i="1" s="1"/>
  <c r="IR6" i="1" s="1"/>
  <c r="IJ6" i="1"/>
  <c r="IK6" i="1" s="1"/>
  <c r="IM6" i="1" s="1"/>
  <c r="IE6" i="1"/>
  <c r="IF6" i="1" s="1"/>
  <c r="IH6" i="1" s="1"/>
  <c r="HZ6" i="1"/>
  <c r="IA6" i="1" s="1"/>
  <c r="IC6" i="1" s="1"/>
  <c r="HU6" i="1"/>
  <c r="HV6" i="1" s="1"/>
  <c r="HX6" i="1" s="1"/>
  <c r="IT5" i="1"/>
  <c r="IU5" i="1" s="1"/>
  <c r="IW5" i="1" s="1"/>
  <c r="IO5" i="1"/>
  <c r="IP5" i="1" s="1"/>
  <c r="IR5" i="1" s="1"/>
  <c r="IJ5" i="1"/>
  <c r="IK5" i="1" s="1"/>
  <c r="IM5" i="1" s="1"/>
  <c r="IE5" i="1"/>
  <c r="IF5" i="1" s="1"/>
  <c r="IH5" i="1" s="1"/>
  <c r="HZ5" i="1"/>
  <c r="IA5" i="1" s="1"/>
  <c r="IC5" i="1" s="1"/>
  <c r="HU5" i="1"/>
  <c r="HV5" i="1" s="1"/>
  <c r="HX5" i="1" s="1"/>
  <c r="IT4" i="1"/>
  <c r="IU4" i="1" s="1"/>
  <c r="IW4" i="1" s="1"/>
  <c r="IO4" i="1"/>
  <c r="IP4" i="1" s="1"/>
  <c r="IR4" i="1" s="1"/>
  <c r="IJ4" i="1"/>
  <c r="IK4" i="1" s="1"/>
  <c r="IM4" i="1" s="1"/>
  <c r="IE4" i="1"/>
  <c r="IF4" i="1" s="1"/>
  <c r="IH4" i="1" s="1"/>
  <c r="HZ4" i="1"/>
  <c r="IA4" i="1" s="1"/>
  <c r="IC4" i="1" s="1"/>
  <c r="HU4" i="1"/>
  <c r="HV4" i="1" s="1"/>
  <c r="HX4" i="1" s="1"/>
  <c r="IT3" i="1"/>
  <c r="IU3" i="1" s="1"/>
  <c r="IW3" i="1" s="1"/>
  <c r="IO3" i="1"/>
  <c r="IP3" i="1" s="1"/>
  <c r="IR3" i="1" s="1"/>
  <c r="IJ3" i="1"/>
  <c r="IK3" i="1" s="1"/>
  <c r="IM3" i="1" s="1"/>
  <c r="IE3" i="1"/>
  <c r="IF3" i="1" s="1"/>
  <c r="IH3" i="1" s="1"/>
  <c r="HZ3" i="1"/>
  <c r="IA3" i="1" s="1"/>
  <c r="IC3" i="1" s="1"/>
  <c r="HU3" i="1"/>
  <c r="HV3" i="1" s="1"/>
  <c r="HX3" i="1" s="1"/>
  <c r="HP35" i="1"/>
  <c r="HQ35" i="1" s="1"/>
  <c r="HS35" i="1" s="1"/>
  <c r="HK35" i="1"/>
  <c r="HL35" i="1" s="1"/>
  <c r="HN35" i="1" s="1"/>
  <c r="HF35" i="1"/>
  <c r="HG35" i="1" s="1"/>
  <c r="HI35" i="1" s="1"/>
  <c r="HA35" i="1"/>
  <c r="HB35" i="1" s="1"/>
  <c r="HD35" i="1" s="1"/>
  <c r="GV35" i="1"/>
  <c r="GW35" i="1" s="1"/>
  <c r="GY35" i="1" s="1"/>
  <c r="GQ35" i="1"/>
  <c r="GR35" i="1" s="1"/>
  <c r="GT35" i="1" s="1"/>
  <c r="HP34" i="1"/>
  <c r="HQ34" i="1" s="1"/>
  <c r="HS34" i="1" s="1"/>
  <c r="HK34" i="1"/>
  <c r="HL34" i="1" s="1"/>
  <c r="HN34" i="1" s="1"/>
  <c r="HF34" i="1"/>
  <c r="HG34" i="1" s="1"/>
  <c r="HI34" i="1" s="1"/>
  <c r="HA34" i="1"/>
  <c r="HB34" i="1" s="1"/>
  <c r="HD34" i="1" s="1"/>
  <c r="GV34" i="1"/>
  <c r="GW34" i="1" s="1"/>
  <c r="GY34" i="1" s="1"/>
  <c r="GQ34" i="1"/>
  <c r="GR34" i="1" s="1"/>
  <c r="GT34" i="1" s="1"/>
  <c r="HP33" i="1"/>
  <c r="HQ33" i="1" s="1"/>
  <c r="HS33" i="1" s="1"/>
  <c r="HK33" i="1"/>
  <c r="HL33" i="1" s="1"/>
  <c r="HN33" i="1" s="1"/>
  <c r="HF33" i="1"/>
  <c r="HG33" i="1" s="1"/>
  <c r="HI33" i="1" s="1"/>
  <c r="HA33" i="1"/>
  <c r="HB33" i="1" s="1"/>
  <c r="HD33" i="1" s="1"/>
  <c r="GV33" i="1"/>
  <c r="GW33" i="1" s="1"/>
  <c r="GY33" i="1" s="1"/>
  <c r="GQ33" i="1"/>
  <c r="GR33" i="1" s="1"/>
  <c r="GT33" i="1" s="1"/>
  <c r="HP32" i="1"/>
  <c r="HQ32" i="1" s="1"/>
  <c r="HS32" i="1" s="1"/>
  <c r="HK32" i="1"/>
  <c r="HL32" i="1" s="1"/>
  <c r="HN32" i="1" s="1"/>
  <c r="HF32" i="1"/>
  <c r="HG32" i="1" s="1"/>
  <c r="HI32" i="1" s="1"/>
  <c r="HA32" i="1"/>
  <c r="HB32" i="1" s="1"/>
  <c r="HD32" i="1" s="1"/>
  <c r="GV32" i="1"/>
  <c r="GW32" i="1" s="1"/>
  <c r="GY32" i="1" s="1"/>
  <c r="GQ32" i="1"/>
  <c r="GR32" i="1" s="1"/>
  <c r="GT32" i="1" s="1"/>
  <c r="HP31" i="1"/>
  <c r="HQ31" i="1" s="1"/>
  <c r="HS31" i="1" s="1"/>
  <c r="HK31" i="1"/>
  <c r="HL31" i="1" s="1"/>
  <c r="HN31" i="1" s="1"/>
  <c r="HF31" i="1"/>
  <c r="HG31" i="1" s="1"/>
  <c r="HI31" i="1" s="1"/>
  <c r="HA31" i="1"/>
  <c r="HB31" i="1" s="1"/>
  <c r="HD31" i="1" s="1"/>
  <c r="GV31" i="1"/>
  <c r="GW31" i="1" s="1"/>
  <c r="GY31" i="1" s="1"/>
  <c r="GQ31" i="1"/>
  <c r="GR31" i="1" s="1"/>
  <c r="GT31" i="1" s="1"/>
  <c r="HP30" i="1"/>
  <c r="HQ30" i="1" s="1"/>
  <c r="HS30" i="1" s="1"/>
  <c r="HK30" i="1"/>
  <c r="HL30" i="1" s="1"/>
  <c r="HN30" i="1" s="1"/>
  <c r="HF30" i="1"/>
  <c r="HG30" i="1" s="1"/>
  <c r="HI30" i="1" s="1"/>
  <c r="HA30" i="1"/>
  <c r="HB30" i="1" s="1"/>
  <c r="HD30" i="1" s="1"/>
  <c r="GV30" i="1"/>
  <c r="GW30" i="1" s="1"/>
  <c r="GY30" i="1" s="1"/>
  <c r="GQ30" i="1"/>
  <c r="GR30" i="1" s="1"/>
  <c r="GT30" i="1" s="1"/>
  <c r="HP29" i="1"/>
  <c r="HQ29" i="1" s="1"/>
  <c r="HS29" i="1" s="1"/>
  <c r="HK29" i="1"/>
  <c r="HL29" i="1" s="1"/>
  <c r="HN29" i="1" s="1"/>
  <c r="HF29" i="1"/>
  <c r="HG29" i="1" s="1"/>
  <c r="HI29" i="1" s="1"/>
  <c r="HA29" i="1"/>
  <c r="HB29" i="1" s="1"/>
  <c r="HD29" i="1" s="1"/>
  <c r="GV29" i="1"/>
  <c r="GW29" i="1" s="1"/>
  <c r="GY29" i="1" s="1"/>
  <c r="GQ29" i="1"/>
  <c r="GR29" i="1" s="1"/>
  <c r="GT29" i="1" s="1"/>
  <c r="HP28" i="1"/>
  <c r="HQ28" i="1" s="1"/>
  <c r="HS28" i="1" s="1"/>
  <c r="HK28" i="1"/>
  <c r="HL28" i="1" s="1"/>
  <c r="HN28" i="1" s="1"/>
  <c r="HF28" i="1"/>
  <c r="HG28" i="1" s="1"/>
  <c r="HI28" i="1" s="1"/>
  <c r="HA28" i="1"/>
  <c r="HB28" i="1" s="1"/>
  <c r="HD28" i="1" s="1"/>
  <c r="GV28" i="1"/>
  <c r="GW28" i="1" s="1"/>
  <c r="GY28" i="1" s="1"/>
  <c r="GQ28" i="1"/>
  <c r="GR28" i="1" s="1"/>
  <c r="GT28" i="1" s="1"/>
  <c r="HP27" i="1"/>
  <c r="HQ27" i="1" s="1"/>
  <c r="HS27" i="1" s="1"/>
  <c r="HK27" i="1"/>
  <c r="HL27" i="1" s="1"/>
  <c r="HN27" i="1" s="1"/>
  <c r="HF27" i="1"/>
  <c r="HG27" i="1" s="1"/>
  <c r="HI27" i="1" s="1"/>
  <c r="HA27" i="1"/>
  <c r="HB27" i="1" s="1"/>
  <c r="HD27" i="1" s="1"/>
  <c r="GV27" i="1"/>
  <c r="GW27" i="1" s="1"/>
  <c r="GY27" i="1" s="1"/>
  <c r="GQ27" i="1"/>
  <c r="GR27" i="1" s="1"/>
  <c r="GT27" i="1" s="1"/>
  <c r="HP26" i="1"/>
  <c r="HQ26" i="1" s="1"/>
  <c r="HS26" i="1" s="1"/>
  <c r="HK26" i="1"/>
  <c r="HL26" i="1" s="1"/>
  <c r="HN26" i="1" s="1"/>
  <c r="HF26" i="1"/>
  <c r="HG26" i="1" s="1"/>
  <c r="HI26" i="1" s="1"/>
  <c r="HA26" i="1"/>
  <c r="HB26" i="1" s="1"/>
  <c r="HD26" i="1" s="1"/>
  <c r="GV26" i="1"/>
  <c r="GW26" i="1" s="1"/>
  <c r="GY26" i="1" s="1"/>
  <c r="GQ26" i="1"/>
  <c r="GR26" i="1" s="1"/>
  <c r="GT26" i="1" s="1"/>
  <c r="HP25" i="1"/>
  <c r="HQ25" i="1" s="1"/>
  <c r="HS25" i="1" s="1"/>
  <c r="HK25" i="1"/>
  <c r="HL25" i="1" s="1"/>
  <c r="HN25" i="1" s="1"/>
  <c r="HF25" i="1"/>
  <c r="HG25" i="1" s="1"/>
  <c r="HI25" i="1" s="1"/>
  <c r="HA25" i="1"/>
  <c r="HB25" i="1" s="1"/>
  <c r="HD25" i="1" s="1"/>
  <c r="GV25" i="1"/>
  <c r="GW25" i="1" s="1"/>
  <c r="GY25" i="1" s="1"/>
  <c r="GQ25" i="1"/>
  <c r="GR25" i="1" s="1"/>
  <c r="GT25" i="1" s="1"/>
  <c r="HP24" i="1"/>
  <c r="HQ24" i="1" s="1"/>
  <c r="HS24" i="1" s="1"/>
  <c r="HK24" i="1"/>
  <c r="HL24" i="1" s="1"/>
  <c r="HN24" i="1" s="1"/>
  <c r="HF24" i="1"/>
  <c r="HG24" i="1" s="1"/>
  <c r="HI24" i="1" s="1"/>
  <c r="HA24" i="1"/>
  <c r="HB24" i="1" s="1"/>
  <c r="HD24" i="1" s="1"/>
  <c r="GV24" i="1"/>
  <c r="GW24" i="1" s="1"/>
  <c r="GY24" i="1" s="1"/>
  <c r="GQ24" i="1"/>
  <c r="GR24" i="1" s="1"/>
  <c r="GT24" i="1" s="1"/>
  <c r="HP23" i="1"/>
  <c r="HQ23" i="1" s="1"/>
  <c r="HS23" i="1" s="1"/>
  <c r="HK23" i="1"/>
  <c r="HL23" i="1" s="1"/>
  <c r="HN23" i="1" s="1"/>
  <c r="HF23" i="1"/>
  <c r="HG23" i="1" s="1"/>
  <c r="HI23" i="1" s="1"/>
  <c r="HA23" i="1"/>
  <c r="HB23" i="1" s="1"/>
  <c r="HD23" i="1" s="1"/>
  <c r="GV23" i="1"/>
  <c r="GW23" i="1" s="1"/>
  <c r="GY23" i="1" s="1"/>
  <c r="GQ23" i="1"/>
  <c r="GR23" i="1" s="1"/>
  <c r="GT23" i="1" s="1"/>
  <c r="HP22" i="1"/>
  <c r="HQ22" i="1" s="1"/>
  <c r="HS22" i="1" s="1"/>
  <c r="HK22" i="1"/>
  <c r="HL22" i="1" s="1"/>
  <c r="HN22" i="1" s="1"/>
  <c r="HF22" i="1"/>
  <c r="HG22" i="1" s="1"/>
  <c r="HI22" i="1" s="1"/>
  <c r="HA22" i="1"/>
  <c r="HB22" i="1" s="1"/>
  <c r="HD22" i="1" s="1"/>
  <c r="GV22" i="1"/>
  <c r="GW22" i="1" s="1"/>
  <c r="GY22" i="1" s="1"/>
  <c r="GQ22" i="1"/>
  <c r="GR22" i="1" s="1"/>
  <c r="GT22" i="1" s="1"/>
  <c r="HP21" i="1"/>
  <c r="HQ21" i="1" s="1"/>
  <c r="HS21" i="1" s="1"/>
  <c r="HK21" i="1"/>
  <c r="HL21" i="1" s="1"/>
  <c r="HN21" i="1" s="1"/>
  <c r="HF21" i="1"/>
  <c r="HG21" i="1" s="1"/>
  <c r="HI21" i="1" s="1"/>
  <c r="HA21" i="1"/>
  <c r="HB21" i="1" s="1"/>
  <c r="HD21" i="1" s="1"/>
  <c r="GV21" i="1"/>
  <c r="GW21" i="1" s="1"/>
  <c r="GY21" i="1" s="1"/>
  <c r="GQ21" i="1"/>
  <c r="GR21" i="1" s="1"/>
  <c r="GT21" i="1" s="1"/>
  <c r="HP20" i="1"/>
  <c r="HQ20" i="1" s="1"/>
  <c r="HS20" i="1" s="1"/>
  <c r="HK20" i="1"/>
  <c r="HL20" i="1" s="1"/>
  <c r="HN20" i="1" s="1"/>
  <c r="HF20" i="1"/>
  <c r="HG20" i="1" s="1"/>
  <c r="HI20" i="1" s="1"/>
  <c r="HA20" i="1"/>
  <c r="HB20" i="1" s="1"/>
  <c r="HD20" i="1" s="1"/>
  <c r="GV20" i="1"/>
  <c r="GW20" i="1" s="1"/>
  <c r="GY20" i="1" s="1"/>
  <c r="GQ20" i="1"/>
  <c r="GR20" i="1" s="1"/>
  <c r="GT20" i="1" s="1"/>
  <c r="HP19" i="1"/>
  <c r="HQ19" i="1" s="1"/>
  <c r="HS19" i="1" s="1"/>
  <c r="HK19" i="1"/>
  <c r="HL19" i="1" s="1"/>
  <c r="HN19" i="1" s="1"/>
  <c r="HF19" i="1"/>
  <c r="HG19" i="1" s="1"/>
  <c r="HI19" i="1" s="1"/>
  <c r="HA19" i="1"/>
  <c r="HB19" i="1" s="1"/>
  <c r="HD19" i="1" s="1"/>
  <c r="GV19" i="1"/>
  <c r="GW19" i="1" s="1"/>
  <c r="GY19" i="1" s="1"/>
  <c r="GQ19" i="1"/>
  <c r="GR19" i="1" s="1"/>
  <c r="GT19" i="1" s="1"/>
  <c r="HP18" i="1"/>
  <c r="HQ18" i="1" s="1"/>
  <c r="HS18" i="1" s="1"/>
  <c r="HK18" i="1"/>
  <c r="HL18" i="1" s="1"/>
  <c r="HN18" i="1" s="1"/>
  <c r="HF18" i="1"/>
  <c r="HG18" i="1" s="1"/>
  <c r="HI18" i="1" s="1"/>
  <c r="HA18" i="1"/>
  <c r="HB18" i="1" s="1"/>
  <c r="HD18" i="1" s="1"/>
  <c r="GV18" i="1"/>
  <c r="GW18" i="1" s="1"/>
  <c r="GY18" i="1" s="1"/>
  <c r="GQ18" i="1"/>
  <c r="GR18" i="1" s="1"/>
  <c r="GT18" i="1" s="1"/>
  <c r="HP17" i="1"/>
  <c r="HQ17" i="1" s="1"/>
  <c r="HS17" i="1" s="1"/>
  <c r="HK17" i="1"/>
  <c r="HL17" i="1" s="1"/>
  <c r="HN17" i="1" s="1"/>
  <c r="HF17" i="1"/>
  <c r="HG17" i="1" s="1"/>
  <c r="HI17" i="1" s="1"/>
  <c r="HA17" i="1"/>
  <c r="HB17" i="1" s="1"/>
  <c r="HD17" i="1" s="1"/>
  <c r="GV17" i="1"/>
  <c r="GW17" i="1" s="1"/>
  <c r="GY17" i="1" s="1"/>
  <c r="GQ17" i="1"/>
  <c r="GR17" i="1" s="1"/>
  <c r="GT17" i="1" s="1"/>
  <c r="HP16" i="1"/>
  <c r="HQ16" i="1" s="1"/>
  <c r="HS16" i="1" s="1"/>
  <c r="HK16" i="1"/>
  <c r="HL16" i="1" s="1"/>
  <c r="HN16" i="1" s="1"/>
  <c r="HF16" i="1"/>
  <c r="HG16" i="1" s="1"/>
  <c r="HI16" i="1" s="1"/>
  <c r="HA16" i="1"/>
  <c r="HB16" i="1" s="1"/>
  <c r="HD16" i="1" s="1"/>
  <c r="GV16" i="1"/>
  <c r="GW16" i="1" s="1"/>
  <c r="GY16" i="1" s="1"/>
  <c r="GQ16" i="1"/>
  <c r="GR16" i="1" s="1"/>
  <c r="GT16" i="1" s="1"/>
  <c r="HP15" i="1"/>
  <c r="HQ15" i="1" s="1"/>
  <c r="HS15" i="1" s="1"/>
  <c r="HK15" i="1"/>
  <c r="HL15" i="1" s="1"/>
  <c r="HN15" i="1" s="1"/>
  <c r="HF15" i="1"/>
  <c r="HG15" i="1" s="1"/>
  <c r="HI15" i="1" s="1"/>
  <c r="HA15" i="1"/>
  <c r="HB15" i="1" s="1"/>
  <c r="HD15" i="1" s="1"/>
  <c r="GV15" i="1"/>
  <c r="GW15" i="1" s="1"/>
  <c r="GY15" i="1" s="1"/>
  <c r="GQ15" i="1"/>
  <c r="GR15" i="1" s="1"/>
  <c r="GT15" i="1" s="1"/>
  <c r="HP14" i="1"/>
  <c r="HQ14" i="1" s="1"/>
  <c r="HS14" i="1" s="1"/>
  <c r="HK14" i="1"/>
  <c r="HL14" i="1" s="1"/>
  <c r="HN14" i="1" s="1"/>
  <c r="HF14" i="1"/>
  <c r="HG14" i="1" s="1"/>
  <c r="HI14" i="1" s="1"/>
  <c r="HA14" i="1"/>
  <c r="HB14" i="1" s="1"/>
  <c r="HD14" i="1" s="1"/>
  <c r="GV14" i="1"/>
  <c r="GW14" i="1" s="1"/>
  <c r="GY14" i="1" s="1"/>
  <c r="GQ14" i="1"/>
  <c r="GR14" i="1" s="1"/>
  <c r="GT14" i="1" s="1"/>
  <c r="HP13" i="1"/>
  <c r="HQ13" i="1" s="1"/>
  <c r="HS13" i="1" s="1"/>
  <c r="HK13" i="1"/>
  <c r="HL13" i="1" s="1"/>
  <c r="HN13" i="1" s="1"/>
  <c r="HF13" i="1"/>
  <c r="HG13" i="1" s="1"/>
  <c r="HI13" i="1" s="1"/>
  <c r="HA13" i="1"/>
  <c r="HB13" i="1" s="1"/>
  <c r="HD13" i="1" s="1"/>
  <c r="GV13" i="1"/>
  <c r="GW13" i="1" s="1"/>
  <c r="GY13" i="1" s="1"/>
  <c r="GQ13" i="1"/>
  <c r="GR13" i="1" s="1"/>
  <c r="GT13" i="1" s="1"/>
  <c r="HP12" i="1"/>
  <c r="HQ12" i="1" s="1"/>
  <c r="HS12" i="1" s="1"/>
  <c r="HK12" i="1"/>
  <c r="HL12" i="1" s="1"/>
  <c r="HN12" i="1" s="1"/>
  <c r="HF12" i="1"/>
  <c r="HG12" i="1" s="1"/>
  <c r="HI12" i="1" s="1"/>
  <c r="HA12" i="1"/>
  <c r="HB12" i="1" s="1"/>
  <c r="HD12" i="1" s="1"/>
  <c r="GV12" i="1"/>
  <c r="GW12" i="1" s="1"/>
  <c r="GY12" i="1" s="1"/>
  <c r="GQ12" i="1"/>
  <c r="GR12" i="1" s="1"/>
  <c r="GT12" i="1" s="1"/>
  <c r="HP11" i="1"/>
  <c r="HQ11" i="1" s="1"/>
  <c r="HS11" i="1" s="1"/>
  <c r="HK11" i="1"/>
  <c r="HL11" i="1" s="1"/>
  <c r="HN11" i="1" s="1"/>
  <c r="HF11" i="1"/>
  <c r="HG11" i="1" s="1"/>
  <c r="HI11" i="1" s="1"/>
  <c r="HA11" i="1"/>
  <c r="HB11" i="1" s="1"/>
  <c r="HD11" i="1" s="1"/>
  <c r="GV11" i="1"/>
  <c r="GW11" i="1" s="1"/>
  <c r="GY11" i="1" s="1"/>
  <c r="GQ11" i="1"/>
  <c r="GR11" i="1" s="1"/>
  <c r="GT11" i="1" s="1"/>
  <c r="HP10" i="1"/>
  <c r="HQ10" i="1" s="1"/>
  <c r="HS10" i="1" s="1"/>
  <c r="HK10" i="1"/>
  <c r="HL10" i="1" s="1"/>
  <c r="HN10" i="1" s="1"/>
  <c r="HF10" i="1"/>
  <c r="HG10" i="1" s="1"/>
  <c r="HI10" i="1" s="1"/>
  <c r="HA10" i="1"/>
  <c r="HB10" i="1" s="1"/>
  <c r="HD10" i="1" s="1"/>
  <c r="GV10" i="1"/>
  <c r="GW10" i="1" s="1"/>
  <c r="GY10" i="1" s="1"/>
  <c r="GQ10" i="1"/>
  <c r="GR10" i="1" s="1"/>
  <c r="GT10" i="1" s="1"/>
  <c r="HP9" i="1"/>
  <c r="HQ9" i="1" s="1"/>
  <c r="HS9" i="1" s="1"/>
  <c r="HK9" i="1"/>
  <c r="HL9" i="1" s="1"/>
  <c r="HN9" i="1" s="1"/>
  <c r="HF9" i="1"/>
  <c r="HG9" i="1" s="1"/>
  <c r="HI9" i="1" s="1"/>
  <c r="HA9" i="1"/>
  <c r="HB9" i="1" s="1"/>
  <c r="HD9" i="1" s="1"/>
  <c r="GV9" i="1"/>
  <c r="GW9" i="1" s="1"/>
  <c r="GY9" i="1" s="1"/>
  <c r="GQ9" i="1"/>
  <c r="GR9" i="1" s="1"/>
  <c r="GT9" i="1" s="1"/>
  <c r="HP8" i="1"/>
  <c r="HQ8" i="1" s="1"/>
  <c r="HS8" i="1" s="1"/>
  <c r="HK8" i="1"/>
  <c r="HL8" i="1" s="1"/>
  <c r="HN8" i="1" s="1"/>
  <c r="HF8" i="1"/>
  <c r="HG8" i="1" s="1"/>
  <c r="HI8" i="1" s="1"/>
  <c r="HA8" i="1"/>
  <c r="HB8" i="1" s="1"/>
  <c r="HD8" i="1" s="1"/>
  <c r="GV8" i="1"/>
  <c r="GW8" i="1" s="1"/>
  <c r="GY8" i="1" s="1"/>
  <c r="GQ8" i="1"/>
  <c r="GR8" i="1" s="1"/>
  <c r="GT8" i="1" s="1"/>
  <c r="HP7" i="1"/>
  <c r="HQ7" i="1" s="1"/>
  <c r="HS7" i="1" s="1"/>
  <c r="HK7" i="1"/>
  <c r="HL7" i="1" s="1"/>
  <c r="HN7" i="1" s="1"/>
  <c r="HF7" i="1"/>
  <c r="HG7" i="1" s="1"/>
  <c r="HI7" i="1" s="1"/>
  <c r="HA7" i="1"/>
  <c r="HB7" i="1" s="1"/>
  <c r="HD7" i="1" s="1"/>
  <c r="GV7" i="1"/>
  <c r="GW7" i="1" s="1"/>
  <c r="GY7" i="1" s="1"/>
  <c r="GQ7" i="1"/>
  <c r="GR7" i="1" s="1"/>
  <c r="GT7" i="1" s="1"/>
  <c r="HP6" i="1"/>
  <c r="HQ6" i="1" s="1"/>
  <c r="HS6" i="1" s="1"/>
  <c r="HK6" i="1"/>
  <c r="HL6" i="1" s="1"/>
  <c r="HN6" i="1" s="1"/>
  <c r="HF6" i="1"/>
  <c r="HG6" i="1" s="1"/>
  <c r="HI6" i="1" s="1"/>
  <c r="HA6" i="1"/>
  <c r="HB6" i="1" s="1"/>
  <c r="HD6" i="1" s="1"/>
  <c r="GV6" i="1"/>
  <c r="GW6" i="1" s="1"/>
  <c r="GY6" i="1" s="1"/>
  <c r="GQ6" i="1"/>
  <c r="GR6" i="1" s="1"/>
  <c r="GT6" i="1" s="1"/>
  <c r="HP5" i="1"/>
  <c r="HQ5" i="1" s="1"/>
  <c r="HS5" i="1" s="1"/>
  <c r="HK5" i="1"/>
  <c r="HL5" i="1" s="1"/>
  <c r="HN5" i="1" s="1"/>
  <c r="HF5" i="1"/>
  <c r="HG5" i="1" s="1"/>
  <c r="HI5" i="1" s="1"/>
  <c r="HA5" i="1"/>
  <c r="HB5" i="1" s="1"/>
  <c r="HD5" i="1" s="1"/>
  <c r="GV5" i="1"/>
  <c r="GW5" i="1" s="1"/>
  <c r="GY5" i="1" s="1"/>
  <c r="GQ5" i="1"/>
  <c r="GR5" i="1" s="1"/>
  <c r="GT5" i="1" s="1"/>
  <c r="HP4" i="1"/>
  <c r="HQ4" i="1" s="1"/>
  <c r="HS4" i="1" s="1"/>
  <c r="HK4" i="1"/>
  <c r="HL4" i="1" s="1"/>
  <c r="HN4" i="1" s="1"/>
  <c r="HF4" i="1"/>
  <c r="HG4" i="1" s="1"/>
  <c r="HI4" i="1" s="1"/>
  <c r="HA4" i="1"/>
  <c r="HB4" i="1" s="1"/>
  <c r="HD4" i="1" s="1"/>
  <c r="GV4" i="1"/>
  <c r="GW4" i="1" s="1"/>
  <c r="GY4" i="1" s="1"/>
  <c r="GQ4" i="1"/>
  <c r="GR4" i="1" s="1"/>
  <c r="GT4" i="1" s="1"/>
  <c r="HP3" i="1"/>
  <c r="HQ3" i="1" s="1"/>
  <c r="HS3" i="1" s="1"/>
  <c r="HK3" i="1"/>
  <c r="HL3" i="1" s="1"/>
  <c r="HN3" i="1" s="1"/>
  <c r="HF3" i="1"/>
  <c r="HG3" i="1" s="1"/>
  <c r="HI3" i="1" s="1"/>
  <c r="HA3" i="1"/>
  <c r="HB3" i="1" s="1"/>
  <c r="HD3" i="1" s="1"/>
  <c r="GV3" i="1"/>
  <c r="GW3" i="1" s="1"/>
  <c r="GY3" i="1" s="1"/>
  <c r="GQ3" i="1"/>
  <c r="GR3" i="1" s="1"/>
  <c r="GT3" i="1" s="1"/>
  <c r="GL35" i="1"/>
  <c r="GM35" i="1" s="1"/>
  <c r="GO35" i="1" s="1"/>
  <c r="GG35" i="1"/>
  <c r="GH35" i="1" s="1"/>
  <c r="GJ35" i="1" s="1"/>
  <c r="GB35" i="1"/>
  <c r="GC35" i="1" s="1"/>
  <c r="GE35" i="1" s="1"/>
  <c r="FW35" i="1"/>
  <c r="FX35" i="1" s="1"/>
  <c r="FZ35" i="1" s="1"/>
  <c r="FR35" i="1"/>
  <c r="FS35" i="1" s="1"/>
  <c r="FU35" i="1" s="1"/>
  <c r="FM35" i="1"/>
  <c r="FN35" i="1" s="1"/>
  <c r="FP35" i="1" s="1"/>
  <c r="FH35" i="1"/>
  <c r="FI35" i="1" s="1"/>
  <c r="FK35" i="1" s="1"/>
  <c r="FC35" i="1"/>
  <c r="FD35" i="1" s="1"/>
  <c r="FF35" i="1" s="1"/>
  <c r="GL34" i="1"/>
  <c r="GM34" i="1" s="1"/>
  <c r="GO34" i="1" s="1"/>
  <c r="GG34" i="1"/>
  <c r="GH34" i="1" s="1"/>
  <c r="GJ34" i="1" s="1"/>
  <c r="GB34" i="1"/>
  <c r="GC34" i="1" s="1"/>
  <c r="GE34" i="1" s="1"/>
  <c r="FW34" i="1"/>
  <c r="FX34" i="1" s="1"/>
  <c r="FZ34" i="1" s="1"/>
  <c r="FR34" i="1"/>
  <c r="FS34" i="1" s="1"/>
  <c r="FU34" i="1" s="1"/>
  <c r="FM34" i="1"/>
  <c r="FN34" i="1" s="1"/>
  <c r="FP34" i="1" s="1"/>
  <c r="FH34" i="1"/>
  <c r="FI34" i="1" s="1"/>
  <c r="FK34" i="1" s="1"/>
  <c r="FC34" i="1"/>
  <c r="FD34" i="1" s="1"/>
  <c r="FF34" i="1" s="1"/>
  <c r="GL33" i="1"/>
  <c r="GM33" i="1" s="1"/>
  <c r="GO33" i="1" s="1"/>
  <c r="GG33" i="1"/>
  <c r="GH33" i="1" s="1"/>
  <c r="GJ33" i="1" s="1"/>
  <c r="GB33" i="1"/>
  <c r="GC33" i="1" s="1"/>
  <c r="GE33" i="1" s="1"/>
  <c r="FW33" i="1"/>
  <c r="FX33" i="1" s="1"/>
  <c r="FZ33" i="1" s="1"/>
  <c r="FR33" i="1"/>
  <c r="FS33" i="1" s="1"/>
  <c r="FU33" i="1" s="1"/>
  <c r="FM33" i="1"/>
  <c r="FN33" i="1" s="1"/>
  <c r="FP33" i="1" s="1"/>
  <c r="FH33" i="1"/>
  <c r="FI33" i="1" s="1"/>
  <c r="FK33" i="1" s="1"/>
  <c r="FC33" i="1"/>
  <c r="FD33" i="1" s="1"/>
  <c r="FF33" i="1" s="1"/>
  <c r="GL32" i="1"/>
  <c r="GM32" i="1" s="1"/>
  <c r="GO32" i="1" s="1"/>
  <c r="GG32" i="1"/>
  <c r="GH32" i="1" s="1"/>
  <c r="GJ32" i="1" s="1"/>
  <c r="GB32" i="1"/>
  <c r="GC32" i="1" s="1"/>
  <c r="GE32" i="1" s="1"/>
  <c r="FW32" i="1"/>
  <c r="FX32" i="1" s="1"/>
  <c r="FZ32" i="1" s="1"/>
  <c r="FR32" i="1"/>
  <c r="FS32" i="1" s="1"/>
  <c r="FU32" i="1" s="1"/>
  <c r="FM32" i="1"/>
  <c r="FN32" i="1" s="1"/>
  <c r="FP32" i="1" s="1"/>
  <c r="FH32" i="1"/>
  <c r="FI32" i="1" s="1"/>
  <c r="FK32" i="1" s="1"/>
  <c r="FC32" i="1"/>
  <c r="FD32" i="1" s="1"/>
  <c r="FF32" i="1" s="1"/>
  <c r="GL31" i="1"/>
  <c r="GM31" i="1" s="1"/>
  <c r="GO31" i="1" s="1"/>
  <c r="GG31" i="1"/>
  <c r="GH31" i="1" s="1"/>
  <c r="GJ31" i="1" s="1"/>
  <c r="GB31" i="1"/>
  <c r="GC31" i="1" s="1"/>
  <c r="GE31" i="1" s="1"/>
  <c r="FW31" i="1"/>
  <c r="FX31" i="1" s="1"/>
  <c r="FZ31" i="1" s="1"/>
  <c r="FR31" i="1"/>
  <c r="FS31" i="1" s="1"/>
  <c r="FU31" i="1" s="1"/>
  <c r="FM31" i="1"/>
  <c r="FN31" i="1" s="1"/>
  <c r="FP31" i="1" s="1"/>
  <c r="FH31" i="1"/>
  <c r="FI31" i="1" s="1"/>
  <c r="FK31" i="1" s="1"/>
  <c r="FC31" i="1"/>
  <c r="FD31" i="1" s="1"/>
  <c r="FF31" i="1" s="1"/>
  <c r="GL30" i="1"/>
  <c r="GM30" i="1" s="1"/>
  <c r="GO30" i="1" s="1"/>
  <c r="GG30" i="1"/>
  <c r="GH30" i="1" s="1"/>
  <c r="GJ30" i="1" s="1"/>
  <c r="GB30" i="1"/>
  <c r="GC30" i="1" s="1"/>
  <c r="GE30" i="1" s="1"/>
  <c r="FW30" i="1"/>
  <c r="FX30" i="1" s="1"/>
  <c r="FZ30" i="1" s="1"/>
  <c r="FR30" i="1"/>
  <c r="FS30" i="1" s="1"/>
  <c r="FU30" i="1" s="1"/>
  <c r="FM30" i="1"/>
  <c r="FN30" i="1" s="1"/>
  <c r="FP30" i="1" s="1"/>
  <c r="FH30" i="1"/>
  <c r="FI30" i="1" s="1"/>
  <c r="FK30" i="1" s="1"/>
  <c r="FC30" i="1"/>
  <c r="FD30" i="1" s="1"/>
  <c r="FF30" i="1" s="1"/>
  <c r="GL29" i="1"/>
  <c r="GM29" i="1" s="1"/>
  <c r="GO29" i="1" s="1"/>
  <c r="GG29" i="1"/>
  <c r="GH29" i="1" s="1"/>
  <c r="GJ29" i="1" s="1"/>
  <c r="GB29" i="1"/>
  <c r="GC29" i="1" s="1"/>
  <c r="GE29" i="1" s="1"/>
  <c r="FW29" i="1"/>
  <c r="FX29" i="1" s="1"/>
  <c r="FZ29" i="1" s="1"/>
  <c r="FR29" i="1"/>
  <c r="FS29" i="1" s="1"/>
  <c r="FU29" i="1" s="1"/>
  <c r="FM29" i="1"/>
  <c r="FN29" i="1" s="1"/>
  <c r="FP29" i="1" s="1"/>
  <c r="FH29" i="1"/>
  <c r="FI29" i="1" s="1"/>
  <c r="FK29" i="1" s="1"/>
  <c r="FC29" i="1"/>
  <c r="FD29" i="1" s="1"/>
  <c r="FF29" i="1" s="1"/>
  <c r="GL28" i="1"/>
  <c r="GM28" i="1" s="1"/>
  <c r="GO28" i="1" s="1"/>
  <c r="GG28" i="1"/>
  <c r="GH28" i="1" s="1"/>
  <c r="GJ28" i="1" s="1"/>
  <c r="GB28" i="1"/>
  <c r="GC28" i="1" s="1"/>
  <c r="GE28" i="1" s="1"/>
  <c r="FW28" i="1"/>
  <c r="FX28" i="1" s="1"/>
  <c r="FZ28" i="1" s="1"/>
  <c r="FR28" i="1"/>
  <c r="FS28" i="1" s="1"/>
  <c r="FU28" i="1" s="1"/>
  <c r="FM28" i="1"/>
  <c r="FN28" i="1" s="1"/>
  <c r="FP28" i="1" s="1"/>
  <c r="FH28" i="1"/>
  <c r="FI28" i="1" s="1"/>
  <c r="FK28" i="1" s="1"/>
  <c r="FC28" i="1"/>
  <c r="FD28" i="1" s="1"/>
  <c r="FF28" i="1" s="1"/>
  <c r="GL27" i="1"/>
  <c r="GM27" i="1" s="1"/>
  <c r="GO27" i="1" s="1"/>
  <c r="GG27" i="1"/>
  <c r="GH27" i="1" s="1"/>
  <c r="GJ27" i="1" s="1"/>
  <c r="GB27" i="1"/>
  <c r="GC27" i="1" s="1"/>
  <c r="GE27" i="1" s="1"/>
  <c r="FW27" i="1"/>
  <c r="FX27" i="1" s="1"/>
  <c r="FZ27" i="1" s="1"/>
  <c r="FR27" i="1"/>
  <c r="FS27" i="1" s="1"/>
  <c r="FU27" i="1" s="1"/>
  <c r="FM27" i="1"/>
  <c r="FN27" i="1" s="1"/>
  <c r="FP27" i="1" s="1"/>
  <c r="FH27" i="1"/>
  <c r="FI27" i="1" s="1"/>
  <c r="FK27" i="1" s="1"/>
  <c r="FC27" i="1"/>
  <c r="FD27" i="1" s="1"/>
  <c r="FF27" i="1" s="1"/>
  <c r="GL26" i="1"/>
  <c r="GM26" i="1" s="1"/>
  <c r="GO26" i="1" s="1"/>
  <c r="GG26" i="1"/>
  <c r="GH26" i="1" s="1"/>
  <c r="GJ26" i="1" s="1"/>
  <c r="GB26" i="1"/>
  <c r="GC26" i="1" s="1"/>
  <c r="GE26" i="1" s="1"/>
  <c r="FW26" i="1"/>
  <c r="FX26" i="1" s="1"/>
  <c r="FZ26" i="1" s="1"/>
  <c r="FR26" i="1"/>
  <c r="FS26" i="1" s="1"/>
  <c r="FU26" i="1" s="1"/>
  <c r="FM26" i="1"/>
  <c r="FN26" i="1" s="1"/>
  <c r="FP26" i="1" s="1"/>
  <c r="FH26" i="1"/>
  <c r="FI26" i="1" s="1"/>
  <c r="FK26" i="1" s="1"/>
  <c r="FC26" i="1"/>
  <c r="FD26" i="1" s="1"/>
  <c r="FF26" i="1" s="1"/>
  <c r="GL25" i="1"/>
  <c r="GM25" i="1" s="1"/>
  <c r="GO25" i="1" s="1"/>
  <c r="GG25" i="1"/>
  <c r="GH25" i="1" s="1"/>
  <c r="GJ25" i="1" s="1"/>
  <c r="GB25" i="1"/>
  <c r="GC25" i="1" s="1"/>
  <c r="GE25" i="1" s="1"/>
  <c r="FW25" i="1"/>
  <c r="FX25" i="1" s="1"/>
  <c r="FZ25" i="1" s="1"/>
  <c r="FR25" i="1"/>
  <c r="FS25" i="1" s="1"/>
  <c r="FU25" i="1" s="1"/>
  <c r="FM25" i="1"/>
  <c r="FN25" i="1" s="1"/>
  <c r="FP25" i="1" s="1"/>
  <c r="FH25" i="1"/>
  <c r="FI25" i="1" s="1"/>
  <c r="FK25" i="1" s="1"/>
  <c r="FC25" i="1"/>
  <c r="FD25" i="1" s="1"/>
  <c r="FF25" i="1" s="1"/>
  <c r="GL24" i="1"/>
  <c r="GM24" i="1" s="1"/>
  <c r="GO24" i="1" s="1"/>
  <c r="GG24" i="1"/>
  <c r="GH24" i="1" s="1"/>
  <c r="GJ24" i="1" s="1"/>
  <c r="GB24" i="1"/>
  <c r="GC24" i="1" s="1"/>
  <c r="GE24" i="1" s="1"/>
  <c r="FW24" i="1"/>
  <c r="FX24" i="1" s="1"/>
  <c r="FZ24" i="1" s="1"/>
  <c r="FR24" i="1"/>
  <c r="FS24" i="1" s="1"/>
  <c r="FU24" i="1" s="1"/>
  <c r="FM24" i="1"/>
  <c r="FN24" i="1" s="1"/>
  <c r="FP24" i="1" s="1"/>
  <c r="FH24" i="1"/>
  <c r="FI24" i="1" s="1"/>
  <c r="FK24" i="1" s="1"/>
  <c r="FC24" i="1"/>
  <c r="FD24" i="1" s="1"/>
  <c r="FF24" i="1" s="1"/>
  <c r="GL23" i="1"/>
  <c r="GM23" i="1" s="1"/>
  <c r="GO23" i="1" s="1"/>
  <c r="GG23" i="1"/>
  <c r="GH23" i="1" s="1"/>
  <c r="GJ23" i="1" s="1"/>
  <c r="GB23" i="1"/>
  <c r="GC23" i="1" s="1"/>
  <c r="GE23" i="1" s="1"/>
  <c r="FW23" i="1"/>
  <c r="FX23" i="1" s="1"/>
  <c r="FZ23" i="1" s="1"/>
  <c r="FR23" i="1"/>
  <c r="FS23" i="1" s="1"/>
  <c r="FU23" i="1" s="1"/>
  <c r="FM23" i="1"/>
  <c r="FN23" i="1" s="1"/>
  <c r="FP23" i="1" s="1"/>
  <c r="FH23" i="1"/>
  <c r="FI23" i="1" s="1"/>
  <c r="FK23" i="1" s="1"/>
  <c r="FC23" i="1"/>
  <c r="FD23" i="1" s="1"/>
  <c r="FF23" i="1" s="1"/>
  <c r="GL22" i="1"/>
  <c r="GM22" i="1" s="1"/>
  <c r="GO22" i="1" s="1"/>
  <c r="GG22" i="1"/>
  <c r="GH22" i="1" s="1"/>
  <c r="GJ22" i="1" s="1"/>
  <c r="GB22" i="1"/>
  <c r="GC22" i="1" s="1"/>
  <c r="GE22" i="1" s="1"/>
  <c r="FW22" i="1"/>
  <c r="FX22" i="1" s="1"/>
  <c r="FZ22" i="1" s="1"/>
  <c r="FR22" i="1"/>
  <c r="FS22" i="1" s="1"/>
  <c r="FU22" i="1" s="1"/>
  <c r="FM22" i="1"/>
  <c r="FN22" i="1" s="1"/>
  <c r="FP22" i="1" s="1"/>
  <c r="FH22" i="1"/>
  <c r="FI22" i="1" s="1"/>
  <c r="FK22" i="1" s="1"/>
  <c r="FC22" i="1"/>
  <c r="FD22" i="1" s="1"/>
  <c r="FF22" i="1" s="1"/>
  <c r="GL21" i="1"/>
  <c r="GM21" i="1" s="1"/>
  <c r="GO21" i="1" s="1"/>
  <c r="GG21" i="1"/>
  <c r="GH21" i="1" s="1"/>
  <c r="GJ21" i="1" s="1"/>
  <c r="GB21" i="1"/>
  <c r="GC21" i="1" s="1"/>
  <c r="GE21" i="1" s="1"/>
  <c r="FW21" i="1"/>
  <c r="FX21" i="1" s="1"/>
  <c r="FZ21" i="1" s="1"/>
  <c r="FR21" i="1"/>
  <c r="FS21" i="1" s="1"/>
  <c r="FU21" i="1" s="1"/>
  <c r="FM21" i="1"/>
  <c r="FN21" i="1" s="1"/>
  <c r="FP21" i="1" s="1"/>
  <c r="FH21" i="1"/>
  <c r="FI21" i="1" s="1"/>
  <c r="FK21" i="1" s="1"/>
  <c r="FC21" i="1"/>
  <c r="FD21" i="1" s="1"/>
  <c r="FF21" i="1" s="1"/>
  <c r="GL20" i="1"/>
  <c r="GM20" i="1" s="1"/>
  <c r="GO20" i="1" s="1"/>
  <c r="GG20" i="1"/>
  <c r="GH20" i="1" s="1"/>
  <c r="GJ20" i="1" s="1"/>
  <c r="GB20" i="1"/>
  <c r="GC20" i="1" s="1"/>
  <c r="GE20" i="1" s="1"/>
  <c r="FW20" i="1"/>
  <c r="FX20" i="1" s="1"/>
  <c r="FZ20" i="1" s="1"/>
  <c r="FR20" i="1"/>
  <c r="FS20" i="1" s="1"/>
  <c r="FU20" i="1" s="1"/>
  <c r="FM20" i="1"/>
  <c r="FN20" i="1" s="1"/>
  <c r="FP20" i="1" s="1"/>
  <c r="FH20" i="1"/>
  <c r="FI20" i="1" s="1"/>
  <c r="FK20" i="1" s="1"/>
  <c r="FC20" i="1"/>
  <c r="FD20" i="1" s="1"/>
  <c r="FF20" i="1" s="1"/>
  <c r="GL19" i="1"/>
  <c r="GM19" i="1" s="1"/>
  <c r="GO19" i="1" s="1"/>
  <c r="GG19" i="1"/>
  <c r="GH19" i="1" s="1"/>
  <c r="GJ19" i="1" s="1"/>
  <c r="GB19" i="1"/>
  <c r="GC19" i="1" s="1"/>
  <c r="GE19" i="1" s="1"/>
  <c r="FW19" i="1"/>
  <c r="FX19" i="1" s="1"/>
  <c r="FZ19" i="1" s="1"/>
  <c r="FR19" i="1"/>
  <c r="FS19" i="1" s="1"/>
  <c r="FU19" i="1" s="1"/>
  <c r="FM19" i="1"/>
  <c r="FN19" i="1" s="1"/>
  <c r="FP19" i="1" s="1"/>
  <c r="FH19" i="1"/>
  <c r="FI19" i="1" s="1"/>
  <c r="FK19" i="1" s="1"/>
  <c r="FC19" i="1"/>
  <c r="FD19" i="1" s="1"/>
  <c r="FF19" i="1" s="1"/>
  <c r="GL18" i="1"/>
  <c r="GM18" i="1" s="1"/>
  <c r="GO18" i="1" s="1"/>
  <c r="GG18" i="1"/>
  <c r="GH18" i="1" s="1"/>
  <c r="GJ18" i="1" s="1"/>
  <c r="GB18" i="1"/>
  <c r="GC18" i="1" s="1"/>
  <c r="GE18" i="1" s="1"/>
  <c r="FW18" i="1"/>
  <c r="FX18" i="1" s="1"/>
  <c r="FZ18" i="1" s="1"/>
  <c r="FR18" i="1"/>
  <c r="FS18" i="1" s="1"/>
  <c r="FU18" i="1" s="1"/>
  <c r="FM18" i="1"/>
  <c r="FN18" i="1" s="1"/>
  <c r="FP18" i="1" s="1"/>
  <c r="FH18" i="1"/>
  <c r="FI18" i="1" s="1"/>
  <c r="FK18" i="1" s="1"/>
  <c r="FC18" i="1"/>
  <c r="FD18" i="1" s="1"/>
  <c r="FF18" i="1" s="1"/>
  <c r="GL17" i="1"/>
  <c r="GM17" i="1" s="1"/>
  <c r="GO17" i="1" s="1"/>
  <c r="GG17" i="1"/>
  <c r="GH17" i="1" s="1"/>
  <c r="GJ17" i="1" s="1"/>
  <c r="GB17" i="1"/>
  <c r="GC17" i="1" s="1"/>
  <c r="GE17" i="1" s="1"/>
  <c r="FW17" i="1"/>
  <c r="FX17" i="1" s="1"/>
  <c r="FZ17" i="1" s="1"/>
  <c r="FR17" i="1"/>
  <c r="FS17" i="1" s="1"/>
  <c r="FU17" i="1" s="1"/>
  <c r="FM17" i="1"/>
  <c r="FN17" i="1" s="1"/>
  <c r="FP17" i="1" s="1"/>
  <c r="FH17" i="1"/>
  <c r="FI17" i="1" s="1"/>
  <c r="FK17" i="1" s="1"/>
  <c r="FC17" i="1"/>
  <c r="FD17" i="1" s="1"/>
  <c r="FF17" i="1" s="1"/>
  <c r="GL16" i="1"/>
  <c r="GM16" i="1" s="1"/>
  <c r="GO16" i="1" s="1"/>
  <c r="GG16" i="1"/>
  <c r="GH16" i="1" s="1"/>
  <c r="GJ16" i="1" s="1"/>
  <c r="GB16" i="1"/>
  <c r="GC16" i="1" s="1"/>
  <c r="GE16" i="1" s="1"/>
  <c r="FW16" i="1"/>
  <c r="FX16" i="1" s="1"/>
  <c r="FZ16" i="1" s="1"/>
  <c r="FR16" i="1"/>
  <c r="FS16" i="1" s="1"/>
  <c r="FU16" i="1" s="1"/>
  <c r="FM16" i="1"/>
  <c r="FN16" i="1" s="1"/>
  <c r="FP16" i="1" s="1"/>
  <c r="FH16" i="1"/>
  <c r="FI16" i="1" s="1"/>
  <c r="FK16" i="1" s="1"/>
  <c r="FC16" i="1"/>
  <c r="FD16" i="1" s="1"/>
  <c r="FF16" i="1" s="1"/>
  <c r="GL15" i="1"/>
  <c r="GM15" i="1" s="1"/>
  <c r="GO15" i="1" s="1"/>
  <c r="GG15" i="1"/>
  <c r="GH15" i="1" s="1"/>
  <c r="GJ15" i="1" s="1"/>
  <c r="GB15" i="1"/>
  <c r="GC15" i="1" s="1"/>
  <c r="GE15" i="1" s="1"/>
  <c r="FW15" i="1"/>
  <c r="FX15" i="1" s="1"/>
  <c r="FZ15" i="1" s="1"/>
  <c r="FR15" i="1"/>
  <c r="FS15" i="1" s="1"/>
  <c r="FU15" i="1" s="1"/>
  <c r="FM15" i="1"/>
  <c r="FN15" i="1" s="1"/>
  <c r="FP15" i="1" s="1"/>
  <c r="FH15" i="1"/>
  <c r="FI15" i="1" s="1"/>
  <c r="FK15" i="1" s="1"/>
  <c r="FC15" i="1"/>
  <c r="FD15" i="1" s="1"/>
  <c r="FF15" i="1" s="1"/>
  <c r="GL14" i="1"/>
  <c r="GM14" i="1" s="1"/>
  <c r="GO14" i="1" s="1"/>
  <c r="GG14" i="1"/>
  <c r="GH14" i="1" s="1"/>
  <c r="GJ14" i="1" s="1"/>
  <c r="GB14" i="1"/>
  <c r="GC14" i="1" s="1"/>
  <c r="GE14" i="1" s="1"/>
  <c r="FW14" i="1"/>
  <c r="FX14" i="1" s="1"/>
  <c r="FZ14" i="1" s="1"/>
  <c r="FR14" i="1"/>
  <c r="FS14" i="1" s="1"/>
  <c r="FU14" i="1" s="1"/>
  <c r="FM14" i="1"/>
  <c r="FN14" i="1" s="1"/>
  <c r="FP14" i="1" s="1"/>
  <c r="FH14" i="1"/>
  <c r="FI14" i="1" s="1"/>
  <c r="FK14" i="1" s="1"/>
  <c r="FC14" i="1"/>
  <c r="FD14" i="1" s="1"/>
  <c r="FF14" i="1" s="1"/>
  <c r="GL13" i="1"/>
  <c r="GM13" i="1" s="1"/>
  <c r="GO13" i="1" s="1"/>
  <c r="GG13" i="1"/>
  <c r="GH13" i="1" s="1"/>
  <c r="GJ13" i="1" s="1"/>
  <c r="GB13" i="1"/>
  <c r="GC13" i="1" s="1"/>
  <c r="GE13" i="1" s="1"/>
  <c r="FW13" i="1"/>
  <c r="FX13" i="1" s="1"/>
  <c r="FZ13" i="1" s="1"/>
  <c r="FR13" i="1"/>
  <c r="FS13" i="1" s="1"/>
  <c r="FU13" i="1" s="1"/>
  <c r="FM13" i="1"/>
  <c r="FN13" i="1" s="1"/>
  <c r="FP13" i="1" s="1"/>
  <c r="FH13" i="1"/>
  <c r="FI13" i="1" s="1"/>
  <c r="FK13" i="1" s="1"/>
  <c r="FC13" i="1"/>
  <c r="FD13" i="1" s="1"/>
  <c r="FF13" i="1" s="1"/>
  <c r="GL12" i="1"/>
  <c r="GM12" i="1" s="1"/>
  <c r="GO12" i="1" s="1"/>
  <c r="GG12" i="1"/>
  <c r="GH12" i="1" s="1"/>
  <c r="GJ12" i="1" s="1"/>
  <c r="GB12" i="1"/>
  <c r="GC12" i="1" s="1"/>
  <c r="GE12" i="1" s="1"/>
  <c r="FW12" i="1"/>
  <c r="FX12" i="1" s="1"/>
  <c r="FZ12" i="1" s="1"/>
  <c r="FR12" i="1"/>
  <c r="FS12" i="1" s="1"/>
  <c r="FU12" i="1" s="1"/>
  <c r="FM12" i="1"/>
  <c r="FN12" i="1" s="1"/>
  <c r="FP12" i="1" s="1"/>
  <c r="FH12" i="1"/>
  <c r="FI12" i="1" s="1"/>
  <c r="FK12" i="1" s="1"/>
  <c r="FC12" i="1"/>
  <c r="FD12" i="1" s="1"/>
  <c r="FF12" i="1" s="1"/>
  <c r="GL11" i="1"/>
  <c r="GM11" i="1" s="1"/>
  <c r="GO11" i="1" s="1"/>
  <c r="GG11" i="1"/>
  <c r="GH11" i="1" s="1"/>
  <c r="GJ11" i="1" s="1"/>
  <c r="GB11" i="1"/>
  <c r="GC11" i="1" s="1"/>
  <c r="GE11" i="1" s="1"/>
  <c r="FW11" i="1"/>
  <c r="FX11" i="1" s="1"/>
  <c r="FZ11" i="1" s="1"/>
  <c r="FR11" i="1"/>
  <c r="FS11" i="1" s="1"/>
  <c r="FU11" i="1" s="1"/>
  <c r="FM11" i="1"/>
  <c r="FN11" i="1" s="1"/>
  <c r="FP11" i="1" s="1"/>
  <c r="FH11" i="1"/>
  <c r="FI11" i="1" s="1"/>
  <c r="FK11" i="1" s="1"/>
  <c r="FC11" i="1"/>
  <c r="FD11" i="1" s="1"/>
  <c r="FF11" i="1" s="1"/>
  <c r="GL10" i="1"/>
  <c r="GM10" i="1" s="1"/>
  <c r="GO10" i="1" s="1"/>
  <c r="GG10" i="1"/>
  <c r="GH10" i="1" s="1"/>
  <c r="GJ10" i="1" s="1"/>
  <c r="GB10" i="1"/>
  <c r="GC10" i="1" s="1"/>
  <c r="GE10" i="1" s="1"/>
  <c r="FW10" i="1"/>
  <c r="FX10" i="1" s="1"/>
  <c r="FZ10" i="1" s="1"/>
  <c r="FR10" i="1"/>
  <c r="FS10" i="1" s="1"/>
  <c r="FU10" i="1" s="1"/>
  <c r="FM10" i="1"/>
  <c r="FN10" i="1" s="1"/>
  <c r="FP10" i="1" s="1"/>
  <c r="FH10" i="1"/>
  <c r="FI10" i="1" s="1"/>
  <c r="FK10" i="1" s="1"/>
  <c r="FC10" i="1"/>
  <c r="FD10" i="1" s="1"/>
  <c r="FF10" i="1" s="1"/>
  <c r="GL9" i="1"/>
  <c r="GM9" i="1" s="1"/>
  <c r="GO9" i="1" s="1"/>
  <c r="GG9" i="1"/>
  <c r="GH9" i="1" s="1"/>
  <c r="GJ9" i="1" s="1"/>
  <c r="GB9" i="1"/>
  <c r="GC9" i="1" s="1"/>
  <c r="GE9" i="1" s="1"/>
  <c r="FW9" i="1"/>
  <c r="FX9" i="1" s="1"/>
  <c r="FZ9" i="1" s="1"/>
  <c r="FR9" i="1"/>
  <c r="FS9" i="1" s="1"/>
  <c r="FU9" i="1" s="1"/>
  <c r="FM9" i="1"/>
  <c r="FN9" i="1" s="1"/>
  <c r="FP9" i="1" s="1"/>
  <c r="FH9" i="1"/>
  <c r="FI9" i="1" s="1"/>
  <c r="FK9" i="1" s="1"/>
  <c r="FC9" i="1"/>
  <c r="FD9" i="1" s="1"/>
  <c r="FF9" i="1" s="1"/>
  <c r="GL8" i="1"/>
  <c r="GM8" i="1" s="1"/>
  <c r="GO8" i="1" s="1"/>
  <c r="GG8" i="1"/>
  <c r="GH8" i="1" s="1"/>
  <c r="GJ8" i="1" s="1"/>
  <c r="GB8" i="1"/>
  <c r="GC8" i="1" s="1"/>
  <c r="GE8" i="1" s="1"/>
  <c r="FW8" i="1"/>
  <c r="FX8" i="1" s="1"/>
  <c r="FZ8" i="1" s="1"/>
  <c r="FR8" i="1"/>
  <c r="FS8" i="1" s="1"/>
  <c r="FU8" i="1" s="1"/>
  <c r="FM8" i="1"/>
  <c r="FN8" i="1" s="1"/>
  <c r="FP8" i="1" s="1"/>
  <c r="FH8" i="1"/>
  <c r="FI8" i="1" s="1"/>
  <c r="FK8" i="1" s="1"/>
  <c r="FC8" i="1"/>
  <c r="FD8" i="1" s="1"/>
  <c r="FF8" i="1" s="1"/>
  <c r="GL7" i="1"/>
  <c r="GM7" i="1" s="1"/>
  <c r="GO7" i="1" s="1"/>
  <c r="GG7" i="1"/>
  <c r="GH7" i="1" s="1"/>
  <c r="GJ7" i="1" s="1"/>
  <c r="GB7" i="1"/>
  <c r="GC7" i="1" s="1"/>
  <c r="GE7" i="1" s="1"/>
  <c r="FW7" i="1"/>
  <c r="FX7" i="1" s="1"/>
  <c r="FZ7" i="1" s="1"/>
  <c r="FR7" i="1"/>
  <c r="FS7" i="1" s="1"/>
  <c r="FU7" i="1" s="1"/>
  <c r="FM7" i="1"/>
  <c r="FN7" i="1" s="1"/>
  <c r="FP7" i="1" s="1"/>
  <c r="FH7" i="1"/>
  <c r="FI7" i="1" s="1"/>
  <c r="FK7" i="1" s="1"/>
  <c r="FC7" i="1"/>
  <c r="FD7" i="1" s="1"/>
  <c r="FF7" i="1" s="1"/>
  <c r="GL6" i="1"/>
  <c r="GM6" i="1" s="1"/>
  <c r="GO6" i="1" s="1"/>
  <c r="GG6" i="1"/>
  <c r="GH6" i="1" s="1"/>
  <c r="GJ6" i="1" s="1"/>
  <c r="GB6" i="1"/>
  <c r="GC6" i="1" s="1"/>
  <c r="GE6" i="1" s="1"/>
  <c r="FW6" i="1"/>
  <c r="FX6" i="1" s="1"/>
  <c r="FZ6" i="1" s="1"/>
  <c r="FR6" i="1"/>
  <c r="FS6" i="1" s="1"/>
  <c r="FU6" i="1" s="1"/>
  <c r="FM6" i="1"/>
  <c r="FN6" i="1" s="1"/>
  <c r="FP6" i="1" s="1"/>
  <c r="FH6" i="1"/>
  <c r="FI6" i="1" s="1"/>
  <c r="FK6" i="1" s="1"/>
  <c r="FC6" i="1"/>
  <c r="FD6" i="1" s="1"/>
  <c r="FF6" i="1" s="1"/>
  <c r="GL5" i="1"/>
  <c r="GM5" i="1" s="1"/>
  <c r="GO5" i="1" s="1"/>
  <c r="GG5" i="1"/>
  <c r="GH5" i="1" s="1"/>
  <c r="GJ5" i="1" s="1"/>
  <c r="GB5" i="1"/>
  <c r="GC5" i="1" s="1"/>
  <c r="GE5" i="1" s="1"/>
  <c r="FW5" i="1"/>
  <c r="FX5" i="1" s="1"/>
  <c r="FZ5" i="1" s="1"/>
  <c r="FR5" i="1"/>
  <c r="FS5" i="1" s="1"/>
  <c r="FU5" i="1" s="1"/>
  <c r="FM5" i="1"/>
  <c r="FN5" i="1" s="1"/>
  <c r="FP5" i="1" s="1"/>
  <c r="FH5" i="1"/>
  <c r="FI5" i="1" s="1"/>
  <c r="FK5" i="1" s="1"/>
  <c r="FC5" i="1"/>
  <c r="FD5" i="1" s="1"/>
  <c r="FF5" i="1" s="1"/>
  <c r="GL4" i="1"/>
  <c r="GM4" i="1" s="1"/>
  <c r="GO4" i="1" s="1"/>
  <c r="GG4" i="1"/>
  <c r="GH4" i="1" s="1"/>
  <c r="GJ4" i="1" s="1"/>
  <c r="GB4" i="1"/>
  <c r="GC4" i="1" s="1"/>
  <c r="GE4" i="1" s="1"/>
  <c r="FW4" i="1"/>
  <c r="FX4" i="1" s="1"/>
  <c r="FZ4" i="1" s="1"/>
  <c r="FR4" i="1"/>
  <c r="FS4" i="1" s="1"/>
  <c r="FU4" i="1" s="1"/>
  <c r="FM4" i="1"/>
  <c r="FN4" i="1" s="1"/>
  <c r="FP4" i="1" s="1"/>
  <c r="FH4" i="1"/>
  <c r="FI4" i="1" s="1"/>
  <c r="FK4" i="1" s="1"/>
  <c r="FC4" i="1"/>
  <c r="FD4" i="1" s="1"/>
  <c r="FF4" i="1" s="1"/>
  <c r="GL3" i="1"/>
  <c r="GM3" i="1" s="1"/>
  <c r="GO3" i="1" s="1"/>
  <c r="GG3" i="1"/>
  <c r="GH3" i="1" s="1"/>
  <c r="GJ3" i="1" s="1"/>
  <c r="GB3" i="1"/>
  <c r="GC3" i="1" s="1"/>
  <c r="GE3" i="1" s="1"/>
  <c r="FW3" i="1"/>
  <c r="FX3" i="1" s="1"/>
  <c r="FZ3" i="1" s="1"/>
  <c r="FR3" i="1"/>
  <c r="FS3" i="1" s="1"/>
  <c r="FU3" i="1" s="1"/>
  <c r="FM3" i="1"/>
  <c r="FN3" i="1" s="1"/>
  <c r="FP3" i="1" s="1"/>
  <c r="FH3" i="1"/>
  <c r="FI3" i="1" s="1"/>
  <c r="FK3" i="1" s="1"/>
  <c r="FC3" i="1"/>
  <c r="FD3" i="1" s="1"/>
  <c r="FF3" i="1" s="1"/>
  <c r="EX35" i="1"/>
  <c r="EY35" i="1" s="1"/>
  <c r="FA35" i="1" s="1"/>
  <c r="ES35" i="1"/>
  <c r="ET35" i="1" s="1"/>
  <c r="EV35" i="1" s="1"/>
  <c r="EN35" i="1"/>
  <c r="EO35" i="1" s="1"/>
  <c r="EQ35" i="1" s="1"/>
  <c r="EI35" i="1"/>
  <c r="EJ35" i="1" s="1"/>
  <c r="EL35" i="1" s="1"/>
  <c r="ED35" i="1"/>
  <c r="EE35" i="1" s="1"/>
  <c r="EG35" i="1" s="1"/>
  <c r="DY35" i="1"/>
  <c r="DZ35" i="1" s="1"/>
  <c r="EB35" i="1" s="1"/>
  <c r="DT35" i="1"/>
  <c r="DU35" i="1" s="1"/>
  <c r="DW35" i="1" s="1"/>
  <c r="EX34" i="1"/>
  <c r="EY34" i="1" s="1"/>
  <c r="FA34" i="1" s="1"/>
  <c r="ES34" i="1"/>
  <c r="ET34" i="1" s="1"/>
  <c r="EV34" i="1" s="1"/>
  <c r="EN34" i="1"/>
  <c r="EO34" i="1" s="1"/>
  <c r="EQ34" i="1" s="1"/>
  <c r="EI34" i="1"/>
  <c r="EJ34" i="1" s="1"/>
  <c r="EL34" i="1" s="1"/>
  <c r="ED34" i="1"/>
  <c r="EE34" i="1" s="1"/>
  <c r="EG34" i="1" s="1"/>
  <c r="DY34" i="1"/>
  <c r="DZ34" i="1" s="1"/>
  <c r="EB34" i="1" s="1"/>
  <c r="DT34" i="1"/>
  <c r="DU34" i="1" s="1"/>
  <c r="DW34" i="1" s="1"/>
  <c r="EX33" i="1"/>
  <c r="EY33" i="1" s="1"/>
  <c r="FA33" i="1" s="1"/>
  <c r="ES33" i="1"/>
  <c r="ET33" i="1" s="1"/>
  <c r="EV33" i="1" s="1"/>
  <c r="EN33" i="1"/>
  <c r="EO33" i="1" s="1"/>
  <c r="EQ33" i="1" s="1"/>
  <c r="EI33" i="1"/>
  <c r="EJ33" i="1" s="1"/>
  <c r="EL33" i="1" s="1"/>
  <c r="ED33" i="1"/>
  <c r="EE33" i="1" s="1"/>
  <c r="EG33" i="1" s="1"/>
  <c r="DY33" i="1"/>
  <c r="DZ33" i="1" s="1"/>
  <c r="EB33" i="1" s="1"/>
  <c r="DT33" i="1"/>
  <c r="DU33" i="1" s="1"/>
  <c r="DW33" i="1" s="1"/>
  <c r="EX32" i="1"/>
  <c r="EY32" i="1" s="1"/>
  <c r="FA32" i="1" s="1"/>
  <c r="ES32" i="1"/>
  <c r="ET32" i="1" s="1"/>
  <c r="EV32" i="1" s="1"/>
  <c r="EN32" i="1"/>
  <c r="EO32" i="1" s="1"/>
  <c r="EQ32" i="1" s="1"/>
  <c r="EI32" i="1"/>
  <c r="EJ32" i="1" s="1"/>
  <c r="EL32" i="1" s="1"/>
  <c r="ED32" i="1"/>
  <c r="EE32" i="1" s="1"/>
  <c r="EG32" i="1" s="1"/>
  <c r="DY32" i="1"/>
  <c r="DZ32" i="1" s="1"/>
  <c r="EB32" i="1" s="1"/>
  <c r="DT32" i="1"/>
  <c r="DU32" i="1" s="1"/>
  <c r="DW32" i="1" s="1"/>
  <c r="EX31" i="1"/>
  <c r="EY31" i="1" s="1"/>
  <c r="FA31" i="1" s="1"/>
  <c r="ES31" i="1"/>
  <c r="ET31" i="1" s="1"/>
  <c r="EV31" i="1" s="1"/>
  <c r="EN31" i="1"/>
  <c r="EO31" i="1" s="1"/>
  <c r="EQ31" i="1" s="1"/>
  <c r="EI31" i="1"/>
  <c r="EJ31" i="1" s="1"/>
  <c r="EL31" i="1" s="1"/>
  <c r="ED31" i="1"/>
  <c r="EE31" i="1" s="1"/>
  <c r="EG31" i="1" s="1"/>
  <c r="DY31" i="1"/>
  <c r="DZ31" i="1" s="1"/>
  <c r="EB31" i="1" s="1"/>
  <c r="DT31" i="1"/>
  <c r="DU31" i="1" s="1"/>
  <c r="DW31" i="1" s="1"/>
  <c r="EX30" i="1"/>
  <c r="EY30" i="1" s="1"/>
  <c r="FA30" i="1" s="1"/>
  <c r="ES30" i="1"/>
  <c r="ET30" i="1" s="1"/>
  <c r="EV30" i="1" s="1"/>
  <c r="EN30" i="1"/>
  <c r="EO30" i="1" s="1"/>
  <c r="EQ30" i="1" s="1"/>
  <c r="EI30" i="1"/>
  <c r="EJ30" i="1" s="1"/>
  <c r="EL30" i="1" s="1"/>
  <c r="ED30" i="1"/>
  <c r="EE30" i="1" s="1"/>
  <c r="EG30" i="1" s="1"/>
  <c r="DY30" i="1"/>
  <c r="DZ30" i="1" s="1"/>
  <c r="EB30" i="1" s="1"/>
  <c r="DT30" i="1"/>
  <c r="DU30" i="1" s="1"/>
  <c r="DW30" i="1" s="1"/>
  <c r="EX29" i="1"/>
  <c r="EY29" i="1" s="1"/>
  <c r="FA29" i="1" s="1"/>
  <c r="ES29" i="1"/>
  <c r="ET29" i="1" s="1"/>
  <c r="EV29" i="1" s="1"/>
  <c r="EN29" i="1"/>
  <c r="EO29" i="1" s="1"/>
  <c r="EQ29" i="1" s="1"/>
  <c r="EI29" i="1"/>
  <c r="EJ29" i="1" s="1"/>
  <c r="EL29" i="1" s="1"/>
  <c r="ED29" i="1"/>
  <c r="EE29" i="1" s="1"/>
  <c r="EG29" i="1" s="1"/>
  <c r="DY29" i="1"/>
  <c r="DZ29" i="1" s="1"/>
  <c r="EB29" i="1" s="1"/>
  <c r="DT29" i="1"/>
  <c r="DU29" i="1" s="1"/>
  <c r="DW29" i="1" s="1"/>
  <c r="EX28" i="1"/>
  <c r="EY28" i="1" s="1"/>
  <c r="FA28" i="1" s="1"/>
  <c r="ES28" i="1"/>
  <c r="ET28" i="1" s="1"/>
  <c r="EV28" i="1" s="1"/>
  <c r="EN28" i="1"/>
  <c r="EO28" i="1" s="1"/>
  <c r="EQ28" i="1" s="1"/>
  <c r="EI28" i="1"/>
  <c r="EJ28" i="1" s="1"/>
  <c r="EL28" i="1" s="1"/>
  <c r="ED28" i="1"/>
  <c r="EE28" i="1" s="1"/>
  <c r="EG28" i="1" s="1"/>
  <c r="DY28" i="1"/>
  <c r="DZ28" i="1" s="1"/>
  <c r="EB28" i="1" s="1"/>
  <c r="DT28" i="1"/>
  <c r="DU28" i="1" s="1"/>
  <c r="DW28" i="1" s="1"/>
  <c r="EX27" i="1"/>
  <c r="EY27" i="1" s="1"/>
  <c r="FA27" i="1" s="1"/>
  <c r="ES27" i="1"/>
  <c r="ET27" i="1" s="1"/>
  <c r="EV27" i="1" s="1"/>
  <c r="EN27" i="1"/>
  <c r="EO27" i="1" s="1"/>
  <c r="EQ27" i="1" s="1"/>
  <c r="EI27" i="1"/>
  <c r="EJ27" i="1" s="1"/>
  <c r="EL27" i="1" s="1"/>
  <c r="ED27" i="1"/>
  <c r="EE27" i="1" s="1"/>
  <c r="EG27" i="1" s="1"/>
  <c r="DY27" i="1"/>
  <c r="DZ27" i="1" s="1"/>
  <c r="EB27" i="1" s="1"/>
  <c r="DT27" i="1"/>
  <c r="DU27" i="1" s="1"/>
  <c r="DW27" i="1" s="1"/>
  <c r="EX26" i="1"/>
  <c r="EY26" i="1" s="1"/>
  <c r="FA26" i="1" s="1"/>
  <c r="ES26" i="1"/>
  <c r="ET26" i="1" s="1"/>
  <c r="EV26" i="1" s="1"/>
  <c r="EN26" i="1"/>
  <c r="EO26" i="1" s="1"/>
  <c r="EQ26" i="1" s="1"/>
  <c r="EI26" i="1"/>
  <c r="EJ26" i="1" s="1"/>
  <c r="EL26" i="1" s="1"/>
  <c r="ED26" i="1"/>
  <c r="EE26" i="1" s="1"/>
  <c r="EG26" i="1" s="1"/>
  <c r="DY26" i="1"/>
  <c r="DZ26" i="1" s="1"/>
  <c r="EB26" i="1" s="1"/>
  <c r="DT26" i="1"/>
  <c r="DU26" i="1" s="1"/>
  <c r="DW26" i="1" s="1"/>
  <c r="EX25" i="1"/>
  <c r="EY25" i="1" s="1"/>
  <c r="FA25" i="1" s="1"/>
  <c r="ES25" i="1"/>
  <c r="ET25" i="1" s="1"/>
  <c r="EV25" i="1" s="1"/>
  <c r="EN25" i="1"/>
  <c r="EO25" i="1" s="1"/>
  <c r="EQ25" i="1" s="1"/>
  <c r="EI25" i="1"/>
  <c r="EJ25" i="1" s="1"/>
  <c r="EL25" i="1" s="1"/>
  <c r="ED25" i="1"/>
  <c r="EE25" i="1" s="1"/>
  <c r="EG25" i="1" s="1"/>
  <c r="DY25" i="1"/>
  <c r="DZ25" i="1" s="1"/>
  <c r="EB25" i="1" s="1"/>
  <c r="DT25" i="1"/>
  <c r="DU25" i="1" s="1"/>
  <c r="DW25" i="1" s="1"/>
  <c r="EX24" i="1"/>
  <c r="EY24" i="1" s="1"/>
  <c r="FA24" i="1" s="1"/>
  <c r="ES24" i="1"/>
  <c r="ET24" i="1" s="1"/>
  <c r="EV24" i="1" s="1"/>
  <c r="EN24" i="1"/>
  <c r="EO24" i="1" s="1"/>
  <c r="EQ24" i="1" s="1"/>
  <c r="EI24" i="1"/>
  <c r="EJ24" i="1" s="1"/>
  <c r="EL24" i="1" s="1"/>
  <c r="ED24" i="1"/>
  <c r="EE24" i="1" s="1"/>
  <c r="EG24" i="1" s="1"/>
  <c r="DY24" i="1"/>
  <c r="DZ24" i="1" s="1"/>
  <c r="EB24" i="1" s="1"/>
  <c r="DT24" i="1"/>
  <c r="DU24" i="1" s="1"/>
  <c r="DW24" i="1" s="1"/>
  <c r="EX23" i="1"/>
  <c r="EY23" i="1" s="1"/>
  <c r="FA23" i="1" s="1"/>
  <c r="ES23" i="1"/>
  <c r="ET23" i="1" s="1"/>
  <c r="EV23" i="1" s="1"/>
  <c r="EN23" i="1"/>
  <c r="EO23" i="1" s="1"/>
  <c r="EQ23" i="1" s="1"/>
  <c r="EI23" i="1"/>
  <c r="EJ23" i="1" s="1"/>
  <c r="EL23" i="1" s="1"/>
  <c r="ED23" i="1"/>
  <c r="EE23" i="1" s="1"/>
  <c r="EG23" i="1" s="1"/>
  <c r="DY23" i="1"/>
  <c r="DZ23" i="1" s="1"/>
  <c r="EB23" i="1" s="1"/>
  <c r="DT23" i="1"/>
  <c r="DU23" i="1" s="1"/>
  <c r="DW23" i="1" s="1"/>
  <c r="EX22" i="1"/>
  <c r="EY22" i="1" s="1"/>
  <c r="FA22" i="1" s="1"/>
  <c r="ES22" i="1"/>
  <c r="ET22" i="1" s="1"/>
  <c r="EV22" i="1" s="1"/>
  <c r="EN22" i="1"/>
  <c r="EO22" i="1" s="1"/>
  <c r="EQ22" i="1" s="1"/>
  <c r="EI22" i="1"/>
  <c r="EJ22" i="1" s="1"/>
  <c r="EL22" i="1" s="1"/>
  <c r="ED22" i="1"/>
  <c r="EE22" i="1" s="1"/>
  <c r="EG22" i="1" s="1"/>
  <c r="DY22" i="1"/>
  <c r="DZ22" i="1" s="1"/>
  <c r="EB22" i="1" s="1"/>
  <c r="DT22" i="1"/>
  <c r="DU22" i="1" s="1"/>
  <c r="DW22" i="1" s="1"/>
  <c r="EX21" i="1"/>
  <c r="EY21" i="1" s="1"/>
  <c r="FA21" i="1" s="1"/>
  <c r="ES21" i="1"/>
  <c r="ET21" i="1" s="1"/>
  <c r="EV21" i="1" s="1"/>
  <c r="EN21" i="1"/>
  <c r="EO21" i="1" s="1"/>
  <c r="EQ21" i="1" s="1"/>
  <c r="EI21" i="1"/>
  <c r="EJ21" i="1" s="1"/>
  <c r="EL21" i="1" s="1"/>
  <c r="ED21" i="1"/>
  <c r="EE21" i="1" s="1"/>
  <c r="EG21" i="1" s="1"/>
  <c r="DY21" i="1"/>
  <c r="DZ21" i="1" s="1"/>
  <c r="EB21" i="1" s="1"/>
  <c r="DT21" i="1"/>
  <c r="DU21" i="1" s="1"/>
  <c r="DW21" i="1" s="1"/>
  <c r="EX20" i="1"/>
  <c r="EY20" i="1" s="1"/>
  <c r="FA20" i="1" s="1"/>
  <c r="ES20" i="1"/>
  <c r="ET20" i="1" s="1"/>
  <c r="EV20" i="1" s="1"/>
  <c r="EN20" i="1"/>
  <c r="EO20" i="1" s="1"/>
  <c r="EQ20" i="1" s="1"/>
  <c r="EI20" i="1"/>
  <c r="EJ20" i="1" s="1"/>
  <c r="EL20" i="1" s="1"/>
  <c r="ED20" i="1"/>
  <c r="EE20" i="1" s="1"/>
  <c r="EG20" i="1" s="1"/>
  <c r="DY20" i="1"/>
  <c r="DZ20" i="1" s="1"/>
  <c r="EB20" i="1" s="1"/>
  <c r="DT20" i="1"/>
  <c r="DU20" i="1" s="1"/>
  <c r="DW20" i="1" s="1"/>
  <c r="EX19" i="1"/>
  <c r="EY19" i="1" s="1"/>
  <c r="FA19" i="1" s="1"/>
  <c r="ES19" i="1"/>
  <c r="ET19" i="1" s="1"/>
  <c r="EV19" i="1" s="1"/>
  <c r="EN19" i="1"/>
  <c r="EO19" i="1" s="1"/>
  <c r="EQ19" i="1" s="1"/>
  <c r="EI19" i="1"/>
  <c r="EJ19" i="1" s="1"/>
  <c r="EL19" i="1" s="1"/>
  <c r="ED19" i="1"/>
  <c r="EE19" i="1" s="1"/>
  <c r="EG19" i="1" s="1"/>
  <c r="DY19" i="1"/>
  <c r="DZ19" i="1" s="1"/>
  <c r="EB19" i="1" s="1"/>
  <c r="DT19" i="1"/>
  <c r="DU19" i="1" s="1"/>
  <c r="DW19" i="1" s="1"/>
  <c r="EX18" i="1"/>
  <c r="EY18" i="1" s="1"/>
  <c r="FA18" i="1" s="1"/>
  <c r="ES18" i="1"/>
  <c r="ET18" i="1" s="1"/>
  <c r="EV18" i="1" s="1"/>
  <c r="EN18" i="1"/>
  <c r="EO18" i="1" s="1"/>
  <c r="EQ18" i="1" s="1"/>
  <c r="EI18" i="1"/>
  <c r="EJ18" i="1" s="1"/>
  <c r="EL18" i="1" s="1"/>
  <c r="ED18" i="1"/>
  <c r="EE18" i="1" s="1"/>
  <c r="EG18" i="1" s="1"/>
  <c r="DY18" i="1"/>
  <c r="DZ18" i="1" s="1"/>
  <c r="EB18" i="1" s="1"/>
  <c r="DT18" i="1"/>
  <c r="DU18" i="1" s="1"/>
  <c r="DW18" i="1" s="1"/>
  <c r="EX17" i="1"/>
  <c r="EY17" i="1" s="1"/>
  <c r="FA17" i="1" s="1"/>
  <c r="ES17" i="1"/>
  <c r="ET17" i="1" s="1"/>
  <c r="EV17" i="1" s="1"/>
  <c r="EN17" i="1"/>
  <c r="EO17" i="1" s="1"/>
  <c r="EQ17" i="1" s="1"/>
  <c r="EI17" i="1"/>
  <c r="EJ17" i="1" s="1"/>
  <c r="EL17" i="1" s="1"/>
  <c r="ED17" i="1"/>
  <c r="EE17" i="1" s="1"/>
  <c r="EG17" i="1" s="1"/>
  <c r="DY17" i="1"/>
  <c r="DZ17" i="1" s="1"/>
  <c r="EB17" i="1" s="1"/>
  <c r="DT17" i="1"/>
  <c r="DU17" i="1" s="1"/>
  <c r="DW17" i="1" s="1"/>
  <c r="EX16" i="1"/>
  <c r="EY16" i="1" s="1"/>
  <c r="FA16" i="1" s="1"/>
  <c r="ES16" i="1"/>
  <c r="ET16" i="1" s="1"/>
  <c r="EV16" i="1" s="1"/>
  <c r="EN16" i="1"/>
  <c r="EO16" i="1" s="1"/>
  <c r="EQ16" i="1" s="1"/>
  <c r="EI16" i="1"/>
  <c r="EJ16" i="1" s="1"/>
  <c r="EL16" i="1" s="1"/>
  <c r="ED16" i="1"/>
  <c r="EE16" i="1" s="1"/>
  <c r="EG16" i="1" s="1"/>
  <c r="DY16" i="1"/>
  <c r="DZ16" i="1" s="1"/>
  <c r="EB16" i="1" s="1"/>
  <c r="DT16" i="1"/>
  <c r="DU16" i="1" s="1"/>
  <c r="DW16" i="1" s="1"/>
  <c r="EX15" i="1"/>
  <c r="EY15" i="1" s="1"/>
  <c r="FA15" i="1" s="1"/>
  <c r="ES15" i="1"/>
  <c r="ET15" i="1" s="1"/>
  <c r="EV15" i="1" s="1"/>
  <c r="EN15" i="1"/>
  <c r="EO15" i="1" s="1"/>
  <c r="EQ15" i="1" s="1"/>
  <c r="EI15" i="1"/>
  <c r="EJ15" i="1" s="1"/>
  <c r="EL15" i="1" s="1"/>
  <c r="ED15" i="1"/>
  <c r="EE15" i="1" s="1"/>
  <c r="EG15" i="1" s="1"/>
  <c r="DY15" i="1"/>
  <c r="DZ15" i="1" s="1"/>
  <c r="EB15" i="1" s="1"/>
  <c r="DT15" i="1"/>
  <c r="DU15" i="1" s="1"/>
  <c r="DW15" i="1" s="1"/>
  <c r="EX14" i="1"/>
  <c r="EY14" i="1" s="1"/>
  <c r="FA14" i="1" s="1"/>
  <c r="ES14" i="1"/>
  <c r="ET14" i="1" s="1"/>
  <c r="EV14" i="1" s="1"/>
  <c r="EN14" i="1"/>
  <c r="EO14" i="1" s="1"/>
  <c r="EQ14" i="1" s="1"/>
  <c r="EI14" i="1"/>
  <c r="EJ14" i="1" s="1"/>
  <c r="EL14" i="1" s="1"/>
  <c r="ED14" i="1"/>
  <c r="EE14" i="1" s="1"/>
  <c r="EG14" i="1" s="1"/>
  <c r="DY14" i="1"/>
  <c r="DZ14" i="1" s="1"/>
  <c r="EB14" i="1" s="1"/>
  <c r="DT14" i="1"/>
  <c r="DU14" i="1" s="1"/>
  <c r="DW14" i="1" s="1"/>
  <c r="EX13" i="1"/>
  <c r="EY13" i="1" s="1"/>
  <c r="FA13" i="1" s="1"/>
  <c r="ES13" i="1"/>
  <c r="ET13" i="1" s="1"/>
  <c r="EV13" i="1" s="1"/>
  <c r="EN13" i="1"/>
  <c r="EO13" i="1" s="1"/>
  <c r="EQ13" i="1" s="1"/>
  <c r="EI13" i="1"/>
  <c r="EJ13" i="1" s="1"/>
  <c r="EL13" i="1" s="1"/>
  <c r="ED13" i="1"/>
  <c r="EE13" i="1" s="1"/>
  <c r="EG13" i="1" s="1"/>
  <c r="DY13" i="1"/>
  <c r="DZ13" i="1" s="1"/>
  <c r="EB13" i="1" s="1"/>
  <c r="DT13" i="1"/>
  <c r="DU13" i="1" s="1"/>
  <c r="DW13" i="1" s="1"/>
  <c r="EX12" i="1"/>
  <c r="EY12" i="1" s="1"/>
  <c r="FA12" i="1" s="1"/>
  <c r="ES12" i="1"/>
  <c r="ET12" i="1" s="1"/>
  <c r="EV12" i="1" s="1"/>
  <c r="EN12" i="1"/>
  <c r="EO12" i="1" s="1"/>
  <c r="EQ12" i="1" s="1"/>
  <c r="EI12" i="1"/>
  <c r="EJ12" i="1" s="1"/>
  <c r="EL12" i="1" s="1"/>
  <c r="ED12" i="1"/>
  <c r="EE12" i="1" s="1"/>
  <c r="EG12" i="1" s="1"/>
  <c r="DY12" i="1"/>
  <c r="DZ12" i="1" s="1"/>
  <c r="EB12" i="1" s="1"/>
  <c r="DT12" i="1"/>
  <c r="DU12" i="1" s="1"/>
  <c r="DW12" i="1" s="1"/>
  <c r="EX11" i="1"/>
  <c r="EY11" i="1" s="1"/>
  <c r="FA11" i="1" s="1"/>
  <c r="ES11" i="1"/>
  <c r="ET11" i="1" s="1"/>
  <c r="EV11" i="1" s="1"/>
  <c r="EN11" i="1"/>
  <c r="EO11" i="1" s="1"/>
  <c r="EQ11" i="1" s="1"/>
  <c r="EI11" i="1"/>
  <c r="EJ11" i="1" s="1"/>
  <c r="EL11" i="1" s="1"/>
  <c r="ED11" i="1"/>
  <c r="EE11" i="1" s="1"/>
  <c r="EG11" i="1" s="1"/>
  <c r="DY11" i="1"/>
  <c r="DZ11" i="1" s="1"/>
  <c r="EB11" i="1" s="1"/>
  <c r="DT11" i="1"/>
  <c r="DU11" i="1" s="1"/>
  <c r="DW11" i="1" s="1"/>
  <c r="EX10" i="1"/>
  <c r="EY10" i="1" s="1"/>
  <c r="FA10" i="1" s="1"/>
  <c r="ES10" i="1"/>
  <c r="ET10" i="1" s="1"/>
  <c r="EV10" i="1" s="1"/>
  <c r="EN10" i="1"/>
  <c r="EO10" i="1" s="1"/>
  <c r="EQ10" i="1" s="1"/>
  <c r="EI10" i="1"/>
  <c r="EJ10" i="1" s="1"/>
  <c r="EL10" i="1" s="1"/>
  <c r="ED10" i="1"/>
  <c r="EE10" i="1" s="1"/>
  <c r="EG10" i="1" s="1"/>
  <c r="DY10" i="1"/>
  <c r="DZ10" i="1" s="1"/>
  <c r="EB10" i="1" s="1"/>
  <c r="DT10" i="1"/>
  <c r="DU10" i="1" s="1"/>
  <c r="DW10" i="1" s="1"/>
  <c r="EX9" i="1"/>
  <c r="EY9" i="1" s="1"/>
  <c r="FA9" i="1" s="1"/>
  <c r="ES9" i="1"/>
  <c r="ET9" i="1" s="1"/>
  <c r="EV9" i="1" s="1"/>
  <c r="EN9" i="1"/>
  <c r="EO9" i="1" s="1"/>
  <c r="EQ9" i="1" s="1"/>
  <c r="EI9" i="1"/>
  <c r="EJ9" i="1" s="1"/>
  <c r="EL9" i="1" s="1"/>
  <c r="ED9" i="1"/>
  <c r="EE9" i="1" s="1"/>
  <c r="EG9" i="1" s="1"/>
  <c r="DY9" i="1"/>
  <c r="DZ9" i="1" s="1"/>
  <c r="EB9" i="1" s="1"/>
  <c r="DT9" i="1"/>
  <c r="DU9" i="1" s="1"/>
  <c r="DW9" i="1" s="1"/>
  <c r="EX8" i="1"/>
  <c r="EY8" i="1" s="1"/>
  <c r="FA8" i="1" s="1"/>
  <c r="ES8" i="1"/>
  <c r="ET8" i="1" s="1"/>
  <c r="EV8" i="1" s="1"/>
  <c r="EN8" i="1"/>
  <c r="EO8" i="1" s="1"/>
  <c r="EQ8" i="1" s="1"/>
  <c r="EI8" i="1"/>
  <c r="EJ8" i="1" s="1"/>
  <c r="EL8" i="1" s="1"/>
  <c r="ED8" i="1"/>
  <c r="EE8" i="1" s="1"/>
  <c r="EG8" i="1" s="1"/>
  <c r="DY8" i="1"/>
  <c r="DZ8" i="1" s="1"/>
  <c r="EB8" i="1" s="1"/>
  <c r="DT8" i="1"/>
  <c r="DU8" i="1" s="1"/>
  <c r="DW8" i="1" s="1"/>
  <c r="EX7" i="1"/>
  <c r="EY7" i="1" s="1"/>
  <c r="FA7" i="1" s="1"/>
  <c r="ES7" i="1"/>
  <c r="ET7" i="1" s="1"/>
  <c r="EV7" i="1" s="1"/>
  <c r="EN7" i="1"/>
  <c r="EO7" i="1" s="1"/>
  <c r="EQ7" i="1" s="1"/>
  <c r="EI7" i="1"/>
  <c r="EJ7" i="1" s="1"/>
  <c r="EL7" i="1" s="1"/>
  <c r="ED7" i="1"/>
  <c r="EE7" i="1" s="1"/>
  <c r="EG7" i="1" s="1"/>
  <c r="DY7" i="1"/>
  <c r="DZ7" i="1" s="1"/>
  <c r="EB7" i="1" s="1"/>
  <c r="DT7" i="1"/>
  <c r="DU7" i="1" s="1"/>
  <c r="DW7" i="1" s="1"/>
  <c r="EX6" i="1"/>
  <c r="EY6" i="1" s="1"/>
  <c r="FA6" i="1" s="1"/>
  <c r="ES6" i="1"/>
  <c r="ET6" i="1" s="1"/>
  <c r="EV6" i="1" s="1"/>
  <c r="EN6" i="1"/>
  <c r="EO6" i="1" s="1"/>
  <c r="EQ6" i="1" s="1"/>
  <c r="EI6" i="1"/>
  <c r="EJ6" i="1" s="1"/>
  <c r="EL6" i="1" s="1"/>
  <c r="ED6" i="1"/>
  <c r="EE6" i="1" s="1"/>
  <c r="EG6" i="1" s="1"/>
  <c r="DY6" i="1"/>
  <c r="DZ6" i="1" s="1"/>
  <c r="EB6" i="1" s="1"/>
  <c r="DT6" i="1"/>
  <c r="DU6" i="1" s="1"/>
  <c r="DW6" i="1" s="1"/>
  <c r="EX5" i="1"/>
  <c r="EY5" i="1" s="1"/>
  <c r="FA5" i="1" s="1"/>
  <c r="ES5" i="1"/>
  <c r="ET5" i="1" s="1"/>
  <c r="EV5" i="1" s="1"/>
  <c r="EN5" i="1"/>
  <c r="EO5" i="1" s="1"/>
  <c r="EQ5" i="1" s="1"/>
  <c r="EI5" i="1"/>
  <c r="EJ5" i="1" s="1"/>
  <c r="EL5" i="1" s="1"/>
  <c r="ED5" i="1"/>
  <c r="EE5" i="1" s="1"/>
  <c r="EG5" i="1" s="1"/>
  <c r="DY5" i="1"/>
  <c r="DZ5" i="1" s="1"/>
  <c r="EB5" i="1" s="1"/>
  <c r="DT5" i="1"/>
  <c r="DU5" i="1" s="1"/>
  <c r="DW5" i="1" s="1"/>
  <c r="EX4" i="1"/>
  <c r="EY4" i="1" s="1"/>
  <c r="FA4" i="1" s="1"/>
  <c r="ES4" i="1"/>
  <c r="ET4" i="1" s="1"/>
  <c r="EV4" i="1" s="1"/>
  <c r="EN4" i="1"/>
  <c r="EO4" i="1" s="1"/>
  <c r="EQ4" i="1" s="1"/>
  <c r="EI4" i="1"/>
  <c r="EJ4" i="1" s="1"/>
  <c r="EL4" i="1" s="1"/>
  <c r="ED4" i="1"/>
  <c r="EE4" i="1" s="1"/>
  <c r="EG4" i="1" s="1"/>
  <c r="DY4" i="1"/>
  <c r="DZ4" i="1" s="1"/>
  <c r="EB4" i="1" s="1"/>
  <c r="DT4" i="1"/>
  <c r="DU4" i="1" s="1"/>
  <c r="DW4" i="1" s="1"/>
  <c r="EX3" i="1"/>
  <c r="EY3" i="1" s="1"/>
  <c r="FA3" i="1" s="1"/>
  <c r="ES3" i="1"/>
  <c r="ET3" i="1" s="1"/>
  <c r="EV3" i="1" s="1"/>
  <c r="EN3" i="1"/>
  <c r="EO3" i="1" s="1"/>
  <c r="EQ3" i="1" s="1"/>
  <c r="EI3" i="1"/>
  <c r="EJ3" i="1" s="1"/>
  <c r="EL3" i="1" s="1"/>
  <c r="ED3" i="1"/>
  <c r="EE3" i="1" s="1"/>
  <c r="EG3" i="1" s="1"/>
  <c r="DY3" i="1"/>
  <c r="DZ3" i="1" s="1"/>
  <c r="EB3" i="1" s="1"/>
  <c r="DT3" i="1"/>
  <c r="DU3" i="1" s="1"/>
  <c r="DW3" i="1" s="1"/>
  <c r="DO35" i="1"/>
  <c r="DP35" i="1" s="1"/>
  <c r="DR35" i="1" s="1"/>
  <c r="DJ35" i="1"/>
  <c r="DK35" i="1" s="1"/>
  <c r="DM35" i="1" s="1"/>
  <c r="DE35" i="1"/>
  <c r="DF35" i="1" s="1"/>
  <c r="DH35" i="1" s="1"/>
  <c r="CZ35" i="1"/>
  <c r="DA35" i="1" s="1"/>
  <c r="DC35" i="1" s="1"/>
  <c r="CU35" i="1"/>
  <c r="CV35" i="1" s="1"/>
  <c r="CX35" i="1" s="1"/>
  <c r="CP35" i="1"/>
  <c r="CQ35" i="1" s="1"/>
  <c r="CS35" i="1" s="1"/>
  <c r="CK35" i="1"/>
  <c r="CL35" i="1" s="1"/>
  <c r="CN35" i="1" s="1"/>
  <c r="CF35" i="1"/>
  <c r="CG35" i="1" s="1"/>
  <c r="CI35" i="1" s="1"/>
  <c r="DO34" i="1"/>
  <c r="DP34" i="1" s="1"/>
  <c r="DR34" i="1" s="1"/>
  <c r="DJ34" i="1"/>
  <c r="DK34" i="1" s="1"/>
  <c r="DM34" i="1" s="1"/>
  <c r="DE34" i="1"/>
  <c r="DF34" i="1" s="1"/>
  <c r="DH34" i="1" s="1"/>
  <c r="CZ34" i="1"/>
  <c r="DA34" i="1" s="1"/>
  <c r="DC34" i="1" s="1"/>
  <c r="CU34" i="1"/>
  <c r="CV34" i="1" s="1"/>
  <c r="CX34" i="1" s="1"/>
  <c r="CP34" i="1"/>
  <c r="CQ34" i="1" s="1"/>
  <c r="CS34" i="1" s="1"/>
  <c r="CK34" i="1"/>
  <c r="CL34" i="1" s="1"/>
  <c r="CN34" i="1" s="1"/>
  <c r="CF34" i="1"/>
  <c r="CG34" i="1" s="1"/>
  <c r="CI34" i="1" s="1"/>
  <c r="DO33" i="1"/>
  <c r="DP33" i="1" s="1"/>
  <c r="DR33" i="1" s="1"/>
  <c r="DJ33" i="1"/>
  <c r="DK33" i="1" s="1"/>
  <c r="DM33" i="1" s="1"/>
  <c r="DE33" i="1"/>
  <c r="DF33" i="1" s="1"/>
  <c r="DH33" i="1" s="1"/>
  <c r="CZ33" i="1"/>
  <c r="DA33" i="1" s="1"/>
  <c r="DC33" i="1" s="1"/>
  <c r="CU33" i="1"/>
  <c r="CV33" i="1" s="1"/>
  <c r="CX33" i="1" s="1"/>
  <c r="CP33" i="1"/>
  <c r="CQ33" i="1" s="1"/>
  <c r="CS33" i="1" s="1"/>
  <c r="CK33" i="1"/>
  <c r="CL33" i="1" s="1"/>
  <c r="CN33" i="1" s="1"/>
  <c r="CF33" i="1"/>
  <c r="CG33" i="1" s="1"/>
  <c r="CI33" i="1" s="1"/>
  <c r="DO32" i="1"/>
  <c r="DP32" i="1" s="1"/>
  <c r="DR32" i="1" s="1"/>
  <c r="DJ32" i="1"/>
  <c r="DK32" i="1" s="1"/>
  <c r="DM32" i="1" s="1"/>
  <c r="DE32" i="1"/>
  <c r="DF32" i="1" s="1"/>
  <c r="DH32" i="1" s="1"/>
  <c r="CZ32" i="1"/>
  <c r="DA32" i="1" s="1"/>
  <c r="DC32" i="1" s="1"/>
  <c r="CU32" i="1"/>
  <c r="CV32" i="1" s="1"/>
  <c r="CX32" i="1" s="1"/>
  <c r="CP32" i="1"/>
  <c r="CQ32" i="1" s="1"/>
  <c r="CS32" i="1" s="1"/>
  <c r="CK32" i="1"/>
  <c r="CL32" i="1" s="1"/>
  <c r="CN32" i="1" s="1"/>
  <c r="CF32" i="1"/>
  <c r="CG32" i="1" s="1"/>
  <c r="CI32" i="1" s="1"/>
  <c r="DO31" i="1"/>
  <c r="DP31" i="1" s="1"/>
  <c r="DR31" i="1" s="1"/>
  <c r="DJ31" i="1"/>
  <c r="DK31" i="1" s="1"/>
  <c r="DM31" i="1" s="1"/>
  <c r="DE31" i="1"/>
  <c r="DF31" i="1" s="1"/>
  <c r="DH31" i="1" s="1"/>
  <c r="CZ31" i="1"/>
  <c r="DA31" i="1" s="1"/>
  <c r="DC31" i="1" s="1"/>
  <c r="CU31" i="1"/>
  <c r="CV31" i="1" s="1"/>
  <c r="CX31" i="1" s="1"/>
  <c r="CP31" i="1"/>
  <c r="CQ31" i="1" s="1"/>
  <c r="CS31" i="1" s="1"/>
  <c r="CK31" i="1"/>
  <c r="CL31" i="1" s="1"/>
  <c r="CN31" i="1" s="1"/>
  <c r="CF31" i="1"/>
  <c r="CG31" i="1" s="1"/>
  <c r="CI31" i="1" s="1"/>
  <c r="DO30" i="1"/>
  <c r="DP30" i="1" s="1"/>
  <c r="DR30" i="1" s="1"/>
  <c r="DJ30" i="1"/>
  <c r="DK30" i="1" s="1"/>
  <c r="DM30" i="1" s="1"/>
  <c r="DE30" i="1"/>
  <c r="DF30" i="1" s="1"/>
  <c r="DH30" i="1" s="1"/>
  <c r="CZ30" i="1"/>
  <c r="DA30" i="1" s="1"/>
  <c r="DC30" i="1" s="1"/>
  <c r="CU30" i="1"/>
  <c r="CV30" i="1" s="1"/>
  <c r="CX30" i="1" s="1"/>
  <c r="CP30" i="1"/>
  <c r="CQ30" i="1" s="1"/>
  <c r="CS30" i="1" s="1"/>
  <c r="CK30" i="1"/>
  <c r="CL30" i="1" s="1"/>
  <c r="CN30" i="1" s="1"/>
  <c r="CF30" i="1"/>
  <c r="CG30" i="1" s="1"/>
  <c r="CI30" i="1" s="1"/>
  <c r="DO29" i="1"/>
  <c r="DP29" i="1" s="1"/>
  <c r="DR29" i="1" s="1"/>
  <c r="DJ29" i="1"/>
  <c r="DK29" i="1" s="1"/>
  <c r="DM29" i="1" s="1"/>
  <c r="DE29" i="1"/>
  <c r="DF29" i="1" s="1"/>
  <c r="DH29" i="1" s="1"/>
  <c r="CZ29" i="1"/>
  <c r="DA29" i="1" s="1"/>
  <c r="DC29" i="1" s="1"/>
  <c r="CU29" i="1"/>
  <c r="CV29" i="1" s="1"/>
  <c r="CX29" i="1" s="1"/>
  <c r="CP29" i="1"/>
  <c r="CQ29" i="1" s="1"/>
  <c r="CS29" i="1" s="1"/>
  <c r="CK29" i="1"/>
  <c r="CL29" i="1" s="1"/>
  <c r="CN29" i="1" s="1"/>
  <c r="CF29" i="1"/>
  <c r="CG29" i="1" s="1"/>
  <c r="CI29" i="1" s="1"/>
  <c r="DO28" i="1"/>
  <c r="DP28" i="1" s="1"/>
  <c r="DR28" i="1" s="1"/>
  <c r="DJ28" i="1"/>
  <c r="DK28" i="1" s="1"/>
  <c r="DM28" i="1" s="1"/>
  <c r="DE28" i="1"/>
  <c r="DF28" i="1" s="1"/>
  <c r="DH28" i="1" s="1"/>
  <c r="CZ28" i="1"/>
  <c r="DA28" i="1" s="1"/>
  <c r="DC28" i="1" s="1"/>
  <c r="CU28" i="1"/>
  <c r="CV28" i="1" s="1"/>
  <c r="CX28" i="1" s="1"/>
  <c r="CP28" i="1"/>
  <c r="CQ28" i="1" s="1"/>
  <c r="CS28" i="1" s="1"/>
  <c r="CK28" i="1"/>
  <c r="CL28" i="1" s="1"/>
  <c r="CN28" i="1" s="1"/>
  <c r="CF28" i="1"/>
  <c r="CG28" i="1" s="1"/>
  <c r="CI28" i="1" s="1"/>
  <c r="DO27" i="1"/>
  <c r="DP27" i="1" s="1"/>
  <c r="DR27" i="1" s="1"/>
  <c r="DJ27" i="1"/>
  <c r="DK27" i="1" s="1"/>
  <c r="DM27" i="1" s="1"/>
  <c r="DE27" i="1"/>
  <c r="DF27" i="1" s="1"/>
  <c r="DH27" i="1" s="1"/>
  <c r="CZ27" i="1"/>
  <c r="DA27" i="1" s="1"/>
  <c r="DC27" i="1" s="1"/>
  <c r="CU27" i="1"/>
  <c r="CV27" i="1" s="1"/>
  <c r="CX27" i="1" s="1"/>
  <c r="CP27" i="1"/>
  <c r="CQ27" i="1" s="1"/>
  <c r="CS27" i="1" s="1"/>
  <c r="CK27" i="1"/>
  <c r="CL27" i="1" s="1"/>
  <c r="CN27" i="1" s="1"/>
  <c r="CF27" i="1"/>
  <c r="CG27" i="1" s="1"/>
  <c r="CI27" i="1" s="1"/>
  <c r="DO26" i="1"/>
  <c r="DP26" i="1" s="1"/>
  <c r="DR26" i="1" s="1"/>
  <c r="DJ26" i="1"/>
  <c r="DK26" i="1" s="1"/>
  <c r="DM26" i="1" s="1"/>
  <c r="DE26" i="1"/>
  <c r="DF26" i="1" s="1"/>
  <c r="DH26" i="1" s="1"/>
  <c r="CZ26" i="1"/>
  <c r="DA26" i="1" s="1"/>
  <c r="DC26" i="1" s="1"/>
  <c r="CU26" i="1"/>
  <c r="CV26" i="1" s="1"/>
  <c r="CX26" i="1" s="1"/>
  <c r="CP26" i="1"/>
  <c r="CQ26" i="1" s="1"/>
  <c r="CS26" i="1" s="1"/>
  <c r="CK26" i="1"/>
  <c r="CL26" i="1" s="1"/>
  <c r="CN26" i="1" s="1"/>
  <c r="CF26" i="1"/>
  <c r="CG26" i="1" s="1"/>
  <c r="CI26" i="1" s="1"/>
  <c r="DO25" i="1"/>
  <c r="DP25" i="1" s="1"/>
  <c r="DR25" i="1" s="1"/>
  <c r="DJ25" i="1"/>
  <c r="DK25" i="1" s="1"/>
  <c r="DM25" i="1" s="1"/>
  <c r="DE25" i="1"/>
  <c r="DF25" i="1" s="1"/>
  <c r="DH25" i="1" s="1"/>
  <c r="CZ25" i="1"/>
  <c r="DA25" i="1" s="1"/>
  <c r="DC25" i="1" s="1"/>
  <c r="CU25" i="1"/>
  <c r="CV25" i="1" s="1"/>
  <c r="CX25" i="1" s="1"/>
  <c r="CP25" i="1"/>
  <c r="CQ25" i="1" s="1"/>
  <c r="CS25" i="1" s="1"/>
  <c r="CK25" i="1"/>
  <c r="CL25" i="1" s="1"/>
  <c r="CN25" i="1" s="1"/>
  <c r="CF25" i="1"/>
  <c r="CG25" i="1" s="1"/>
  <c r="CI25" i="1" s="1"/>
  <c r="DO24" i="1"/>
  <c r="DP24" i="1" s="1"/>
  <c r="DR24" i="1" s="1"/>
  <c r="DJ24" i="1"/>
  <c r="DK24" i="1" s="1"/>
  <c r="DM24" i="1" s="1"/>
  <c r="DE24" i="1"/>
  <c r="DF24" i="1" s="1"/>
  <c r="DH24" i="1" s="1"/>
  <c r="CZ24" i="1"/>
  <c r="DA24" i="1" s="1"/>
  <c r="DC24" i="1" s="1"/>
  <c r="CU24" i="1"/>
  <c r="CV24" i="1" s="1"/>
  <c r="CX24" i="1" s="1"/>
  <c r="CP24" i="1"/>
  <c r="CQ24" i="1" s="1"/>
  <c r="CS24" i="1" s="1"/>
  <c r="CK24" i="1"/>
  <c r="CL24" i="1" s="1"/>
  <c r="CN24" i="1" s="1"/>
  <c r="CF24" i="1"/>
  <c r="CG24" i="1" s="1"/>
  <c r="CI24" i="1" s="1"/>
  <c r="DO23" i="1"/>
  <c r="DP23" i="1" s="1"/>
  <c r="DR23" i="1" s="1"/>
  <c r="DJ23" i="1"/>
  <c r="DK23" i="1" s="1"/>
  <c r="DM23" i="1" s="1"/>
  <c r="DE23" i="1"/>
  <c r="DF23" i="1" s="1"/>
  <c r="DH23" i="1" s="1"/>
  <c r="CZ23" i="1"/>
  <c r="DA23" i="1" s="1"/>
  <c r="DC23" i="1" s="1"/>
  <c r="CU23" i="1"/>
  <c r="CV23" i="1" s="1"/>
  <c r="CX23" i="1" s="1"/>
  <c r="CP23" i="1"/>
  <c r="CQ23" i="1" s="1"/>
  <c r="CS23" i="1" s="1"/>
  <c r="CK23" i="1"/>
  <c r="CL23" i="1" s="1"/>
  <c r="CN23" i="1" s="1"/>
  <c r="CF23" i="1"/>
  <c r="CG23" i="1" s="1"/>
  <c r="CI23" i="1" s="1"/>
  <c r="DO22" i="1"/>
  <c r="DP22" i="1" s="1"/>
  <c r="DR22" i="1" s="1"/>
  <c r="DJ22" i="1"/>
  <c r="DK22" i="1" s="1"/>
  <c r="DM22" i="1" s="1"/>
  <c r="DE22" i="1"/>
  <c r="DF22" i="1" s="1"/>
  <c r="DH22" i="1" s="1"/>
  <c r="CZ22" i="1"/>
  <c r="DA22" i="1" s="1"/>
  <c r="DC22" i="1" s="1"/>
  <c r="CU22" i="1"/>
  <c r="CV22" i="1" s="1"/>
  <c r="CX22" i="1" s="1"/>
  <c r="CP22" i="1"/>
  <c r="CQ22" i="1" s="1"/>
  <c r="CS22" i="1" s="1"/>
  <c r="CK22" i="1"/>
  <c r="CL22" i="1" s="1"/>
  <c r="CN22" i="1" s="1"/>
  <c r="CF22" i="1"/>
  <c r="CG22" i="1" s="1"/>
  <c r="CI22" i="1" s="1"/>
  <c r="DO21" i="1"/>
  <c r="DP21" i="1" s="1"/>
  <c r="DR21" i="1" s="1"/>
  <c r="DJ21" i="1"/>
  <c r="DK21" i="1" s="1"/>
  <c r="DM21" i="1" s="1"/>
  <c r="DE21" i="1"/>
  <c r="DF21" i="1" s="1"/>
  <c r="DH21" i="1" s="1"/>
  <c r="CZ21" i="1"/>
  <c r="DA21" i="1" s="1"/>
  <c r="DC21" i="1" s="1"/>
  <c r="CU21" i="1"/>
  <c r="CV21" i="1" s="1"/>
  <c r="CX21" i="1" s="1"/>
  <c r="CP21" i="1"/>
  <c r="CQ21" i="1" s="1"/>
  <c r="CS21" i="1" s="1"/>
  <c r="CK21" i="1"/>
  <c r="CL21" i="1" s="1"/>
  <c r="CN21" i="1" s="1"/>
  <c r="CF21" i="1"/>
  <c r="CG21" i="1" s="1"/>
  <c r="CI21" i="1" s="1"/>
  <c r="DO20" i="1"/>
  <c r="DP20" i="1" s="1"/>
  <c r="DR20" i="1" s="1"/>
  <c r="DJ20" i="1"/>
  <c r="DK20" i="1" s="1"/>
  <c r="DM20" i="1" s="1"/>
  <c r="DE20" i="1"/>
  <c r="DF20" i="1" s="1"/>
  <c r="DH20" i="1" s="1"/>
  <c r="CZ20" i="1"/>
  <c r="DA20" i="1" s="1"/>
  <c r="DC20" i="1" s="1"/>
  <c r="CU20" i="1"/>
  <c r="CV20" i="1" s="1"/>
  <c r="CX20" i="1" s="1"/>
  <c r="CP20" i="1"/>
  <c r="CQ20" i="1" s="1"/>
  <c r="CS20" i="1" s="1"/>
  <c r="CK20" i="1"/>
  <c r="CL20" i="1" s="1"/>
  <c r="CN20" i="1" s="1"/>
  <c r="CF20" i="1"/>
  <c r="CG20" i="1" s="1"/>
  <c r="CI20" i="1" s="1"/>
  <c r="DO19" i="1"/>
  <c r="DP19" i="1" s="1"/>
  <c r="DR19" i="1" s="1"/>
  <c r="DJ19" i="1"/>
  <c r="DK19" i="1" s="1"/>
  <c r="DM19" i="1" s="1"/>
  <c r="DE19" i="1"/>
  <c r="DF19" i="1" s="1"/>
  <c r="DH19" i="1" s="1"/>
  <c r="CZ19" i="1"/>
  <c r="DA19" i="1" s="1"/>
  <c r="DC19" i="1" s="1"/>
  <c r="CU19" i="1"/>
  <c r="CV19" i="1" s="1"/>
  <c r="CX19" i="1" s="1"/>
  <c r="CP19" i="1"/>
  <c r="CQ19" i="1" s="1"/>
  <c r="CS19" i="1" s="1"/>
  <c r="CK19" i="1"/>
  <c r="CL19" i="1" s="1"/>
  <c r="CN19" i="1" s="1"/>
  <c r="CF19" i="1"/>
  <c r="CG19" i="1" s="1"/>
  <c r="CI19" i="1" s="1"/>
  <c r="DO18" i="1"/>
  <c r="DP18" i="1" s="1"/>
  <c r="DR18" i="1" s="1"/>
  <c r="DJ18" i="1"/>
  <c r="DK18" i="1" s="1"/>
  <c r="DM18" i="1" s="1"/>
  <c r="DE18" i="1"/>
  <c r="DF18" i="1" s="1"/>
  <c r="DH18" i="1" s="1"/>
  <c r="CZ18" i="1"/>
  <c r="DA18" i="1" s="1"/>
  <c r="DC18" i="1" s="1"/>
  <c r="CU18" i="1"/>
  <c r="CV18" i="1" s="1"/>
  <c r="CX18" i="1" s="1"/>
  <c r="CP18" i="1"/>
  <c r="CQ18" i="1" s="1"/>
  <c r="CS18" i="1" s="1"/>
  <c r="CK18" i="1"/>
  <c r="CL18" i="1" s="1"/>
  <c r="CN18" i="1" s="1"/>
  <c r="CF18" i="1"/>
  <c r="CG18" i="1" s="1"/>
  <c r="CI18" i="1" s="1"/>
  <c r="DO17" i="1"/>
  <c r="DP17" i="1" s="1"/>
  <c r="DR17" i="1" s="1"/>
  <c r="DJ17" i="1"/>
  <c r="DK17" i="1" s="1"/>
  <c r="DM17" i="1" s="1"/>
  <c r="DE17" i="1"/>
  <c r="DF17" i="1" s="1"/>
  <c r="DH17" i="1" s="1"/>
  <c r="CZ17" i="1"/>
  <c r="DA17" i="1" s="1"/>
  <c r="DC17" i="1" s="1"/>
  <c r="CU17" i="1"/>
  <c r="CV17" i="1" s="1"/>
  <c r="CX17" i="1" s="1"/>
  <c r="CP17" i="1"/>
  <c r="CQ17" i="1" s="1"/>
  <c r="CS17" i="1" s="1"/>
  <c r="CK17" i="1"/>
  <c r="CL17" i="1" s="1"/>
  <c r="CN17" i="1" s="1"/>
  <c r="CF17" i="1"/>
  <c r="CG17" i="1" s="1"/>
  <c r="CI17" i="1" s="1"/>
  <c r="DO16" i="1"/>
  <c r="DP16" i="1" s="1"/>
  <c r="DR16" i="1" s="1"/>
  <c r="DJ16" i="1"/>
  <c r="DK16" i="1" s="1"/>
  <c r="DM16" i="1" s="1"/>
  <c r="DE16" i="1"/>
  <c r="DF16" i="1" s="1"/>
  <c r="DH16" i="1" s="1"/>
  <c r="CZ16" i="1"/>
  <c r="DA16" i="1" s="1"/>
  <c r="DC16" i="1" s="1"/>
  <c r="CU16" i="1"/>
  <c r="CV16" i="1" s="1"/>
  <c r="CX16" i="1" s="1"/>
  <c r="CP16" i="1"/>
  <c r="CQ16" i="1" s="1"/>
  <c r="CS16" i="1" s="1"/>
  <c r="CK16" i="1"/>
  <c r="CL16" i="1" s="1"/>
  <c r="CN16" i="1" s="1"/>
  <c r="CF16" i="1"/>
  <c r="CG16" i="1" s="1"/>
  <c r="CI16" i="1" s="1"/>
  <c r="DO15" i="1"/>
  <c r="DP15" i="1" s="1"/>
  <c r="DR15" i="1" s="1"/>
  <c r="DJ15" i="1"/>
  <c r="DK15" i="1" s="1"/>
  <c r="DM15" i="1" s="1"/>
  <c r="DE15" i="1"/>
  <c r="DF15" i="1" s="1"/>
  <c r="DH15" i="1" s="1"/>
  <c r="CZ15" i="1"/>
  <c r="DA15" i="1" s="1"/>
  <c r="DC15" i="1" s="1"/>
  <c r="CU15" i="1"/>
  <c r="CV15" i="1" s="1"/>
  <c r="CX15" i="1" s="1"/>
  <c r="CP15" i="1"/>
  <c r="CQ15" i="1" s="1"/>
  <c r="CS15" i="1" s="1"/>
  <c r="CK15" i="1"/>
  <c r="CL15" i="1" s="1"/>
  <c r="CN15" i="1" s="1"/>
  <c r="CF15" i="1"/>
  <c r="CG15" i="1" s="1"/>
  <c r="CI15" i="1" s="1"/>
  <c r="DO14" i="1"/>
  <c r="DP14" i="1" s="1"/>
  <c r="DR14" i="1" s="1"/>
  <c r="DJ14" i="1"/>
  <c r="DK14" i="1" s="1"/>
  <c r="DM14" i="1" s="1"/>
  <c r="DE14" i="1"/>
  <c r="DF14" i="1" s="1"/>
  <c r="DH14" i="1" s="1"/>
  <c r="CZ14" i="1"/>
  <c r="DA14" i="1" s="1"/>
  <c r="DC14" i="1" s="1"/>
  <c r="CU14" i="1"/>
  <c r="CV14" i="1" s="1"/>
  <c r="CX14" i="1" s="1"/>
  <c r="CP14" i="1"/>
  <c r="CQ14" i="1" s="1"/>
  <c r="CS14" i="1" s="1"/>
  <c r="CK14" i="1"/>
  <c r="CL14" i="1" s="1"/>
  <c r="CN14" i="1" s="1"/>
  <c r="CF14" i="1"/>
  <c r="CG14" i="1" s="1"/>
  <c r="CI14" i="1" s="1"/>
  <c r="DO13" i="1"/>
  <c r="DP13" i="1" s="1"/>
  <c r="DR13" i="1" s="1"/>
  <c r="DJ13" i="1"/>
  <c r="DK13" i="1" s="1"/>
  <c r="DM13" i="1" s="1"/>
  <c r="DE13" i="1"/>
  <c r="DF13" i="1" s="1"/>
  <c r="DH13" i="1" s="1"/>
  <c r="CZ13" i="1"/>
  <c r="DA13" i="1" s="1"/>
  <c r="DC13" i="1" s="1"/>
  <c r="CU13" i="1"/>
  <c r="CV13" i="1" s="1"/>
  <c r="CX13" i="1" s="1"/>
  <c r="CP13" i="1"/>
  <c r="CQ13" i="1" s="1"/>
  <c r="CS13" i="1" s="1"/>
  <c r="CK13" i="1"/>
  <c r="CL13" i="1" s="1"/>
  <c r="CN13" i="1" s="1"/>
  <c r="CF13" i="1"/>
  <c r="CG13" i="1" s="1"/>
  <c r="CI13" i="1" s="1"/>
  <c r="DO12" i="1"/>
  <c r="DP12" i="1" s="1"/>
  <c r="DR12" i="1" s="1"/>
  <c r="DJ12" i="1"/>
  <c r="DK12" i="1" s="1"/>
  <c r="DM12" i="1" s="1"/>
  <c r="DE12" i="1"/>
  <c r="DF12" i="1" s="1"/>
  <c r="DH12" i="1" s="1"/>
  <c r="CZ12" i="1"/>
  <c r="DA12" i="1" s="1"/>
  <c r="DC12" i="1" s="1"/>
  <c r="CU12" i="1"/>
  <c r="CV12" i="1" s="1"/>
  <c r="CX12" i="1" s="1"/>
  <c r="CP12" i="1"/>
  <c r="CQ12" i="1" s="1"/>
  <c r="CS12" i="1" s="1"/>
  <c r="CK12" i="1"/>
  <c r="CL12" i="1" s="1"/>
  <c r="CN12" i="1" s="1"/>
  <c r="CF12" i="1"/>
  <c r="CG12" i="1" s="1"/>
  <c r="CI12" i="1" s="1"/>
  <c r="DO11" i="1"/>
  <c r="DP11" i="1" s="1"/>
  <c r="DR11" i="1" s="1"/>
  <c r="DJ11" i="1"/>
  <c r="DK11" i="1" s="1"/>
  <c r="DM11" i="1" s="1"/>
  <c r="DE11" i="1"/>
  <c r="DF11" i="1" s="1"/>
  <c r="DH11" i="1" s="1"/>
  <c r="CZ11" i="1"/>
  <c r="DA11" i="1" s="1"/>
  <c r="DC11" i="1" s="1"/>
  <c r="CU11" i="1"/>
  <c r="CV11" i="1" s="1"/>
  <c r="CX11" i="1" s="1"/>
  <c r="CP11" i="1"/>
  <c r="CQ11" i="1" s="1"/>
  <c r="CS11" i="1" s="1"/>
  <c r="CK11" i="1"/>
  <c r="CL11" i="1" s="1"/>
  <c r="CN11" i="1" s="1"/>
  <c r="CF11" i="1"/>
  <c r="CG11" i="1" s="1"/>
  <c r="CI11" i="1" s="1"/>
  <c r="DO10" i="1"/>
  <c r="DP10" i="1" s="1"/>
  <c r="DR10" i="1" s="1"/>
  <c r="DJ10" i="1"/>
  <c r="DK10" i="1" s="1"/>
  <c r="DM10" i="1" s="1"/>
  <c r="DE10" i="1"/>
  <c r="DF10" i="1" s="1"/>
  <c r="DH10" i="1" s="1"/>
  <c r="CZ10" i="1"/>
  <c r="DA10" i="1" s="1"/>
  <c r="DC10" i="1" s="1"/>
  <c r="CU10" i="1"/>
  <c r="CV10" i="1" s="1"/>
  <c r="CX10" i="1" s="1"/>
  <c r="CP10" i="1"/>
  <c r="CQ10" i="1" s="1"/>
  <c r="CS10" i="1" s="1"/>
  <c r="CK10" i="1"/>
  <c r="CL10" i="1" s="1"/>
  <c r="CN10" i="1" s="1"/>
  <c r="CF10" i="1"/>
  <c r="CG10" i="1" s="1"/>
  <c r="CI10" i="1" s="1"/>
  <c r="DO9" i="1"/>
  <c r="DP9" i="1" s="1"/>
  <c r="DR9" i="1" s="1"/>
  <c r="DJ9" i="1"/>
  <c r="DK9" i="1" s="1"/>
  <c r="DM9" i="1" s="1"/>
  <c r="DE9" i="1"/>
  <c r="DF9" i="1" s="1"/>
  <c r="DH9" i="1" s="1"/>
  <c r="CZ9" i="1"/>
  <c r="DA9" i="1" s="1"/>
  <c r="DC9" i="1" s="1"/>
  <c r="CU9" i="1"/>
  <c r="CV9" i="1" s="1"/>
  <c r="CX9" i="1" s="1"/>
  <c r="CP9" i="1"/>
  <c r="CQ9" i="1" s="1"/>
  <c r="CS9" i="1" s="1"/>
  <c r="CK9" i="1"/>
  <c r="CL9" i="1" s="1"/>
  <c r="CN9" i="1" s="1"/>
  <c r="CF9" i="1"/>
  <c r="CG9" i="1" s="1"/>
  <c r="CI9" i="1" s="1"/>
  <c r="DO8" i="1"/>
  <c r="DP8" i="1" s="1"/>
  <c r="DR8" i="1" s="1"/>
  <c r="DJ8" i="1"/>
  <c r="DK8" i="1" s="1"/>
  <c r="DM8" i="1" s="1"/>
  <c r="DE8" i="1"/>
  <c r="DF8" i="1" s="1"/>
  <c r="DH8" i="1" s="1"/>
  <c r="CZ8" i="1"/>
  <c r="DA8" i="1" s="1"/>
  <c r="DC8" i="1" s="1"/>
  <c r="CU8" i="1"/>
  <c r="CV8" i="1" s="1"/>
  <c r="CX8" i="1" s="1"/>
  <c r="CP8" i="1"/>
  <c r="CQ8" i="1" s="1"/>
  <c r="CS8" i="1" s="1"/>
  <c r="CK8" i="1"/>
  <c r="CL8" i="1" s="1"/>
  <c r="CN8" i="1" s="1"/>
  <c r="CF8" i="1"/>
  <c r="CG8" i="1" s="1"/>
  <c r="CI8" i="1" s="1"/>
  <c r="DO7" i="1"/>
  <c r="DP7" i="1" s="1"/>
  <c r="DR7" i="1" s="1"/>
  <c r="DJ7" i="1"/>
  <c r="DK7" i="1" s="1"/>
  <c r="DM7" i="1" s="1"/>
  <c r="DE7" i="1"/>
  <c r="DF7" i="1" s="1"/>
  <c r="DH7" i="1" s="1"/>
  <c r="CZ7" i="1"/>
  <c r="DA7" i="1" s="1"/>
  <c r="DC7" i="1" s="1"/>
  <c r="CU7" i="1"/>
  <c r="CV7" i="1" s="1"/>
  <c r="CX7" i="1" s="1"/>
  <c r="CP7" i="1"/>
  <c r="CQ7" i="1" s="1"/>
  <c r="CS7" i="1" s="1"/>
  <c r="CK7" i="1"/>
  <c r="CL7" i="1" s="1"/>
  <c r="CN7" i="1" s="1"/>
  <c r="CF7" i="1"/>
  <c r="CG7" i="1" s="1"/>
  <c r="CI7" i="1" s="1"/>
  <c r="DO6" i="1"/>
  <c r="DP6" i="1" s="1"/>
  <c r="DR6" i="1" s="1"/>
  <c r="DJ6" i="1"/>
  <c r="DK6" i="1" s="1"/>
  <c r="DM6" i="1" s="1"/>
  <c r="DE6" i="1"/>
  <c r="DF6" i="1" s="1"/>
  <c r="DH6" i="1" s="1"/>
  <c r="CZ6" i="1"/>
  <c r="DA6" i="1" s="1"/>
  <c r="DC6" i="1" s="1"/>
  <c r="CU6" i="1"/>
  <c r="CV6" i="1" s="1"/>
  <c r="CX6" i="1" s="1"/>
  <c r="CP6" i="1"/>
  <c r="CQ6" i="1" s="1"/>
  <c r="CS6" i="1" s="1"/>
  <c r="CK6" i="1"/>
  <c r="CL6" i="1" s="1"/>
  <c r="CN6" i="1" s="1"/>
  <c r="CF6" i="1"/>
  <c r="CG6" i="1" s="1"/>
  <c r="CI6" i="1" s="1"/>
  <c r="DO5" i="1"/>
  <c r="DP5" i="1" s="1"/>
  <c r="DR5" i="1" s="1"/>
  <c r="DJ5" i="1"/>
  <c r="DK5" i="1" s="1"/>
  <c r="DM5" i="1" s="1"/>
  <c r="DE5" i="1"/>
  <c r="DF5" i="1" s="1"/>
  <c r="DH5" i="1" s="1"/>
  <c r="CZ5" i="1"/>
  <c r="DA5" i="1" s="1"/>
  <c r="DC5" i="1" s="1"/>
  <c r="CU5" i="1"/>
  <c r="CV5" i="1" s="1"/>
  <c r="CX5" i="1" s="1"/>
  <c r="CP5" i="1"/>
  <c r="CQ5" i="1" s="1"/>
  <c r="CS5" i="1" s="1"/>
  <c r="CK5" i="1"/>
  <c r="CL5" i="1" s="1"/>
  <c r="CN5" i="1" s="1"/>
  <c r="CF5" i="1"/>
  <c r="CG5" i="1" s="1"/>
  <c r="CI5" i="1" s="1"/>
  <c r="DO4" i="1"/>
  <c r="DP4" i="1" s="1"/>
  <c r="DR4" i="1" s="1"/>
  <c r="DJ4" i="1"/>
  <c r="DK4" i="1" s="1"/>
  <c r="DM4" i="1" s="1"/>
  <c r="DE4" i="1"/>
  <c r="DF4" i="1" s="1"/>
  <c r="DH4" i="1" s="1"/>
  <c r="CZ4" i="1"/>
  <c r="DA4" i="1" s="1"/>
  <c r="DC4" i="1" s="1"/>
  <c r="CU4" i="1"/>
  <c r="CV4" i="1" s="1"/>
  <c r="CX4" i="1" s="1"/>
  <c r="CP4" i="1"/>
  <c r="CQ4" i="1" s="1"/>
  <c r="CS4" i="1" s="1"/>
  <c r="CK4" i="1"/>
  <c r="CL4" i="1" s="1"/>
  <c r="CN4" i="1" s="1"/>
  <c r="CF4" i="1"/>
  <c r="CG4" i="1" s="1"/>
  <c r="CI4" i="1" s="1"/>
  <c r="DO3" i="1"/>
  <c r="DP3" i="1" s="1"/>
  <c r="DR3" i="1" s="1"/>
  <c r="DJ3" i="1"/>
  <c r="DK3" i="1" s="1"/>
  <c r="DM3" i="1" s="1"/>
  <c r="DE3" i="1"/>
  <c r="DF3" i="1" s="1"/>
  <c r="DH3" i="1" s="1"/>
  <c r="CZ3" i="1"/>
  <c r="DA3" i="1" s="1"/>
  <c r="DC3" i="1" s="1"/>
  <c r="CU3" i="1"/>
  <c r="CV3" i="1" s="1"/>
  <c r="CX3" i="1" s="1"/>
  <c r="CP3" i="1"/>
  <c r="CQ3" i="1" s="1"/>
  <c r="CS3" i="1" s="1"/>
  <c r="CK3" i="1"/>
  <c r="CL3" i="1" s="1"/>
  <c r="CN3" i="1" s="1"/>
  <c r="CF3" i="1"/>
  <c r="CG3" i="1" s="1"/>
  <c r="CI3" i="1" s="1"/>
  <c r="CA35" i="1"/>
  <c r="CB35" i="1" s="1"/>
  <c r="CD35" i="1" s="1"/>
  <c r="BV35" i="1"/>
  <c r="BW35" i="1" s="1"/>
  <c r="BY35" i="1" s="1"/>
  <c r="BQ35" i="1"/>
  <c r="BR35" i="1" s="1"/>
  <c r="BT35" i="1" s="1"/>
  <c r="BL35" i="1"/>
  <c r="BM35" i="1" s="1"/>
  <c r="BO35" i="1" s="1"/>
  <c r="BG35" i="1"/>
  <c r="BH35" i="1" s="1"/>
  <c r="BJ35" i="1" s="1"/>
  <c r="BB35" i="1"/>
  <c r="BC35" i="1" s="1"/>
  <c r="BE35" i="1" s="1"/>
  <c r="AW35" i="1"/>
  <c r="AX35" i="1" s="1"/>
  <c r="AZ35" i="1" s="1"/>
  <c r="AR35" i="1"/>
  <c r="AS35" i="1" s="1"/>
  <c r="AU35" i="1" s="1"/>
  <c r="CA34" i="1"/>
  <c r="CB34" i="1" s="1"/>
  <c r="CD34" i="1" s="1"/>
  <c r="BV34" i="1"/>
  <c r="BW34" i="1" s="1"/>
  <c r="BY34" i="1" s="1"/>
  <c r="BQ34" i="1"/>
  <c r="BR34" i="1" s="1"/>
  <c r="BT34" i="1" s="1"/>
  <c r="BL34" i="1"/>
  <c r="BM34" i="1" s="1"/>
  <c r="BO34" i="1" s="1"/>
  <c r="BG34" i="1"/>
  <c r="BH34" i="1" s="1"/>
  <c r="BJ34" i="1" s="1"/>
  <c r="BB34" i="1"/>
  <c r="BC34" i="1" s="1"/>
  <c r="BE34" i="1" s="1"/>
  <c r="AW34" i="1"/>
  <c r="AX34" i="1" s="1"/>
  <c r="AZ34" i="1" s="1"/>
  <c r="AR34" i="1"/>
  <c r="AS34" i="1" s="1"/>
  <c r="AU34" i="1" s="1"/>
  <c r="CA33" i="1"/>
  <c r="CB33" i="1" s="1"/>
  <c r="CD33" i="1" s="1"/>
  <c r="BV33" i="1"/>
  <c r="BW33" i="1" s="1"/>
  <c r="BY33" i="1" s="1"/>
  <c r="BQ33" i="1"/>
  <c r="BR33" i="1" s="1"/>
  <c r="BT33" i="1" s="1"/>
  <c r="BL33" i="1"/>
  <c r="BM33" i="1" s="1"/>
  <c r="BO33" i="1" s="1"/>
  <c r="BG33" i="1"/>
  <c r="BH33" i="1" s="1"/>
  <c r="BJ33" i="1" s="1"/>
  <c r="BB33" i="1"/>
  <c r="BC33" i="1" s="1"/>
  <c r="BE33" i="1" s="1"/>
  <c r="AW33" i="1"/>
  <c r="AX33" i="1" s="1"/>
  <c r="AZ33" i="1" s="1"/>
  <c r="AR33" i="1"/>
  <c r="AS33" i="1" s="1"/>
  <c r="AU33" i="1" s="1"/>
  <c r="CA32" i="1"/>
  <c r="CB32" i="1" s="1"/>
  <c r="CD32" i="1" s="1"/>
  <c r="BV32" i="1"/>
  <c r="BW32" i="1" s="1"/>
  <c r="BY32" i="1" s="1"/>
  <c r="BQ32" i="1"/>
  <c r="BR32" i="1" s="1"/>
  <c r="BT32" i="1" s="1"/>
  <c r="BL32" i="1"/>
  <c r="BM32" i="1" s="1"/>
  <c r="BO32" i="1" s="1"/>
  <c r="BH32" i="1"/>
  <c r="BJ32" i="1" s="1"/>
  <c r="BB32" i="1"/>
  <c r="BC32" i="1" s="1"/>
  <c r="BE32" i="1" s="1"/>
  <c r="AW32" i="1"/>
  <c r="AX32" i="1" s="1"/>
  <c r="AZ32" i="1" s="1"/>
  <c r="AR32" i="1"/>
  <c r="AS32" i="1" s="1"/>
  <c r="AU32" i="1" s="1"/>
  <c r="CA31" i="1"/>
  <c r="CB31" i="1" s="1"/>
  <c r="CD31" i="1" s="1"/>
  <c r="BV31" i="1"/>
  <c r="BW31" i="1" s="1"/>
  <c r="BY31" i="1" s="1"/>
  <c r="BQ31" i="1"/>
  <c r="BR31" i="1" s="1"/>
  <c r="BT31" i="1" s="1"/>
  <c r="BL31" i="1"/>
  <c r="BM31" i="1" s="1"/>
  <c r="BO31" i="1" s="1"/>
  <c r="BG31" i="1"/>
  <c r="BH31" i="1" s="1"/>
  <c r="BJ31" i="1" s="1"/>
  <c r="BB31" i="1"/>
  <c r="BC31" i="1" s="1"/>
  <c r="BE31" i="1" s="1"/>
  <c r="AW31" i="1"/>
  <c r="AX31" i="1" s="1"/>
  <c r="AZ31" i="1" s="1"/>
  <c r="AR31" i="1"/>
  <c r="AS31" i="1" s="1"/>
  <c r="AU31" i="1" s="1"/>
  <c r="CA30" i="1"/>
  <c r="CB30" i="1" s="1"/>
  <c r="CD30" i="1" s="1"/>
  <c r="BV30" i="1"/>
  <c r="BW30" i="1" s="1"/>
  <c r="BY30" i="1" s="1"/>
  <c r="BQ30" i="1"/>
  <c r="BR30" i="1" s="1"/>
  <c r="BT30" i="1" s="1"/>
  <c r="BL30" i="1"/>
  <c r="BM30" i="1" s="1"/>
  <c r="BO30" i="1" s="1"/>
  <c r="BG30" i="1"/>
  <c r="BH30" i="1" s="1"/>
  <c r="BJ30" i="1" s="1"/>
  <c r="BB30" i="1"/>
  <c r="BC30" i="1" s="1"/>
  <c r="BE30" i="1" s="1"/>
  <c r="AW30" i="1"/>
  <c r="AX30" i="1" s="1"/>
  <c r="AZ30" i="1" s="1"/>
  <c r="AR30" i="1"/>
  <c r="AS30" i="1" s="1"/>
  <c r="AU30" i="1" s="1"/>
  <c r="CA29" i="1"/>
  <c r="CB29" i="1" s="1"/>
  <c r="CD29" i="1" s="1"/>
  <c r="BV29" i="1"/>
  <c r="BW29" i="1" s="1"/>
  <c r="BY29" i="1" s="1"/>
  <c r="BQ29" i="1"/>
  <c r="BR29" i="1" s="1"/>
  <c r="BT29" i="1" s="1"/>
  <c r="BL29" i="1"/>
  <c r="BM29" i="1" s="1"/>
  <c r="BO29" i="1" s="1"/>
  <c r="BG29" i="1"/>
  <c r="BH29" i="1" s="1"/>
  <c r="BJ29" i="1" s="1"/>
  <c r="BB29" i="1"/>
  <c r="BC29" i="1" s="1"/>
  <c r="BE29" i="1" s="1"/>
  <c r="AW29" i="1"/>
  <c r="AX29" i="1" s="1"/>
  <c r="AZ29" i="1" s="1"/>
  <c r="AR29" i="1"/>
  <c r="AS29" i="1" s="1"/>
  <c r="AU29" i="1" s="1"/>
  <c r="CA28" i="1"/>
  <c r="CB28" i="1" s="1"/>
  <c r="CD28" i="1" s="1"/>
  <c r="BV28" i="1"/>
  <c r="BW28" i="1" s="1"/>
  <c r="BY28" i="1" s="1"/>
  <c r="BQ28" i="1"/>
  <c r="BR28" i="1" s="1"/>
  <c r="BT28" i="1" s="1"/>
  <c r="BL28" i="1"/>
  <c r="BM28" i="1" s="1"/>
  <c r="BO28" i="1" s="1"/>
  <c r="BG28" i="1"/>
  <c r="BH28" i="1" s="1"/>
  <c r="BJ28" i="1" s="1"/>
  <c r="BB28" i="1"/>
  <c r="BC28" i="1" s="1"/>
  <c r="BE28" i="1" s="1"/>
  <c r="AW28" i="1"/>
  <c r="AX28" i="1" s="1"/>
  <c r="AZ28" i="1" s="1"/>
  <c r="AR28" i="1"/>
  <c r="AS28" i="1" s="1"/>
  <c r="AU28" i="1" s="1"/>
  <c r="CA27" i="1"/>
  <c r="CB27" i="1" s="1"/>
  <c r="CD27" i="1" s="1"/>
  <c r="BV27" i="1"/>
  <c r="BW27" i="1" s="1"/>
  <c r="BY27" i="1" s="1"/>
  <c r="BQ27" i="1"/>
  <c r="BR27" i="1" s="1"/>
  <c r="BT27" i="1" s="1"/>
  <c r="BL27" i="1"/>
  <c r="BM27" i="1" s="1"/>
  <c r="BO27" i="1" s="1"/>
  <c r="BG27" i="1"/>
  <c r="BH27" i="1" s="1"/>
  <c r="BJ27" i="1" s="1"/>
  <c r="BB27" i="1"/>
  <c r="BC27" i="1" s="1"/>
  <c r="BE27" i="1" s="1"/>
  <c r="AW27" i="1"/>
  <c r="AX27" i="1" s="1"/>
  <c r="AZ27" i="1" s="1"/>
  <c r="AR27" i="1"/>
  <c r="AS27" i="1" s="1"/>
  <c r="AU27" i="1" s="1"/>
  <c r="CA26" i="1"/>
  <c r="CB26" i="1" s="1"/>
  <c r="CD26" i="1" s="1"/>
  <c r="BV26" i="1"/>
  <c r="BW26" i="1" s="1"/>
  <c r="BY26" i="1" s="1"/>
  <c r="BQ26" i="1"/>
  <c r="BR26" i="1" s="1"/>
  <c r="BT26" i="1" s="1"/>
  <c r="BL26" i="1"/>
  <c r="BM26" i="1" s="1"/>
  <c r="BO26" i="1" s="1"/>
  <c r="BH26" i="1"/>
  <c r="BJ26" i="1" s="1"/>
  <c r="BB26" i="1"/>
  <c r="BC26" i="1" s="1"/>
  <c r="BE26" i="1" s="1"/>
  <c r="AW26" i="1"/>
  <c r="AX26" i="1" s="1"/>
  <c r="AZ26" i="1" s="1"/>
  <c r="AR26" i="1"/>
  <c r="AS26" i="1" s="1"/>
  <c r="AU26" i="1" s="1"/>
  <c r="CA25" i="1"/>
  <c r="CB25" i="1" s="1"/>
  <c r="CD25" i="1" s="1"/>
  <c r="BV25" i="1"/>
  <c r="BW25" i="1" s="1"/>
  <c r="BY25" i="1" s="1"/>
  <c r="BQ25" i="1"/>
  <c r="BR25" i="1" s="1"/>
  <c r="BT25" i="1" s="1"/>
  <c r="BL25" i="1"/>
  <c r="BM25" i="1" s="1"/>
  <c r="BO25" i="1" s="1"/>
  <c r="BG25" i="1"/>
  <c r="BH25" i="1" s="1"/>
  <c r="BJ25" i="1" s="1"/>
  <c r="BB25" i="1"/>
  <c r="BC25" i="1" s="1"/>
  <c r="BE25" i="1" s="1"/>
  <c r="AW25" i="1"/>
  <c r="AX25" i="1" s="1"/>
  <c r="AZ25" i="1" s="1"/>
  <c r="AR25" i="1"/>
  <c r="AS25" i="1" s="1"/>
  <c r="AU25" i="1" s="1"/>
  <c r="CA24" i="1"/>
  <c r="CB24" i="1" s="1"/>
  <c r="CD24" i="1" s="1"/>
  <c r="BV24" i="1"/>
  <c r="BW24" i="1" s="1"/>
  <c r="BY24" i="1" s="1"/>
  <c r="BQ24" i="1"/>
  <c r="BR24" i="1" s="1"/>
  <c r="BT24" i="1" s="1"/>
  <c r="BL24" i="1"/>
  <c r="BM24" i="1" s="1"/>
  <c r="BO24" i="1" s="1"/>
  <c r="BG24" i="1"/>
  <c r="BH24" i="1" s="1"/>
  <c r="BJ24" i="1" s="1"/>
  <c r="BB24" i="1"/>
  <c r="BC24" i="1" s="1"/>
  <c r="BE24" i="1" s="1"/>
  <c r="AW24" i="1"/>
  <c r="AX24" i="1" s="1"/>
  <c r="AZ24" i="1" s="1"/>
  <c r="AR24" i="1"/>
  <c r="AS24" i="1" s="1"/>
  <c r="AU24" i="1" s="1"/>
  <c r="CA23" i="1"/>
  <c r="CB23" i="1" s="1"/>
  <c r="CD23" i="1" s="1"/>
  <c r="BV23" i="1"/>
  <c r="BW23" i="1" s="1"/>
  <c r="BY23" i="1" s="1"/>
  <c r="BQ23" i="1"/>
  <c r="BR23" i="1" s="1"/>
  <c r="BT23" i="1" s="1"/>
  <c r="BL23" i="1"/>
  <c r="BM23" i="1" s="1"/>
  <c r="BO23" i="1" s="1"/>
  <c r="BG23" i="1"/>
  <c r="BH23" i="1" s="1"/>
  <c r="BJ23" i="1" s="1"/>
  <c r="BB23" i="1"/>
  <c r="BC23" i="1" s="1"/>
  <c r="BE23" i="1" s="1"/>
  <c r="AW23" i="1"/>
  <c r="AX23" i="1" s="1"/>
  <c r="AZ23" i="1" s="1"/>
  <c r="AR23" i="1"/>
  <c r="AS23" i="1" s="1"/>
  <c r="AU23" i="1" s="1"/>
  <c r="CA22" i="1"/>
  <c r="CB22" i="1" s="1"/>
  <c r="CD22" i="1" s="1"/>
  <c r="BV22" i="1"/>
  <c r="BW22" i="1" s="1"/>
  <c r="BY22" i="1" s="1"/>
  <c r="BQ22" i="1"/>
  <c r="BR22" i="1" s="1"/>
  <c r="BT22" i="1" s="1"/>
  <c r="BL22" i="1"/>
  <c r="BM22" i="1" s="1"/>
  <c r="BO22" i="1" s="1"/>
  <c r="BG22" i="1"/>
  <c r="BH22" i="1" s="1"/>
  <c r="BJ22" i="1" s="1"/>
  <c r="BB22" i="1"/>
  <c r="BC22" i="1" s="1"/>
  <c r="BE22" i="1" s="1"/>
  <c r="AW22" i="1"/>
  <c r="AX22" i="1" s="1"/>
  <c r="AZ22" i="1" s="1"/>
  <c r="AR22" i="1"/>
  <c r="AS22" i="1" s="1"/>
  <c r="AU22" i="1" s="1"/>
  <c r="CA21" i="1"/>
  <c r="CB21" i="1" s="1"/>
  <c r="CD21" i="1" s="1"/>
  <c r="BV21" i="1"/>
  <c r="BW21" i="1" s="1"/>
  <c r="BY21" i="1" s="1"/>
  <c r="BQ21" i="1"/>
  <c r="BR21" i="1" s="1"/>
  <c r="BT21" i="1" s="1"/>
  <c r="BL21" i="1"/>
  <c r="BM21" i="1" s="1"/>
  <c r="BO21" i="1" s="1"/>
  <c r="BG21" i="1"/>
  <c r="BH21" i="1" s="1"/>
  <c r="BJ21" i="1" s="1"/>
  <c r="BB21" i="1"/>
  <c r="BC21" i="1" s="1"/>
  <c r="BE21" i="1" s="1"/>
  <c r="AW21" i="1"/>
  <c r="AX21" i="1" s="1"/>
  <c r="AZ21" i="1" s="1"/>
  <c r="AR21" i="1"/>
  <c r="AS21" i="1" s="1"/>
  <c r="AU21" i="1" s="1"/>
  <c r="CA20" i="1"/>
  <c r="CB20" i="1" s="1"/>
  <c r="CD20" i="1" s="1"/>
  <c r="BV20" i="1"/>
  <c r="BW20" i="1" s="1"/>
  <c r="BY20" i="1" s="1"/>
  <c r="BQ20" i="1"/>
  <c r="BR20" i="1" s="1"/>
  <c r="BT20" i="1" s="1"/>
  <c r="BL20" i="1"/>
  <c r="BM20" i="1" s="1"/>
  <c r="BO20" i="1" s="1"/>
  <c r="BG20" i="1"/>
  <c r="BH20" i="1" s="1"/>
  <c r="BJ20" i="1" s="1"/>
  <c r="BB20" i="1"/>
  <c r="BC20" i="1" s="1"/>
  <c r="BE20" i="1" s="1"/>
  <c r="AW20" i="1"/>
  <c r="AX20" i="1" s="1"/>
  <c r="AZ20" i="1" s="1"/>
  <c r="AR20" i="1"/>
  <c r="AS20" i="1" s="1"/>
  <c r="AU20" i="1" s="1"/>
  <c r="CA19" i="1"/>
  <c r="CB19" i="1" s="1"/>
  <c r="CD19" i="1" s="1"/>
  <c r="BV19" i="1"/>
  <c r="BW19" i="1" s="1"/>
  <c r="BY19" i="1" s="1"/>
  <c r="BQ19" i="1"/>
  <c r="BR19" i="1" s="1"/>
  <c r="BT19" i="1" s="1"/>
  <c r="BL19" i="1"/>
  <c r="BM19" i="1" s="1"/>
  <c r="BO19" i="1" s="1"/>
  <c r="BG19" i="1"/>
  <c r="BH19" i="1" s="1"/>
  <c r="BJ19" i="1" s="1"/>
  <c r="BB19" i="1"/>
  <c r="BC19" i="1" s="1"/>
  <c r="BE19" i="1" s="1"/>
  <c r="AW19" i="1"/>
  <c r="AX19" i="1" s="1"/>
  <c r="AZ19" i="1" s="1"/>
  <c r="AR19" i="1"/>
  <c r="AS19" i="1" s="1"/>
  <c r="AU19" i="1" s="1"/>
  <c r="CA18" i="1"/>
  <c r="CB18" i="1" s="1"/>
  <c r="CD18" i="1" s="1"/>
  <c r="BV18" i="1"/>
  <c r="BW18" i="1" s="1"/>
  <c r="BY18" i="1" s="1"/>
  <c r="BQ18" i="1"/>
  <c r="BR18" i="1" s="1"/>
  <c r="BT18" i="1" s="1"/>
  <c r="BL18" i="1"/>
  <c r="BM18" i="1" s="1"/>
  <c r="BO18" i="1" s="1"/>
  <c r="BG18" i="1"/>
  <c r="BH18" i="1" s="1"/>
  <c r="BJ18" i="1" s="1"/>
  <c r="BB18" i="1"/>
  <c r="BC18" i="1" s="1"/>
  <c r="BE18" i="1" s="1"/>
  <c r="AW18" i="1"/>
  <c r="AX18" i="1" s="1"/>
  <c r="AZ18" i="1" s="1"/>
  <c r="AR18" i="1"/>
  <c r="AS18" i="1" s="1"/>
  <c r="AU18" i="1" s="1"/>
  <c r="CA17" i="1"/>
  <c r="CB17" i="1" s="1"/>
  <c r="CD17" i="1" s="1"/>
  <c r="BV17" i="1"/>
  <c r="BW17" i="1" s="1"/>
  <c r="BY17" i="1" s="1"/>
  <c r="BQ17" i="1"/>
  <c r="BR17" i="1" s="1"/>
  <c r="BT17" i="1" s="1"/>
  <c r="BL17" i="1"/>
  <c r="BM17" i="1" s="1"/>
  <c r="BO17" i="1" s="1"/>
  <c r="BG17" i="1"/>
  <c r="BH17" i="1" s="1"/>
  <c r="BJ17" i="1" s="1"/>
  <c r="BB17" i="1"/>
  <c r="BC17" i="1" s="1"/>
  <c r="BE17" i="1" s="1"/>
  <c r="AW17" i="1"/>
  <c r="AX17" i="1" s="1"/>
  <c r="AZ17" i="1" s="1"/>
  <c r="AR17" i="1"/>
  <c r="AS17" i="1" s="1"/>
  <c r="AU17" i="1" s="1"/>
  <c r="CA16" i="1"/>
  <c r="CB16" i="1" s="1"/>
  <c r="CD16" i="1" s="1"/>
  <c r="BV16" i="1"/>
  <c r="BW16" i="1" s="1"/>
  <c r="BY16" i="1" s="1"/>
  <c r="BQ16" i="1"/>
  <c r="BR16" i="1" s="1"/>
  <c r="BT16" i="1" s="1"/>
  <c r="BL16" i="1"/>
  <c r="BM16" i="1" s="1"/>
  <c r="BO16" i="1" s="1"/>
  <c r="BG16" i="1"/>
  <c r="BH16" i="1" s="1"/>
  <c r="BJ16" i="1" s="1"/>
  <c r="BB16" i="1"/>
  <c r="BC16" i="1" s="1"/>
  <c r="BE16" i="1" s="1"/>
  <c r="AW16" i="1"/>
  <c r="AX16" i="1" s="1"/>
  <c r="AZ16" i="1" s="1"/>
  <c r="AR16" i="1"/>
  <c r="AS16" i="1" s="1"/>
  <c r="AU16" i="1" s="1"/>
  <c r="CA15" i="1"/>
  <c r="CB15" i="1" s="1"/>
  <c r="CD15" i="1" s="1"/>
  <c r="BV15" i="1"/>
  <c r="BW15" i="1" s="1"/>
  <c r="BY15" i="1" s="1"/>
  <c r="BQ15" i="1"/>
  <c r="BR15" i="1" s="1"/>
  <c r="BT15" i="1" s="1"/>
  <c r="BL15" i="1"/>
  <c r="BM15" i="1" s="1"/>
  <c r="BO15" i="1" s="1"/>
  <c r="BG15" i="1"/>
  <c r="BH15" i="1" s="1"/>
  <c r="BJ15" i="1" s="1"/>
  <c r="BB15" i="1"/>
  <c r="BC15" i="1" s="1"/>
  <c r="BE15" i="1" s="1"/>
  <c r="AW15" i="1"/>
  <c r="AX15" i="1" s="1"/>
  <c r="AZ15" i="1" s="1"/>
  <c r="AR15" i="1"/>
  <c r="AS15" i="1" s="1"/>
  <c r="AU15" i="1" s="1"/>
  <c r="CA14" i="1"/>
  <c r="CB14" i="1" s="1"/>
  <c r="CD14" i="1" s="1"/>
  <c r="BV14" i="1"/>
  <c r="BW14" i="1" s="1"/>
  <c r="BY14" i="1" s="1"/>
  <c r="BQ14" i="1"/>
  <c r="BR14" i="1" s="1"/>
  <c r="BT14" i="1" s="1"/>
  <c r="BL14" i="1"/>
  <c r="BM14" i="1" s="1"/>
  <c r="BO14" i="1" s="1"/>
  <c r="BG14" i="1"/>
  <c r="BH14" i="1" s="1"/>
  <c r="BJ14" i="1" s="1"/>
  <c r="BB14" i="1"/>
  <c r="BC14" i="1" s="1"/>
  <c r="BE14" i="1" s="1"/>
  <c r="AW14" i="1"/>
  <c r="AX14" i="1" s="1"/>
  <c r="AZ14" i="1" s="1"/>
  <c r="AR14" i="1"/>
  <c r="AS14" i="1" s="1"/>
  <c r="AU14" i="1" s="1"/>
  <c r="CA13" i="1"/>
  <c r="CB13" i="1" s="1"/>
  <c r="CD13" i="1" s="1"/>
  <c r="BV13" i="1"/>
  <c r="BW13" i="1" s="1"/>
  <c r="BY13" i="1" s="1"/>
  <c r="BQ13" i="1"/>
  <c r="BR13" i="1" s="1"/>
  <c r="BT13" i="1" s="1"/>
  <c r="BL13" i="1"/>
  <c r="BM13" i="1" s="1"/>
  <c r="BO13" i="1" s="1"/>
  <c r="BG13" i="1"/>
  <c r="BH13" i="1" s="1"/>
  <c r="BJ13" i="1" s="1"/>
  <c r="BB13" i="1"/>
  <c r="BC13" i="1" s="1"/>
  <c r="BE13" i="1" s="1"/>
  <c r="AW13" i="1"/>
  <c r="AX13" i="1" s="1"/>
  <c r="AZ13" i="1" s="1"/>
  <c r="AR13" i="1"/>
  <c r="AS13" i="1" s="1"/>
  <c r="AU13" i="1" s="1"/>
  <c r="CA12" i="1"/>
  <c r="CB12" i="1" s="1"/>
  <c r="CD12" i="1" s="1"/>
  <c r="BV12" i="1"/>
  <c r="BW12" i="1" s="1"/>
  <c r="BY12" i="1" s="1"/>
  <c r="BQ12" i="1"/>
  <c r="BR12" i="1" s="1"/>
  <c r="BT12" i="1" s="1"/>
  <c r="BL12" i="1"/>
  <c r="BM12" i="1" s="1"/>
  <c r="BO12" i="1" s="1"/>
  <c r="BG12" i="1"/>
  <c r="BH12" i="1" s="1"/>
  <c r="BJ12" i="1" s="1"/>
  <c r="BB12" i="1"/>
  <c r="BC12" i="1" s="1"/>
  <c r="BE12" i="1" s="1"/>
  <c r="AW12" i="1"/>
  <c r="AX12" i="1" s="1"/>
  <c r="AZ12" i="1" s="1"/>
  <c r="AR12" i="1"/>
  <c r="AS12" i="1" s="1"/>
  <c r="AU12" i="1" s="1"/>
  <c r="CA11" i="1"/>
  <c r="CB11" i="1" s="1"/>
  <c r="CD11" i="1" s="1"/>
  <c r="BV11" i="1"/>
  <c r="BW11" i="1" s="1"/>
  <c r="BY11" i="1" s="1"/>
  <c r="BQ11" i="1"/>
  <c r="BR11" i="1" s="1"/>
  <c r="BT11" i="1" s="1"/>
  <c r="BL11" i="1"/>
  <c r="BM11" i="1" s="1"/>
  <c r="BO11" i="1" s="1"/>
  <c r="BG11" i="1"/>
  <c r="BH11" i="1" s="1"/>
  <c r="BJ11" i="1" s="1"/>
  <c r="BB11" i="1"/>
  <c r="BC11" i="1" s="1"/>
  <c r="BE11" i="1" s="1"/>
  <c r="AW11" i="1"/>
  <c r="AX11" i="1" s="1"/>
  <c r="AZ11" i="1" s="1"/>
  <c r="AR11" i="1"/>
  <c r="AS11" i="1" s="1"/>
  <c r="AU11" i="1" s="1"/>
  <c r="CA10" i="1"/>
  <c r="CB10" i="1" s="1"/>
  <c r="CD10" i="1" s="1"/>
  <c r="BV10" i="1"/>
  <c r="BW10" i="1" s="1"/>
  <c r="BY10" i="1" s="1"/>
  <c r="BQ10" i="1"/>
  <c r="BR10" i="1" s="1"/>
  <c r="BT10" i="1" s="1"/>
  <c r="BL10" i="1"/>
  <c r="BM10" i="1" s="1"/>
  <c r="BO10" i="1" s="1"/>
  <c r="BG10" i="1"/>
  <c r="BH10" i="1" s="1"/>
  <c r="BJ10" i="1" s="1"/>
  <c r="BB10" i="1"/>
  <c r="BC10" i="1" s="1"/>
  <c r="BE10" i="1" s="1"/>
  <c r="AW10" i="1"/>
  <c r="AX10" i="1" s="1"/>
  <c r="AZ10" i="1" s="1"/>
  <c r="AR10" i="1"/>
  <c r="AS10" i="1" s="1"/>
  <c r="AU10" i="1" s="1"/>
  <c r="CA9" i="1"/>
  <c r="CB9" i="1" s="1"/>
  <c r="CD9" i="1" s="1"/>
  <c r="BV9" i="1"/>
  <c r="BW9" i="1" s="1"/>
  <c r="BY9" i="1" s="1"/>
  <c r="BQ9" i="1"/>
  <c r="BR9" i="1" s="1"/>
  <c r="BT9" i="1" s="1"/>
  <c r="BL9" i="1"/>
  <c r="BM9" i="1" s="1"/>
  <c r="BO9" i="1" s="1"/>
  <c r="BG9" i="1"/>
  <c r="BH9" i="1" s="1"/>
  <c r="BJ9" i="1" s="1"/>
  <c r="BB9" i="1"/>
  <c r="BC9" i="1" s="1"/>
  <c r="BE9" i="1" s="1"/>
  <c r="AW9" i="1"/>
  <c r="AX9" i="1" s="1"/>
  <c r="AZ9" i="1" s="1"/>
  <c r="AR9" i="1"/>
  <c r="AS9" i="1" s="1"/>
  <c r="AU9" i="1" s="1"/>
  <c r="CA8" i="1"/>
  <c r="CB8" i="1" s="1"/>
  <c r="CD8" i="1" s="1"/>
  <c r="BV8" i="1"/>
  <c r="BW8" i="1" s="1"/>
  <c r="BY8" i="1" s="1"/>
  <c r="BQ8" i="1"/>
  <c r="BR8" i="1" s="1"/>
  <c r="BT8" i="1" s="1"/>
  <c r="BL8" i="1"/>
  <c r="BM8" i="1" s="1"/>
  <c r="BO8" i="1" s="1"/>
  <c r="BG8" i="1"/>
  <c r="BH8" i="1" s="1"/>
  <c r="BJ8" i="1" s="1"/>
  <c r="BB8" i="1"/>
  <c r="BC8" i="1" s="1"/>
  <c r="BE8" i="1" s="1"/>
  <c r="AW8" i="1"/>
  <c r="AX8" i="1" s="1"/>
  <c r="AZ8" i="1" s="1"/>
  <c r="AR8" i="1"/>
  <c r="AS8" i="1" s="1"/>
  <c r="AU8" i="1" s="1"/>
  <c r="CA7" i="1"/>
  <c r="CB7" i="1" s="1"/>
  <c r="CD7" i="1" s="1"/>
  <c r="BV7" i="1"/>
  <c r="BW7" i="1" s="1"/>
  <c r="BY7" i="1" s="1"/>
  <c r="BQ7" i="1"/>
  <c r="BR7" i="1" s="1"/>
  <c r="BT7" i="1" s="1"/>
  <c r="BL7" i="1"/>
  <c r="BM7" i="1" s="1"/>
  <c r="BO7" i="1" s="1"/>
  <c r="BG7" i="1"/>
  <c r="BH7" i="1" s="1"/>
  <c r="BJ7" i="1" s="1"/>
  <c r="BB7" i="1"/>
  <c r="BC7" i="1" s="1"/>
  <c r="BE7" i="1" s="1"/>
  <c r="AW7" i="1"/>
  <c r="AX7" i="1" s="1"/>
  <c r="AZ7" i="1" s="1"/>
  <c r="AR7" i="1"/>
  <c r="AS7" i="1" s="1"/>
  <c r="AU7" i="1" s="1"/>
  <c r="CA6" i="1"/>
  <c r="CB6" i="1" s="1"/>
  <c r="CD6" i="1" s="1"/>
  <c r="BV6" i="1"/>
  <c r="BW6" i="1" s="1"/>
  <c r="BY6" i="1" s="1"/>
  <c r="BQ6" i="1"/>
  <c r="BR6" i="1" s="1"/>
  <c r="BT6" i="1" s="1"/>
  <c r="BL6" i="1"/>
  <c r="BM6" i="1" s="1"/>
  <c r="BO6" i="1" s="1"/>
  <c r="BG6" i="1"/>
  <c r="BH6" i="1" s="1"/>
  <c r="BJ6" i="1" s="1"/>
  <c r="BB6" i="1"/>
  <c r="BC6" i="1" s="1"/>
  <c r="BE6" i="1" s="1"/>
  <c r="AW6" i="1"/>
  <c r="AX6" i="1" s="1"/>
  <c r="AZ6" i="1" s="1"/>
  <c r="AR6" i="1"/>
  <c r="AS6" i="1" s="1"/>
  <c r="AU6" i="1" s="1"/>
  <c r="CA5" i="1"/>
  <c r="CB5" i="1" s="1"/>
  <c r="CD5" i="1" s="1"/>
  <c r="BV5" i="1"/>
  <c r="BW5" i="1" s="1"/>
  <c r="BY5" i="1" s="1"/>
  <c r="BQ5" i="1"/>
  <c r="BR5" i="1" s="1"/>
  <c r="BT5" i="1" s="1"/>
  <c r="BL5" i="1"/>
  <c r="BM5" i="1" s="1"/>
  <c r="BO5" i="1" s="1"/>
  <c r="BG5" i="1"/>
  <c r="BH5" i="1" s="1"/>
  <c r="BJ5" i="1" s="1"/>
  <c r="BB5" i="1"/>
  <c r="BC5" i="1" s="1"/>
  <c r="BE5" i="1" s="1"/>
  <c r="AW5" i="1"/>
  <c r="AX5" i="1" s="1"/>
  <c r="AZ5" i="1" s="1"/>
  <c r="AR5" i="1"/>
  <c r="AS5" i="1" s="1"/>
  <c r="AU5" i="1" s="1"/>
  <c r="CA4" i="1"/>
  <c r="CB4" i="1" s="1"/>
  <c r="CD4" i="1" s="1"/>
  <c r="BV4" i="1"/>
  <c r="BW4" i="1" s="1"/>
  <c r="BY4" i="1" s="1"/>
  <c r="BQ4" i="1"/>
  <c r="BR4" i="1" s="1"/>
  <c r="BT4" i="1" s="1"/>
  <c r="BL4" i="1"/>
  <c r="BM4" i="1" s="1"/>
  <c r="BO4" i="1" s="1"/>
  <c r="BG4" i="1"/>
  <c r="BH4" i="1" s="1"/>
  <c r="BJ4" i="1" s="1"/>
  <c r="BB4" i="1"/>
  <c r="BC4" i="1" s="1"/>
  <c r="BE4" i="1" s="1"/>
  <c r="AW4" i="1"/>
  <c r="AX4" i="1" s="1"/>
  <c r="AZ4" i="1" s="1"/>
  <c r="AR4" i="1"/>
  <c r="AS4" i="1" s="1"/>
  <c r="AU4" i="1" s="1"/>
  <c r="CA3" i="1"/>
  <c r="CB3" i="1" s="1"/>
  <c r="CD3" i="1" s="1"/>
  <c r="BV3" i="1"/>
  <c r="BW3" i="1" s="1"/>
  <c r="BY3" i="1" s="1"/>
  <c r="BQ3" i="1"/>
  <c r="BR3" i="1" s="1"/>
  <c r="BT3" i="1" s="1"/>
  <c r="BL3" i="1"/>
  <c r="BM3" i="1" s="1"/>
  <c r="BO3" i="1" s="1"/>
  <c r="BG3" i="1"/>
  <c r="BH3" i="1" s="1"/>
  <c r="BJ3" i="1" s="1"/>
  <c r="BB3" i="1"/>
  <c r="BC3" i="1" s="1"/>
  <c r="BE3" i="1" s="1"/>
  <c r="AW3" i="1"/>
  <c r="AX3" i="1" s="1"/>
  <c r="AZ3" i="1" s="1"/>
  <c r="AR3" i="1"/>
  <c r="AS3" i="1" s="1"/>
  <c r="AU3" i="1" s="1"/>
  <c r="AM19" i="1"/>
  <c r="AN19" i="1" s="1"/>
  <c r="AP19" i="1" s="1"/>
  <c r="AH19" i="1"/>
  <c r="AI19" i="1" s="1"/>
  <c r="AK19" i="1" s="1"/>
  <c r="AC19" i="1"/>
  <c r="AD19" i="1" s="1"/>
  <c r="AF19" i="1" s="1"/>
  <c r="X19" i="1"/>
  <c r="Y19" i="1" s="1"/>
  <c r="AA19" i="1" s="1"/>
  <c r="S19" i="1"/>
  <c r="T19" i="1" s="1"/>
  <c r="V19" i="1" s="1"/>
  <c r="N19" i="1"/>
  <c r="O19" i="1" s="1"/>
  <c r="Q19" i="1" s="1"/>
  <c r="I19" i="1"/>
  <c r="J19" i="1" s="1"/>
  <c r="L19" i="1" s="1"/>
  <c r="AM18" i="1"/>
  <c r="AN18" i="1" s="1"/>
  <c r="AP18" i="1" s="1"/>
  <c r="AH18" i="1"/>
  <c r="AI18" i="1" s="1"/>
  <c r="AK18" i="1" s="1"/>
  <c r="AC18" i="1"/>
  <c r="AD18" i="1" s="1"/>
  <c r="AF18" i="1" s="1"/>
  <c r="X18" i="1"/>
  <c r="Y18" i="1" s="1"/>
  <c r="AA18" i="1" s="1"/>
  <c r="S18" i="1"/>
  <c r="T18" i="1" s="1"/>
  <c r="V18" i="1" s="1"/>
  <c r="N18" i="1"/>
  <c r="O18" i="1" s="1"/>
  <c r="Q18" i="1" s="1"/>
  <c r="I18" i="1"/>
  <c r="J18" i="1" s="1"/>
  <c r="L18" i="1" s="1"/>
  <c r="AM17" i="1"/>
  <c r="AN17" i="1" s="1"/>
  <c r="AP17" i="1" s="1"/>
  <c r="AH17" i="1"/>
  <c r="AI17" i="1" s="1"/>
  <c r="AK17" i="1" s="1"/>
  <c r="AC17" i="1"/>
  <c r="AD17" i="1" s="1"/>
  <c r="AF17" i="1" s="1"/>
  <c r="X17" i="1"/>
  <c r="Y17" i="1" s="1"/>
  <c r="AA17" i="1" s="1"/>
  <c r="S17" i="1"/>
  <c r="T17" i="1" s="1"/>
  <c r="V17" i="1" s="1"/>
  <c r="N17" i="1"/>
  <c r="O17" i="1" s="1"/>
  <c r="Q17" i="1" s="1"/>
  <c r="I17" i="1"/>
  <c r="J17" i="1" s="1"/>
  <c r="L17" i="1" s="1"/>
  <c r="AM16" i="1"/>
  <c r="AN16" i="1" s="1"/>
  <c r="AP16" i="1" s="1"/>
  <c r="AH16" i="1"/>
  <c r="AI16" i="1" s="1"/>
  <c r="AK16" i="1" s="1"/>
  <c r="AC16" i="1"/>
  <c r="AD16" i="1" s="1"/>
  <c r="AF16" i="1" s="1"/>
  <c r="X16" i="1"/>
  <c r="Y16" i="1" s="1"/>
  <c r="AA16" i="1" s="1"/>
  <c r="S16" i="1"/>
  <c r="T16" i="1" s="1"/>
  <c r="V16" i="1" s="1"/>
  <c r="N16" i="1"/>
  <c r="O16" i="1" s="1"/>
  <c r="Q16" i="1" s="1"/>
  <c r="I16" i="1"/>
  <c r="J16" i="1" s="1"/>
  <c r="L16" i="1" s="1"/>
  <c r="AM15" i="1"/>
  <c r="AN15" i="1" s="1"/>
  <c r="AP15" i="1" s="1"/>
  <c r="AH15" i="1"/>
  <c r="AI15" i="1" s="1"/>
  <c r="AK15" i="1" s="1"/>
  <c r="AC15" i="1"/>
  <c r="AD15" i="1" s="1"/>
  <c r="AF15" i="1" s="1"/>
  <c r="X15" i="1"/>
  <c r="Y15" i="1" s="1"/>
  <c r="AA15" i="1" s="1"/>
  <c r="S15" i="1"/>
  <c r="T15" i="1" s="1"/>
  <c r="V15" i="1" s="1"/>
  <c r="N15" i="1"/>
  <c r="O15" i="1" s="1"/>
  <c r="Q15" i="1" s="1"/>
  <c r="I15" i="1"/>
  <c r="J15" i="1" s="1"/>
  <c r="L15" i="1" s="1"/>
  <c r="AM14" i="1"/>
  <c r="AN14" i="1" s="1"/>
  <c r="AP14" i="1" s="1"/>
  <c r="AH14" i="1"/>
  <c r="AI14" i="1" s="1"/>
  <c r="AK14" i="1" s="1"/>
  <c r="AC14" i="1"/>
  <c r="AD14" i="1" s="1"/>
  <c r="AF14" i="1" s="1"/>
  <c r="X14" i="1"/>
  <c r="Y14" i="1" s="1"/>
  <c r="AA14" i="1" s="1"/>
  <c r="S14" i="1"/>
  <c r="T14" i="1" s="1"/>
  <c r="V14" i="1" s="1"/>
  <c r="N14" i="1"/>
  <c r="O14" i="1" s="1"/>
  <c r="Q14" i="1" s="1"/>
  <c r="I14" i="1"/>
  <c r="J14" i="1" s="1"/>
  <c r="L14" i="1" s="1"/>
  <c r="AM13" i="1"/>
  <c r="AN13" i="1" s="1"/>
  <c r="AP13" i="1" s="1"/>
  <c r="AH13" i="1"/>
  <c r="AI13" i="1" s="1"/>
  <c r="AK13" i="1" s="1"/>
  <c r="AC13" i="1"/>
  <c r="AD13" i="1" s="1"/>
  <c r="AF13" i="1" s="1"/>
  <c r="X13" i="1"/>
  <c r="Y13" i="1" s="1"/>
  <c r="AA13" i="1" s="1"/>
  <c r="S13" i="1"/>
  <c r="T13" i="1" s="1"/>
  <c r="V13" i="1" s="1"/>
  <c r="N13" i="1"/>
  <c r="O13" i="1" s="1"/>
  <c r="Q13" i="1" s="1"/>
  <c r="I13" i="1"/>
  <c r="J13" i="1" s="1"/>
  <c r="L13" i="1" s="1"/>
  <c r="AM12" i="1"/>
  <c r="AN12" i="1" s="1"/>
  <c r="AP12" i="1" s="1"/>
  <c r="AH12" i="1"/>
  <c r="AI12" i="1" s="1"/>
  <c r="AK12" i="1" s="1"/>
  <c r="AC12" i="1"/>
  <c r="AD12" i="1" s="1"/>
  <c r="AF12" i="1" s="1"/>
  <c r="X12" i="1"/>
  <c r="Y12" i="1" s="1"/>
  <c r="AA12" i="1" s="1"/>
  <c r="S12" i="1"/>
  <c r="T12" i="1" s="1"/>
  <c r="V12" i="1" s="1"/>
  <c r="N12" i="1"/>
  <c r="O12" i="1" s="1"/>
  <c r="Q12" i="1" s="1"/>
  <c r="I12" i="1"/>
  <c r="J12" i="1" s="1"/>
  <c r="L12" i="1" s="1"/>
  <c r="AM11" i="1"/>
  <c r="AN11" i="1" s="1"/>
  <c r="AP11" i="1" s="1"/>
  <c r="AH11" i="1"/>
  <c r="AI11" i="1" s="1"/>
  <c r="AK11" i="1" s="1"/>
  <c r="AC11" i="1"/>
  <c r="AD11" i="1" s="1"/>
  <c r="AF11" i="1" s="1"/>
  <c r="X11" i="1"/>
  <c r="Y11" i="1" s="1"/>
  <c r="AA11" i="1" s="1"/>
  <c r="S11" i="1"/>
  <c r="T11" i="1" s="1"/>
  <c r="V11" i="1" s="1"/>
  <c r="N11" i="1"/>
  <c r="O11" i="1" s="1"/>
  <c r="Q11" i="1" s="1"/>
  <c r="I11" i="1"/>
  <c r="J11" i="1" s="1"/>
  <c r="L11" i="1" s="1"/>
  <c r="AM10" i="1"/>
  <c r="AN10" i="1" s="1"/>
  <c r="AP10" i="1" s="1"/>
  <c r="AH10" i="1"/>
  <c r="AI10" i="1" s="1"/>
  <c r="AK10" i="1" s="1"/>
  <c r="AC10" i="1"/>
  <c r="AD10" i="1" s="1"/>
  <c r="AF10" i="1" s="1"/>
  <c r="X10" i="1"/>
  <c r="Y10" i="1" s="1"/>
  <c r="AA10" i="1" s="1"/>
  <c r="S10" i="1"/>
  <c r="T10" i="1" s="1"/>
  <c r="V10" i="1" s="1"/>
  <c r="N10" i="1"/>
  <c r="O10" i="1" s="1"/>
  <c r="Q10" i="1" s="1"/>
  <c r="I10" i="1"/>
  <c r="J10" i="1" s="1"/>
  <c r="L10" i="1" s="1"/>
  <c r="AM9" i="1"/>
  <c r="AN9" i="1" s="1"/>
  <c r="AP9" i="1" s="1"/>
  <c r="AH9" i="1"/>
  <c r="AI9" i="1" s="1"/>
  <c r="AK9" i="1" s="1"/>
  <c r="AC9" i="1"/>
  <c r="AD9" i="1" s="1"/>
  <c r="AF9" i="1" s="1"/>
  <c r="X9" i="1"/>
  <c r="Y9" i="1" s="1"/>
  <c r="AA9" i="1" s="1"/>
  <c r="S9" i="1"/>
  <c r="T9" i="1" s="1"/>
  <c r="V9" i="1" s="1"/>
  <c r="N9" i="1"/>
  <c r="O9" i="1" s="1"/>
  <c r="Q9" i="1" s="1"/>
  <c r="I9" i="1"/>
  <c r="J9" i="1" s="1"/>
  <c r="L9" i="1" s="1"/>
  <c r="AM8" i="1"/>
  <c r="AN8" i="1" s="1"/>
  <c r="AP8" i="1" s="1"/>
  <c r="AH8" i="1"/>
  <c r="AI8" i="1" s="1"/>
  <c r="AK8" i="1" s="1"/>
  <c r="AC8" i="1"/>
  <c r="AD8" i="1" s="1"/>
  <c r="AF8" i="1" s="1"/>
  <c r="X8" i="1"/>
  <c r="Y8" i="1" s="1"/>
  <c r="AA8" i="1" s="1"/>
  <c r="S8" i="1"/>
  <c r="T8" i="1" s="1"/>
  <c r="V8" i="1" s="1"/>
  <c r="N8" i="1"/>
  <c r="O8" i="1" s="1"/>
  <c r="Q8" i="1" s="1"/>
  <c r="I8" i="1"/>
  <c r="J8" i="1" s="1"/>
  <c r="L8" i="1" s="1"/>
  <c r="AM7" i="1"/>
  <c r="AN7" i="1" s="1"/>
  <c r="AP7" i="1" s="1"/>
  <c r="AH7" i="1"/>
  <c r="AI7" i="1" s="1"/>
  <c r="AK7" i="1" s="1"/>
  <c r="AC7" i="1"/>
  <c r="AD7" i="1" s="1"/>
  <c r="AF7" i="1" s="1"/>
  <c r="X7" i="1"/>
  <c r="Y7" i="1" s="1"/>
  <c r="AA7" i="1" s="1"/>
  <c r="S7" i="1"/>
  <c r="T7" i="1" s="1"/>
  <c r="V7" i="1" s="1"/>
  <c r="N7" i="1"/>
  <c r="O7" i="1" s="1"/>
  <c r="Q7" i="1" s="1"/>
  <c r="I7" i="1"/>
  <c r="J7" i="1" s="1"/>
  <c r="L7" i="1" s="1"/>
  <c r="AM6" i="1"/>
  <c r="AN6" i="1" s="1"/>
  <c r="AP6" i="1" s="1"/>
  <c r="AH6" i="1"/>
  <c r="AI6" i="1" s="1"/>
  <c r="AK6" i="1" s="1"/>
  <c r="AC6" i="1"/>
  <c r="AD6" i="1" s="1"/>
  <c r="AF6" i="1" s="1"/>
  <c r="X6" i="1"/>
  <c r="Y6" i="1" s="1"/>
  <c r="AA6" i="1" s="1"/>
  <c r="S6" i="1"/>
  <c r="T6" i="1" s="1"/>
  <c r="V6" i="1" s="1"/>
  <c r="N6" i="1"/>
  <c r="O6" i="1" s="1"/>
  <c r="Q6" i="1" s="1"/>
  <c r="I6" i="1"/>
  <c r="J6" i="1" s="1"/>
  <c r="L6" i="1" s="1"/>
  <c r="AM5" i="1"/>
  <c r="AN5" i="1" s="1"/>
  <c r="AP5" i="1" s="1"/>
  <c r="AH5" i="1"/>
  <c r="AI5" i="1" s="1"/>
  <c r="AK5" i="1" s="1"/>
  <c r="AC5" i="1"/>
  <c r="AD5" i="1" s="1"/>
  <c r="AF5" i="1" s="1"/>
  <c r="X5" i="1"/>
  <c r="Y5" i="1" s="1"/>
  <c r="AA5" i="1" s="1"/>
  <c r="S5" i="1"/>
  <c r="T5" i="1" s="1"/>
  <c r="V5" i="1" s="1"/>
  <c r="N5" i="1"/>
  <c r="O5" i="1" s="1"/>
  <c r="Q5" i="1" s="1"/>
  <c r="I5" i="1"/>
  <c r="J5" i="1" s="1"/>
  <c r="L5" i="1" s="1"/>
  <c r="AM4" i="1"/>
  <c r="AN4" i="1" s="1"/>
  <c r="AP4" i="1" s="1"/>
  <c r="AH4" i="1"/>
  <c r="AI4" i="1" s="1"/>
  <c r="AK4" i="1" s="1"/>
  <c r="AC4" i="1"/>
  <c r="AD4" i="1" s="1"/>
  <c r="AF4" i="1" s="1"/>
  <c r="X4" i="1"/>
  <c r="Y4" i="1" s="1"/>
  <c r="AA4" i="1" s="1"/>
  <c r="S4" i="1"/>
  <c r="T4" i="1" s="1"/>
  <c r="V4" i="1" s="1"/>
  <c r="N4" i="1"/>
  <c r="O4" i="1" s="1"/>
  <c r="Q4" i="1" s="1"/>
  <c r="I4" i="1"/>
  <c r="J4" i="1" s="1"/>
  <c r="L4" i="1" s="1"/>
  <c r="AM3" i="1"/>
  <c r="AN3" i="1" s="1"/>
  <c r="AP3" i="1" s="1"/>
  <c r="AH3" i="1"/>
  <c r="AI3" i="1" s="1"/>
  <c r="AK3" i="1" s="1"/>
  <c r="AC3" i="1"/>
  <c r="AD3" i="1" s="1"/>
  <c r="AF3" i="1" s="1"/>
  <c r="X3" i="1"/>
  <c r="Y3" i="1" s="1"/>
  <c r="AA3" i="1" s="1"/>
  <c r="S3" i="1"/>
  <c r="T3" i="1" s="1"/>
  <c r="V3" i="1" s="1"/>
  <c r="N3" i="1"/>
  <c r="O3" i="1" s="1"/>
  <c r="Q3" i="1" s="1"/>
  <c r="I3" i="1"/>
  <c r="J3" i="1" s="1"/>
  <c r="L3" i="1" s="1"/>
  <c r="JV27" i="1" l="1"/>
  <c r="JV30" i="1"/>
  <c r="JV7" i="1"/>
  <c r="JV15" i="1"/>
  <c r="JW19" i="1"/>
  <c r="JV22" i="1"/>
  <c r="JV33" i="1"/>
  <c r="JV29" i="1"/>
  <c r="JW17" i="1"/>
  <c r="JW13" i="1"/>
  <c r="JV11" i="1"/>
  <c r="JV24" i="1"/>
  <c r="JV5" i="1"/>
  <c r="JV16" i="1"/>
  <c r="JW16" i="1"/>
  <c r="JW8" i="1"/>
  <c r="JV20" i="1"/>
  <c r="JV34" i="1"/>
  <c r="JW28" i="1"/>
  <c r="JV28" i="1"/>
  <c r="JW23" i="1"/>
  <c r="JV23" i="1"/>
  <c r="JW14" i="1"/>
  <c r="JV14" i="1"/>
  <c r="JW6" i="1"/>
  <c r="JV6" i="1"/>
  <c r="JW32" i="1"/>
  <c r="JV32" i="1"/>
  <c r="JW25" i="1"/>
  <c r="JV25" i="1"/>
  <c r="JW18" i="1"/>
  <c r="JV18" i="1"/>
  <c r="JW9" i="1"/>
  <c r="JV9" i="1"/>
</calcChain>
</file>

<file path=xl/sharedStrings.xml><?xml version="1.0" encoding="utf-8"?>
<sst xmlns="http://schemas.openxmlformats.org/spreadsheetml/2006/main" count="906" uniqueCount="290">
  <si>
    <t>NO</t>
  </si>
  <si>
    <t>NAMA MAHASISWA</t>
  </si>
  <si>
    <t>NIM</t>
  </si>
  <si>
    <t>Bahasa Indonesia</t>
  </si>
  <si>
    <t>Keperawatan Dasar I</t>
  </si>
  <si>
    <t>Konsep Dasar Keperawatan I</t>
  </si>
  <si>
    <t>Agama</t>
  </si>
  <si>
    <t>Ilmu Dasar Keperawatan I</t>
  </si>
  <si>
    <t>Ilmu Dasar Keperawatan II</t>
  </si>
  <si>
    <t>Falsafah dan Teori Keperawatan</t>
  </si>
  <si>
    <t>SMT 1</t>
  </si>
  <si>
    <t>IPK</t>
  </si>
  <si>
    <t>Nilai</t>
  </si>
  <si>
    <t>LMB</t>
  </si>
  <si>
    <t>MUTU</t>
  </si>
  <si>
    <t>SKS</t>
  </si>
  <si>
    <t>JML</t>
  </si>
  <si>
    <t>N1</t>
  </si>
  <si>
    <t>B1</t>
  </si>
  <si>
    <t>Anggi Listari</t>
  </si>
  <si>
    <t>Khiril Anan</t>
  </si>
  <si>
    <t>Riftah Auliya</t>
  </si>
  <si>
    <t>Ananda Feren Syafa Meilani</t>
  </si>
  <si>
    <t>Adynda Iwelda</t>
  </si>
  <si>
    <t>Amelia Saputri</t>
  </si>
  <si>
    <t>Anggri Syafitri</t>
  </si>
  <si>
    <t>Bagas Permadi</t>
  </si>
  <si>
    <t>Diar Saura Syah</t>
  </si>
  <si>
    <t>Elvina Julianti</t>
  </si>
  <si>
    <t>Enrico Viery</t>
  </si>
  <si>
    <t>Erfina Wardaniyanti</t>
  </si>
  <si>
    <t>Febi Indah Triyani</t>
  </si>
  <si>
    <t>Fenita Okta Syakila</t>
  </si>
  <si>
    <t>Granitia Mutiarasati</t>
  </si>
  <si>
    <t>IKA</t>
  </si>
  <si>
    <t>M Alif Amarul Syofiadi</t>
  </si>
  <si>
    <t>Meli</t>
  </si>
  <si>
    <t>Mohamad Syahdan Prastiyo</t>
  </si>
  <si>
    <t>A</t>
  </si>
  <si>
    <t>B+</t>
  </si>
  <si>
    <t>B</t>
  </si>
  <si>
    <t>Muchlis</t>
  </si>
  <si>
    <t>Muhammad Ibrahim</t>
  </si>
  <si>
    <t>C+</t>
  </si>
  <si>
    <t>Nanda Riyani Putri</t>
  </si>
  <si>
    <t>Nur Putri Elita Deaz</t>
  </si>
  <si>
    <t>Patmawati</t>
  </si>
  <si>
    <t>C</t>
  </si>
  <si>
    <t>Raldi Bania</t>
  </si>
  <si>
    <t>Ramadhini Putri</t>
  </si>
  <si>
    <t>Rifsty Bernanda Kimang</t>
  </si>
  <si>
    <t>Shafa Nuralita</t>
  </si>
  <si>
    <t>Silvia Pitaloka Elisabeth Samosir</t>
  </si>
  <si>
    <t>Sintiya</t>
  </si>
  <si>
    <t>Sri Mulyani</t>
  </si>
  <si>
    <t>Sri Rahmawati</t>
  </si>
  <si>
    <t>Sundari</t>
  </si>
  <si>
    <t>Viola Andriana</t>
  </si>
  <si>
    <t>Yulinda Sari</t>
  </si>
  <si>
    <t>Rizkika Arpiandina</t>
  </si>
  <si>
    <t>Basic English For Nursing</t>
  </si>
  <si>
    <t>Komunikasi dalam Keperawatan</t>
  </si>
  <si>
    <t xml:space="preserve">Pancasila </t>
  </si>
  <si>
    <t>Keperawatan Dasar II</t>
  </si>
  <si>
    <t>Konsep Dasar Keperawatan II</t>
  </si>
  <si>
    <t>Ilmu Dasar Keperawatan III</t>
  </si>
  <si>
    <t>Promosi Kesehatan dan Pendidikan Kesehatan</t>
  </si>
  <si>
    <t>Etika &amp; Hukum Keperawatan</t>
  </si>
  <si>
    <t>82,5</t>
  </si>
  <si>
    <t>KMB I</t>
  </si>
  <si>
    <t>Kep. Maternitas I</t>
  </si>
  <si>
    <t>Komunikasi dalam Keperawatan II</t>
  </si>
  <si>
    <t>Psikososial dan Budaya Keperawatan</t>
  </si>
  <si>
    <t>Keselamatan Pasien dan K3</t>
  </si>
  <si>
    <t>Kewarganegaraan dan Bela Negara</t>
  </si>
  <si>
    <t>Sistem Informasi Keperawatan</t>
  </si>
  <si>
    <t>Psikologi dalam Keperawatan</t>
  </si>
  <si>
    <t>Keperawatan Anak</t>
  </si>
  <si>
    <t>TOEFL &amp; IELTS Preparation and Nursing Journal</t>
  </si>
  <si>
    <t>Keperawatan Maternitas II</t>
  </si>
  <si>
    <t>Keperawatan Medikal Bedah II</t>
  </si>
  <si>
    <t>Keperawatan Kesehatan Jiwa I</t>
  </si>
  <si>
    <t>Keperawatan HIV – AIDS</t>
  </si>
  <si>
    <t xml:space="preserve">Asuhan Keperawatan Penyakit Tropis &amp; Degeneratif </t>
  </si>
  <si>
    <t>Perawawatan Luka Modren</t>
  </si>
  <si>
    <t>Keperawatan Medikal Bedah III</t>
  </si>
  <si>
    <t>Keperawatan Anak II</t>
  </si>
  <si>
    <t>Keperawatan Jiwa II</t>
  </si>
  <si>
    <t>Keperawatan Menjelang ajal dan paliatif</t>
  </si>
  <si>
    <t>Keperawatan Komunitas I</t>
  </si>
  <si>
    <t>Kesehatan Matra Laut</t>
  </si>
  <si>
    <t>Pendidikan Dalam Keperawatan</t>
  </si>
  <si>
    <t>Keperawatan Komunitas II</t>
  </si>
  <si>
    <t>Keperawatan Keluarga</t>
  </si>
  <si>
    <t>Metodologi Penelitian</t>
  </si>
  <si>
    <t>Keperawatan Gawat Darurat I</t>
  </si>
  <si>
    <t xml:space="preserve">Keperawatan Kritis </t>
  </si>
  <si>
    <t>Biostatistik</t>
  </si>
  <si>
    <t>Keperawatan Gerontik</t>
  </si>
  <si>
    <t>Keperawatan Bencana</t>
  </si>
  <si>
    <t>Praktik Keperawatan Medikal Bedah</t>
  </si>
  <si>
    <t>Kewirausahaan Dalam Keperawatan</t>
  </si>
  <si>
    <t>Keperawatan Gawat Darurat II</t>
  </si>
  <si>
    <t>Manajemen Keperawatan</t>
  </si>
  <si>
    <t>Skripsi</t>
  </si>
  <si>
    <t>Tempat Lahir</t>
  </si>
  <si>
    <t>Tanggal Lahir</t>
  </si>
  <si>
    <t>No Transkip Nilai</t>
  </si>
  <si>
    <t>Predikat</t>
  </si>
  <si>
    <t>Predikat Bahasa Inggris</t>
  </si>
  <si>
    <t>Judul</t>
  </si>
  <si>
    <t>SMT 2</t>
  </si>
  <si>
    <t>SMT 3</t>
  </si>
  <si>
    <t>SMT 4</t>
  </si>
  <si>
    <t>SMT 5</t>
  </si>
  <si>
    <t>SMT 6</t>
  </si>
  <si>
    <t>SMT 7</t>
  </si>
  <si>
    <t>SMT 8</t>
  </si>
  <si>
    <t>N2</t>
  </si>
  <si>
    <t>B2</t>
  </si>
  <si>
    <t>N3</t>
  </si>
  <si>
    <t>B3</t>
  </si>
  <si>
    <t>N4</t>
  </si>
  <si>
    <t>B4</t>
  </si>
  <si>
    <t>N5</t>
  </si>
  <si>
    <t>B5</t>
  </si>
  <si>
    <t>N6</t>
  </si>
  <si>
    <t>B6</t>
  </si>
  <si>
    <t>N7</t>
  </si>
  <si>
    <t>B7</t>
  </si>
  <si>
    <t>N8</t>
  </si>
  <si>
    <t>B8</t>
  </si>
  <si>
    <t>Total</t>
  </si>
  <si>
    <t>Beban</t>
  </si>
  <si>
    <t>Kijang</t>
  </si>
  <si>
    <t>Tanjungpinang</t>
  </si>
  <si>
    <t xml:space="preserve"> 28 Januari 2004</t>
  </si>
  <si>
    <t>Linau</t>
  </si>
  <si>
    <t xml:space="preserve"> 01 Januari 2002</t>
  </si>
  <si>
    <t>19 April 2003</t>
  </si>
  <si>
    <t>Matak</t>
  </si>
  <si>
    <t xml:space="preserve"> 28 Juni 2003</t>
  </si>
  <si>
    <t>29 November 2002</t>
  </si>
  <si>
    <t>29 Juli 2003</t>
  </si>
  <si>
    <t>Tangjungpinang</t>
  </si>
  <si>
    <t>27 April 2003</t>
  </si>
  <si>
    <t>Dabo Singkep</t>
  </si>
  <si>
    <t>08 Desember 2002</t>
  </si>
  <si>
    <t>Sedanau</t>
  </si>
  <si>
    <t>05 April 2003</t>
  </si>
  <si>
    <t>22 Juni 2002</t>
  </si>
  <si>
    <t>10 Mei 2003</t>
  </si>
  <si>
    <t>Tuapaya</t>
  </si>
  <si>
    <t>01 Mei 2003</t>
  </si>
  <si>
    <t>Penuba</t>
  </si>
  <si>
    <t>23 Juni 2003</t>
  </si>
  <si>
    <t>08 November 2003</t>
  </si>
  <si>
    <t>Tembilahan</t>
  </si>
  <si>
    <t>29 Agustus 2003</t>
  </si>
  <si>
    <t>10 Oktober 2003</t>
  </si>
  <si>
    <t>04 Agustus 2002</t>
  </si>
  <si>
    <t>Tanjung Balai Karimun</t>
  </si>
  <si>
    <t>14 Juli 2003</t>
  </si>
  <si>
    <t>Batam</t>
  </si>
  <si>
    <t>Vinna Pradivta Putri Lim</t>
  </si>
  <si>
    <t>Riani Wijianti</t>
  </si>
  <si>
    <t>Sungai Lakam Karimun</t>
  </si>
  <si>
    <t>11 Oktober 2003</t>
  </si>
  <si>
    <t>Nokok</t>
  </si>
  <si>
    <t>Teluk Durian</t>
  </si>
  <si>
    <t>27 Januari 2001</t>
  </si>
  <si>
    <t xml:space="preserve"> 27 Agustus 2003</t>
  </si>
  <si>
    <t>Sukabumi</t>
  </si>
  <si>
    <t>03 Juli 2001</t>
  </si>
  <si>
    <t>22 Mei 2002</t>
  </si>
  <si>
    <t>27 Juli 2003</t>
  </si>
  <si>
    <t>15 Januari 2004</t>
  </si>
  <si>
    <t>Malang Rapat</t>
  </si>
  <si>
    <t>20 Juli 2003</t>
  </si>
  <si>
    <t>03 Juli 2003</t>
  </si>
  <si>
    <t>19 Oktober 2003</t>
  </si>
  <si>
    <t>25 Februari 2003</t>
  </si>
  <si>
    <t>Pebenaan</t>
  </si>
  <si>
    <t>22 Juni 2003</t>
  </si>
  <si>
    <t>Senempek</t>
  </si>
  <si>
    <t>19 Juli 2003</t>
  </si>
  <si>
    <t>Hubungan Balance Confidance dengan Resiko Jatuh pada Lansia di Rumah Bahagia Bintan</t>
  </si>
  <si>
    <t>Pengaruh Permainan Tradisional Engklek Terhadap Perkembangan Motorik Kasar Anak Usia 6 - 7 Tahun Di Sdn005 Tanjungpinang Timur</t>
  </si>
  <si>
    <t>Hubungan Minat Dan Motivasi Belajar Dengan Pembelajaran Klinik Preceptorship Mahasiswa Profesi Ners Stikes Hang Tuah Tanjungpinang</t>
  </si>
  <si>
    <t>Pengaruh Swedish Massage Terhadap Nyeri Disminore Remaja Putri Di SMPN 4 Kota Tanjungpinang</t>
  </si>
  <si>
    <t>Hubungan Kecanduan Smartphone Dengan Kecemasan Tanpa Smartphone (NOMOPHOBIA) Pada Mahasiswa Keperawatan Stikes Hang Tuah Tanjungpinang</t>
  </si>
  <si>
    <t>Pengariuh Mengkonsumsi Smoothies Pisang Ambon Dan Melon Terhadap Penurunan Tekanan Darah Pada Lansia Di Rumah Bahagia Bintan</t>
  </si>
  <si>
    <t>Perbedaan Back Massage Dan Kompres Hangat Terhadap Penurunan Nyeri Low Back Pain (LBP) Pada Nelayan Di Pesisir Kawal Kabupaten Bintan Kepulauan Riau</t>
  </si>
  <si>
    <t>Hubungan Self Care Management Dengan Quality Of Life Pada Pasien Diabetes Mellitus Tipe Ii Di Wilayah Kerja Puskesmas Batu X Kota Tanjungpinang</t>
  </si>
  <si>
    <t>Pengaruh Teknik Distraksi Nafas Ritmik Terhadap Penurunan Intensitas Nyeri Pasien Post Appendiktomi Diruang Rawat Inap Bedah RSUD Kota Tanjungpinang</t>
  </si>
  <si>
    <t>Pengaruh Foot Massage Dan Terapi Musik Nature Sound Terhadap Status Hemodinamika Pada Pasien Gangguan Sistem Kardiovaskular Di ICU RSUD Kota Tanjungpinang</t>
  </si>
  <si>
    <t>Efektivitas Oral Care Dengan Chlorhexidine Dan Ekstrak Siwak (SALVADERA PERSICA) Terhadap Suhu, Leukosit, Sekret Trakea, Dan Rasio PaO₂/FiO₂ Pada Pasien Yang Terpasang Ventilator Di ICU Rumkital Dr. Midiyato Suratani Tanjungpinang</t>
  </si>
  <si>
    <t>Hubungan Penggunaan Media Sosial Dengan Kesehatan Mental Pada Remaja Di SMA N 2 Tanjungpinang</t>
  </si>
  <si>
    <t>Pengaruh Penggunaan Spalk Bermotif Pada Pemasangan Infus Terhadap Kecemasan Anak Usia Prasekolah Di Ruang Flamboyan RSUD Kota Tanjungpinang</t>
  </si>
  <si>
    <t>Faktor Faktor Yang Berhubungan Dengan Penggunaan Produk Skincare Pada Remaja Putri Kelas VII Di SMPN 4 Tanjungpinang</t>
  </si>
  <si>
    <t>Hubungan Tingkat Kesepian Dan Spiritual Dengan Kualitas Hidup Lansia Di Rumah Bahagia Bintan</t>
  </si>
  <si>
    <t>Hubungan Sleep Deprivation Dengan Response Time Dan Turnover Intention Perawat Di IGD RS-BLUD Kota Tanjungpinang</t>
  </si>
  <si>
    <t>Pengaruh Pendidikan Kesehatan Melalui Media Video Animasi Terhadap Tingkat Pengetahuan Cara Mengkonsumsi Tablet Tambah Darah Pada Remaja Putri Di SMPN 12 Tanjungpinang</t>
  </si>
  <si>
    <t>Tanggal Lulus</t>
  </si>
  <si>
    <t>Perbandingan Efektivitas Deep Breathing Exercises Dan Progressive Muscle Relaxation Terhadap Fatigue Pasien Hemodialisa Di RSUD Raja Ahmad Tabib Tanjungpinang</t>
  </si>
  <si>
    <t>Pengaruh Pendidikan Kesehatan Dengan Media Video Melalui Whatsapp Terhadap Pengetahuan Ibu Mengenai Stunting Di Puskesmas Tanjung Unggat</t>
  </si>
  <si>
    <t>Pengaruh Edukasi Kesehatan Berbasis Audiovisual Dalam Meningkatkan Kepatuhan Pengobatan TBC Di RSUD Kota Tanjungpinang</t>
  </si>
  <si>
    <t>Hubungan Gaya Hidup dengan Risiko Diabetes Melitus pada Mahasiswa Stikes Hang Tuah Tanjungpinang</t>
  </si>
  <si>
    <t>Hubungan Riwayat MP-ASI Terhadap Perilaku Picky Eater Pada Anak</t>
  </si>
  <si>
    <t>Hubungan Body Shaming Dengan Citra Tubuh Remaja Di Kelas 10 SMAN6 Tanjungpinang</t>
  </si>
  <si>
    <t>Pengaruh Senam Ergonomik Terhadap Penurunan Tekanan Darah Pada Lansia Yang Mengalami Hipertensi Di Posyandu Lansia Nusa Indah II Kecamatan Tanjungpinang Barat</t>
  </si>
  <si>
    <t>Pengaruh Terapi MINDFULNESS Terhadap Kecemasan Remaja di SMAN 1 Tanjungpinang</t>
  </si>
  <si>
    <t>Hubungan Pola Makan Dan Aktivitas Fisik Dengan Resiko Diabetes Melitus Pada Remaja Di SMAN 2 Tanjungpinang</t>
  </si>
  <si>
    <t>Hubungan pelaksanaan Discharge Planning dengan Kepatuhan Pasien Minum Obat di Ruangan Dahlia Rumah Sakit BLUD Kota Tanjungpinang</t>
  </si>
  <si>
    <t>Hubungan Implementasi Assesmen Kebutuhan Edukasi Dengan Kepuasan Pasien Di Ruang Rawat Inap RSUD Kota Tanjungpinang</t>
  </si>
  <si>
    <t>Pengaruh Psikoedukasi Terhadap Kualitas Hidup Pada Pasien HEMODIALISA</t>
  </si>
  <si>
    <t>Hubungan Motivasi Dan Locus Of Control Terhadap Kontrol Glikemik Pada Penderita Diabetes Melitus Tipe 2 Di Puskesmas Batu 10 Tanjungpinang</t>
  </si>
  <si>
    <t>ngan Self Management Dengan Kualitas Hidup Lansia Penderita Hipertensi Di Puskesmas Mekar Baru Tanjungpinang</t>
  </si>
  <si>
    <t>Faktor-Faktor Yang Berhubungan Dengan Perilaku Makan Sehat Pada Remaja Di SMA N 4 Tanjungpinang</t>
  </si>
  <si>
    <t>11 Agustus 2025</t>
  </si>
  <si>
    <t>6 Oktober 2025</t>
  </si>
  <si>
    <t>7 November 2025</t>
  </si>
  <si>
    <t>910 / 11 / VIII / 2025</t>
  </si>
  <si>
    <t>911 / 11 / VIII / 2025</t>
  </si>
  <si>
    <t>912 / 11 / VIII / 2025</t>
  </si>
  <si>
    <t>913 / 11 / VIII / 2025</t>
  </si>
  <si>
    <t>914 / 11 / VIII / 2025</t>
  </si>
  <si>
    <t>915 / 11 / VIII / 2025</t>
  </si>
  <si>
    <t>916 / 11 / VIII / 2025</t>
  </si>
  <si>
    <t>917 / 11 / VIII / 2025</t>
  </si>
  <si>
    <t>918 / 11 / VIII / 2025</t>
  </si>
  <si>
    <t>919 / 11 / VIII / 2025</t>
  </si>
  <si>
    <t>920 / 11 / VIII / 2025</t>
  </si>
  <si>
    <t>921 / 11 / VIII / 2025</t>
  </si>
  <si>
    <t>923 / 11 / VIII / 2025</t>
  </si>
  <si>
    <t>924 / 11 / VIII / 2025</t>
  </si>
  <si>
    <t>925 / 11 / VIII / 2025</t>
  </si>
  <si>
    <t>927 / 11 / VIII / 2025</t>
  </si>
  <si>
    <t>928 / 11 / VIII / 2025</t>
  </si>
  <si>
    <t>929 / 11 / VIII / 2025</t>
  </si>
  <si>
    <t>930 / 11 / VIII / 2025</t>
  </si>
  <si>
    <t>931 / 11 / VIII / 2025</t>
  </si>
  <si>
    <t>932 / 11 / VIII / 2025</t>
  </si>
  <si>
    <t>933 / 11 / VIII / 2025</t>
  </si>
  <si>
    <t>936 / 11 / VIII / 2025</t>
  </si>
  <si>
    <t>938 / 11 / VIII / 2025</t>
  </si>
  <si>
    <t>939 / 11 / VIII / 2025</t>
  </si>
  <si>
    <t>940 / 11 / VIII / 2025</t>
  </si>
  <si>
    <t>941 / 11 / VIII / 2025</t>
  </si>
  <si>
    <t>942 / 11 / VIII / 2025</t>
  </si>
  <si>
    <t>922 / 11 / X / 2025</t>
  </si>
  <si>
    <t>926 / 11 / X / 2025</t>
  </si>
  <si>
    <t>934 / 11 / XI / 2025</t>
  </si>
  <si>
    <t>935 / 11 / X / 2025</t>
  </si>
  <si>
    <t>937 / 11 / X/ 2025</t>
  </si>
  <si>
    <t>Judul Inggris</t>
  </si>
  <si>
    <t>The Correlation Between Balance Confidence and the Risk of Falls in Elderly at Rumah Bahagia Bintan</t>
  </si>
  <si>
    <t>The Effect of Traditional Hopscotch Game on Gross Motor Development in Children Aged 6-7 Years at SDN 005 East Tanjungpinang</t>
  </si>
  <si>
    <t>The Correlation Between Interest and Learning Motivation with Clinical Preceptorship Learning for Professional Ners Students at Hang Tuah Health Science College Tanjungpinang</t>
  </si>
  <si>
    <t>The Effect of Swedish Massage on Dysmenorrhea Pain in Adolescent Girls at SMPN 4 Tanjungpinang City</t>
  </si>
  <si>
    <t>The Comparison of Effectiveness Between Deep Breathing Exercises and Progressive Muscle Relaxation on Fatigue in Hemodialysis Patients at Raja Ahmad Tabib Regional General Hospital Tanjungpinang</t>
  </si>
  <si>
    <t>The Correlation Between Smartphone Addiction and Anxiety Without a Smartphone (NOMOPHOBIA) in Nursing Students at Hang Tuah Health Science College Tanjungpinang</t>
  </si>
  <si>
    <t>The Effect of Consuming Ambon Banana and Melon Smoothies on Blood Pressure Reduction in the Elderly at Rumah Bahagia Bintan</t>
  </si>
  <si>
    <t>The Difference between Back Massage and Warm Compress on Reducing Low Back Pain (LBP) in Fishermen at Kawal Coast, Bintan Regency, Riau Islands</t>
  </si>
  <si>
    <t>The Effect of Health Education with Video Media via WhatsApp on Mothers' Knowledge about Stunting at Tanjung Unggat Public Health Center</t>
  </si>
  <si>
    <t>The Effect of Audiovisual-Based Health Education on Improving TB Treatment Adherence at Tanjungpinang City Regional General Hospital</t>
  </si>
  <si>
    <t>The Correlation Between Self-Care Management and Quality of Life in Type I Diabetes Mellitus Patients in the Working Area of Batu X Public Health Center Tanjungpinang</t>
  </si>
  <si>
    <t>The Effect of Health Education through Animated Video Media on the Knowledge Level of Taking Iron Supplement Tablets in Adolescent Girls at SMPN 12 Tanjungpinang</t>
  </si>
  <si>
    <t>The Correlation Between Lifestyle and the Risk of Diabetes Mellitus in Students at Hang Tuah Health Science College Tanjungpinang</t>
  </si>
  <si>
    <t>The Effect of Rhythmic Breathing Distraction Technique on Reducing Pain Intensity in Post-Appendectomy Patients in the Surgical Inpatient Ward of Tanjungpinang City Regional General Hospital</t>
  </si>
  <si>
    <t>The Effect of Foot Massage and Nature Sound Music Therapy on Hemodynamic Status in Cardiovascular System Disorder Patients in the ICU of Tanjungpinang City Regional General Hospital</t>
  </si>
  <si>
    <t>The Correlation Between MP-ASI History and Picky Eater Behavior in Children</t>
  </si>
  <si>
    <t>The Effectiveness of Oral Care with Chlorhexidine and Miswak Extract (SALVADERA PERSICA) on Sputum, Leukocytes, Tracheal Secretions, and PaO2/FiO2 Ratio in Ventilated Patients in the ICU of Dr. Midiyato Suratani Naval Hospital Tanjungpinang</t>
  </si>
  <si>
    <t>The Correlation Between Social Media Use and Mental Health in Adolescents at SMAN 2 Tanjungpinang</t>
  </si>
  <si>
    <t>The Correlation Between Body Shaming and Body Image in Adolescents in Grade 10 at SMAN 6 Tanjungpinang</t>
  </si>
  <si>
    <t>The Effect of Ergonomic Exercise on Blood Pressure Reduction in Elderly with Hypertension at Nusa Indah II Elderly Integrated Health Post, West Tanjungpinang District</t>
  </si>
  <si>
    <t>The Effect of Using Spaulding with Motifs on Infusion Insertion on Anxiety in Preschool Children in the Flamboyan Ward of Tanjungpinang City Regional General Hospital</t>
  </si>
  <si>
    <t>The Effect of MINDFULNESS Therapy on Anxiety in Adolescents at SMAN 1 Tanjungpinang</t>
  </si>
  <si>
    <t>The Correlation Between Eating Patterns and Physical Activity with the Risk of Diabetes Mellitus in Adolescents at SMAN 2 Tanjungpinang</t>
  </si>
  <si>
    <t>Factors Associated with the Use of Skincare Products in Grade VIII D Adolescent Girls at SMPN 4 Tanjungpinang</t>
  </si>
  <si>
    <t>The Correlation Between Discharge Planning Implementation and Patient Adherence to Medication in the Dahlia Ward of Tanjungpinang City BLUD Hospital</t>
  </si>
  <si>
    <t>The Correlation Between Anxiety Level and Spirituality with Quality of Life in Elderly at Rumah Bahagia Bintan</t>
  </si>
  <si>
    <t>The Correlation Between the Implementation of Education Needs Assessment and Patient Satisfaction in the Inpatient Ward of Tanjungpinang City Regional General Hospital</t>
  </si>
  <si>
    <t>The Effect of Psychoeducation on Quality of Life in HEMODIALYSIS Patients</t>
  </si>
  <si>
    <t>The Correlation Between Motivation and Locus of Control with Glycemic Control in Type 2 Diabetes Mellitus Patients at Batu 10 Public Health Center Tanjungpinang</t>
  </si>
  <si>
    <t>(The Correlation Between) Self-Management and Quality of Life in Elderly Patients with Hypertension at Mekar Baru Public Health Center Tanjungpinang</t>
  </si>
  <si>
    <t>Factors Associated with Healthy Eating Behavior in Adolescents at SMAN 4 Tanjungpinang</t>
  </si>
  <si>
    <t>The Correlation Between Sleep Deprivation and Response Time and Interim Nurse Turnover in the Emergency Room of Tanjungpinang City BLUD Hospital</t>
  </si>
  <si>
    <t>Faktor Faktor Yang Berhubungan Dengan Minat Ibu Dalam Pemilihan Alat Kontrasepsi Di Puskesmas batu X</t>
  </si>
  <si>
    <t>Factors Associated with Mothers' Interest in Choosing Contraceptive Methods at Batu X Public Health Center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</si>
</sst>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1" x14ac:knownFonts="1">
    <font>
      <sz val="11"/>
      <color theme="1"/>
      <name val="Calibri"/>
      <family val="2"/>
      <scheme val="minor"/>
    </font>
    <font>
      <sz val="10"/>
      <name val="Arial"/>
      <family val="2"/>
    </font>
    <font>
      <sz val="11"/>
      <name val="Arial"/>
      <family val="2"/>
    </font>
    <font>
      <sz val="11"/>
      <color theme="1"/>
      <name val="Arial"/>
      <family val="2"/>
    </font>
    <font>
      <sz val="11"/>
      <color indexed="8"/>
      <name val="Calibri"/>
      <family val="2"/>
    </font>
    <font>
      <sz val="11"/>
      <color indexed="8"/>
      <name val="Arial"/>
      <family val="2"/>
    </font>
    <font>
      <sz val="11"/>
      <color theme="1"/>
      <name val="Calibri"/>
      <family val="2"/>
      <charset val="1"/>
      <scheme val="minor"/>
    </font>
    <font>
      <sz val="11"/>
      <color rgb="FF000000"/>
      <name val="Arial"/>
      <family val="2"/>
    </font>
    <font>
      <sz val="11"/>
      <color rgb="FFFF0000"/>
      <name val="Arial"/>
      <family val="2"/>
    </font>
    <font>
      <sz val="8"/>
      <name val="Calibri"/>
      <family val="2"/>
      <scheme val="minor"/>
    </font>
    <font>
      <b/>
      <sz val="11"/>
      <color theme="1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theme="9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FFFF00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7">
    <xf numFmtId="0" fontId="0" fillId="0" borderId="0"/>
    <xf numFmtId="0" fontId="1" fillId="0" borderId="0"/>
    <xf numFmtId="0" fontId="4" fillId="0" borderId="0"/>
    <xf numFmtId="0" fontId="1" fillId="0" borderId="0"/>
    <xf numFmtId="0" fontId="6" fillId="0" borderId="0"/>
    <xf numFmtId="0" fontId="4" fillId="0" borderId="0"/>
    <xf numFmtId="0" fontId="4" fillId="0" borderId="0"/>
  </cellStyleXfs>
  <cellXfs count="60">
    <xf numFmtId="0" fontId="0" fillId="0" borderId="0" xfId="0"/>
    <xf numFmtId="0" fontId="2" fillId="0" borderId="1" xfId="0" applyFont="1" applyBorder="1" applyAlignment="1">
      <alignment horizontal="center" vertical="center"/>
    </xf>
    <xf numFmtId="0" fontId="3" fillId="0" borderId="1" xfId="0" applyFont="1" applyBorder="1" applyAlignment="1">
      <alignment horizontal="center"/>
    </xf>
    <xf numFmtId="2" fontId="3" fillId="0" borderId="1" xfId="0" applyNumberFormat="1" applyFont="1" applyBorder="1" applyAlignment="1">
      <alignment horizontal="center"/>
    </xf>
    <xf numFmtId="2" fontId="2" fillId="0" borderId="1" xfId="0" applyNumberFormat="1" applyFont="1" applyBorder="1" applyAlignment="1">
      <alignment horizontal="center" vertical="center"/>
    </xf>
    <xf numFmtId="164" fontId="2" fillId="0" borderId="1" xfId="0" applyNumberFormat="1" applyFont="1" applyBorder="1" applyAlignment="1">
      <alignment horizontal="center" vertical="center"/>
    </xf>
    <xf numFmtId="2" fontId="7" fillId="0" borderId="1" xfId="0" applyNumberFormat="1" applyFont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2" fontId="3" fillId="0" borderId="1" xfId="0" applyNumberFormat="1" applyFont="1" applyBorder="1" applyAlignment="1">
      <alignment horizontal="center" vertical="center" wrapText="1"/>
    </xf>
    <xf numFmtId="2" fontId="2" fillId="0" borderId="1" xfId="1" applyNumberFormat="1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2" fontId="5" fillId="0" borderId="1" xfId="2" applyNumberFormat="1" applyFont="1" applyBorder="1" applyAlignment="1">
      <alignment horizontal="center" vertical="center"/>
    </xf>
    <xf numFmtId="2" fontId="3" fillId="0" borderId="1" xfId="0" applyNumberFormat="1" applyFont="1" applyBorder="1" applyAlignment="1">
      <alignment horizontal="center" vertical="center"/>
    </xf>
    <xf numFmtId="2" fontId="3" fillId="0" borderId="1" xfId="4" applyNumberFormat="1" applyFont="1" applyBorder="1" applyAlignment="1">
      <alignment horizontal="center" vertical="center"/>
    </xf>
    <xf numFmtId="2" fontId="5" fillId="0" borderId="1" xfId="5" applyNumberFormat="1" applyFont="1" applyBorder="1" applyAlignment="1">
      <alignment horizontal="center" vertical="center"/>
    </xf>
    <xf numFmtId="2" fontId="5" fillId="0" borderId="1" xfId="6" applyNumberFormat="1" applyFont="1" applyBorder="1" applyAlignment="1">
      <alignment horizontal="center" vertical="center"/>
    </xf>
    <xf numFmtId="164" fontId="5" fillId="0" borderId="1" xfId="2" applyNumberFormat="1" applyFont="1" applyBorder="1" applyAlignment="1">
      <alignment horizontal="center" vertical="center"/>
    </xf>
    <xf numFmtId="164" fontId="5" fillId="0" borderId="1" xfId="5" applyNumberFormat="1" applyFont="1" applyBorder="1" applyAlignment="1">
      <alignment horizontal="center" vertical="center"/>
    </xf>
    <xf numFmtId="164" fontId="5" fillId="0" borderId="1" xfId="6" applyNumberFormat="1" applyFont="1" applyBorder="1" applyAlignment="1">
      <alignment horizontal="center" vertical="center"/>
    </xf>
    <xf numFmtId="164" fontId="3" fillId="0" borderId="1" xfId="0" applyNumberFormat="1" applyFont="1" applyBorder="1" applyAlignment="1">
      <alignment horizontal="center" vertical="center"/>
    </xf>
    <xf numFmtId="164" fontId="3" fillId="0" borderId="1" xfId="4" applyNumberFormat="1" applyFont="1" applyBorder="1" applyAlignment="1">
      <alignment horizontal="center" vertical="center"/>
    </xf>
    <xf numFmtId="2" fontId="8" fillId="0" borderId="1" xfId="5" applyNumberFormat="1" applyFont="1" applyBorder="1" applyAlignment="1">
      <alignment horizontal="center" vertical="center"/>
    </xf>
    <xf numFmtId="0" fontId="7" fillId="0" borderId="1" xfId="0" applyFont="1" applyBorder="1" applyAlignment="1">
      <alignment vertical="center" wrapText="1"/>
    </xf>
    <xf numFmtId="0" fontId="3" fillId="0" borderId="1" xfId="0" applyFont="1" applyBorder="1"/>
    <xf numFmtId="49" fontId="3" fillId="0" borderId="1" xfId="0" applyNumberFormat="1" applyFont="1" applyBorder="1" applyAlignment="1">
      <alignment horizontal="center"/>
    </xf>
    <xf numFmtId="0" fontId="2" fillId="0" borderId="1" xfId="0" applyFont="1" applyBorder="1" applyAlignment="1">
      <alignment horizontal="center" vertical="center" wrapText="1"/>
    </xf>
    <xf numFmtId="0" fontId="2" fillId="0" borderId="1" xfId="0" applyFont="1" applyBorder="1" applyAlignment="1">
      <alignment horizontal="center"/>
    </xf>
    <xf numFmtId="49" fontId="2" fillId="0" borderId="1" xfId="0" applyNumberFormat="1" applyFont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49" fontId="0" fillId="0" borderId="0" xfId="0" applyNumberFormat="1" applyAlignment="1">
      <alignment horizontal="center"/>
    </xf>
    <xf numFmtId="0" fontId="2" fillId="0" borderId="1" xfId="0" applyFont="1" applyBorder="1"/>
    <xf numFmtId="2" fontId="5" fillId="0" borderId="1" xfId="3" applyNumberFormat="1" applyFont="1" applyBorder="1" applyAlignment="1">
      <alignment horizontal="center" vertical="center"/>
    </xf>
    <xf numFmtId="0" fontId="7" fillId="0" borderId="1" xfId="0" applyFont="1" applyBorder="1"/>
    <xf numFmtId="0" fontId="2" fillId="3" borderId="1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7" fillId="6" borderId="1" xfId="0" applyFont="1" applyFill="1" applyBorder="1"/>
    <xf numFmtId="0" fontId="7" fillId="6" borderId="1" xfId="0" applyFont="1" applyFill="1" applyBorder="1" applyAlignment="1">
      <alignment vertical="center" wrapText="1"/>
    </xf>
    <xf numFmtId="0" fontId="3" fillId="6" borderId="1" xfId="0" applyFont="1" applyFill="1" applyBorder="1"/>
    <xf numFmtId="0" fontId="2" fillId="3" borderId="1" xfId="0" applyFont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49" fontId="2" fillId="0" borderId="1" xfId="0" applyNumberFormat="1" applyFont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2" fillId="0" borderId="4" xfId="0" applyFont="1" applyBorder="1" applyAlignment="1">
      <alignment horizontal="center" vertical="center"/>
    </xf>
    <xf numFmtId="0" fontId="2" fillId="0" borderId="2" xfId="0" applyFont="1" applyBorder="1" applyAlignment="1">
      <alignment horizontal="center" vertical="center" wrapText="1"/>
    </xf>
    <xf numFmtId="0" fontId="2" fillId="0" borderId="3" xfId="0" applyFont="1" applyBorder="1" applyAlignment="1">
      <alignment horizontal="center" vertical="center" wrapText="1"/>
    </xf>
    <xf numFmtId="0" fontId="2" fillId="0" borderId="4" xfId="0" applyFont="1" applyBorder="1" applyAlignment="1">
      <alignment horizontal="center" vertical="center" wrapText="1"/>
    </xf>
    <xf numFmtId="0" fontId="3" fillId="0" borderId="1" xfId="0" applyFont="1" applyFill="1" applyBorder="1" applyAlignment="1">
      <alignment horizontal="center"/>
    </xf>
    <xf numFmtId="0" fontId="3" fillId="0" borderId="1" xfId="0" applyFont="1" applyBorder="1" applyAlignment="1">
      <alignment vertical="center"/>
    </xf>
    <xf numFmtId="0" fontId="10" fillId="0" borderId="1" xfId="0" applyFont="1" applyBorder="1" applyAlignment="1">
      <alignment horizontal="center" vertical="center"/>
    </xf>
    <xf numFmtId="0" fontId="3" fillId="0" borderId="0" xfId="0" applyFont="1"/>
    <xf numFmtId="0" fontId="0" fillId="0" borderId="0" xfId="0" applyFont="1" applyAlignment="1">
      <alignment horizontal="center"/>
    </xf>
  </cellXfs>
  <cellStyles count="7">
    <cellStyle name="Normal" xfId="0" builtinId="0"/>
    <cellStyle name="Normal 2 2" xfId="1" xr:uid="{05DC58E0-45DD-46EA-BECA-DCB06801AFA7}"/>
    <cellStyle name="Normal 5" xfId="4" xr:uid="{97399C8F-4AC1-44CB-88EB-4CB0E84956C0}"/>
    <cellStyle name="Normal_Sheet1" xfId="3" xr:uid="{5F16D58E-48DC-4C37-9399-33748EB7D426}"/>
    <cellStyle name="Normal_Sheet1 2" xfId="2" xr:uid="{C040379A-4A70-4852-9D3B-3AD6BE248779}"/>
    <cellStyle name="Normal_Sheet1 3" xfId="6" xr:uid="{E0F3E03F-961F-48E3-92BC-19485DC7F3C8}"/>
    <cellStyle name="Normal_Sheet1 4" xfId="5" xr:uid="{557A5687-3BC3-4F69-8714-351C64343AC7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4AA576-8EFE-4868-8208-535A5DC1B951}">
  <dimension ref="A1:JY35"/>
  <sheetViews>
    <sheetView tabSelected="1" zoomScale="120" zoomScaleNormal="120" workbookViewId="0">
      <pane xSplit="3" ySplit="2" topLeftCell="D3" activePane="bottomRight" state="frozen"/>
      <selection pane="topRight" activeCell="D1" sqref="D1"/>
      <selection pane="bottomLeft" activeCell="A3" sqref="A3"/>
      <selection pane="bottomRight" activeCell="G10" sqref="G10"/>
    </sheetView>
  </sheetViews>
  <sheetFormatPr defaultRowHeight="15" x14ac:dyDescent="0.25"/>
  <cols>
    <col min="1" max="1" width="4.28515625" customWidth="1"/>
    <col min="2" max="2" width="34" customWidth="1"/>
    <col min="3" max="3" width="14.7109375" customWidth="1"/>
    <col min="4" max="4" width="23.85546875" style="28" customWidth="1"/>
    <col min="5" max="6" width="22.140625" style="29" customWidth="1"/>
    <col min="7" max="7" width="24.85546875" style="59" customWidth="1"/>
    <col min="8" max="8" width="6.140625" customWidth="1"/>
    <col min="9" max="12" width="5.7109375" customWidth="1"/>
    <col min="13" max="13" width="7.140625" customWidth="1"/>
    <col min="14" max="17" width="5.7109375" customWidth="1"/>
    <col min="18" max="18" width="6.85546875" customWidth="1"/>
    <col min="19" max="22" width="5.7109375" customWidth="1"/>
    <col min="23" max="23" width="7.140625" customWidth="1"/>
    <col min="24" max="26" width="5.7109375" customWidth="1"/>
    <col min="27" max="27" width="7.140625" customWidth="1"/>
    <col min="28" max="28" width="7" customWidth="1"/>
    <col min="29" max="32" width="5.7109375" customWidth="1"/>
    <col min="33" max="33" width="6.5703125" customWidth="1"/>
    <col min="34" max="37" width="5.7109375" customWidth="1"/>
    <col min="38" max="38" width="7.7109375" customWidth="1"/>
    <col min="39" max="42" width="5.7109375" customWidth="1"/>
    <col min="43" max="43" width="6.140625" customWidth="1"/>
    <col min="44" max="47" width="5.7109375" customWidth="1"/>
    <col min="48" max="48" width="7.5703125" customWidth="1"/>
    <col min="49" max="49" width="6.7109375" customWidth="1"/>
    <col min="50" max="52" width="5.7109375" customWidth="1"/>
    <col min="53" max="53" width="6.85546875" customWidth="1"/>
    <col min="54" max="57" width="5.7109375" customWidth="1"/>
    <col min="58" max="58" width="7.140625" customWidth="1"/>
    <col min="59" max="61" width="5.7109375" customWidth="1"/>
    <col min="62" max="62" width="7.140625" customWidth="1"/>
    <col min="63" max="63" width="7" customWidth="1"/>
    <col min="64" max="67" width="5.7109375" customWidth="1"/>
    <col min="68" max="68" width="6.5703125" customWidth="1"/>
    <col min="69" max="72" width="5.7109375" customWidth="1"/>
    <col min="73" max="73" width="8.28515625" customWidth="1"/>
    <col min="74" max="77" width="5.7109375" customWidth="1"/>
    <col min="78" max="78" width="7.7109375" customWidth="1"/>
    <col min="79" max="82" width="5.7109375" customWidth="1"/>
    <col min="83" max="83" width="6.140625" customWidth="1"/>
    <col min="84" max="87" width="5.7109375" customWidth="1"/>
    <col min="88" max="88" width="6" customWidth="1"/>
    <col min="89" max="92" width="5.7109375" customWidth="1"/>
    <col min="93" max="93" width="6.85546875" customWidth="1"/>
    <col min="94" max="97" width="5.7109375" customWidth="1"/>
    <col min="98" max="98" width="7.140625" customWidth="1"/>
    <col min="99" max="101" width="5.7109375" customWidth="1"/>
    <col min="102" max="102" width="7.140625" customWidth="1"/>
    <col min="103" max="103" width="7" customWidth="1"/>
    <col min="104" max="107" width="5.7109375" customWidth="1"/>
    <col min="108" max="108" width="6.5703125" customWidth="1"/>
    <col min="109" max="112" width="5.7109375" customWidth="1"/>
    <col min="113" max="113" width="7.7109375" customWidth="1"/>
    <col min="114" max="117" width="5.7109375" customWidth="1"/>
    <col min="118" max="118" width="6.140625" customWidth="1"/>
    <col min="119" max="122" width="5.7109375" customWidth="1"/>
    <col min="123" max="123" width="6" customWidth="1"/>
    <col min="124" max="127" width="5.7109375" customWidth="1"/>
    <col min="128" max="128" width="6.85546875" customWidth="1"/>
    <col min="129" max="132" width="5.7109375" customWidth="1"/>
    <col min="133" max="133" width="7.140625" customWidth="1"/>
    <col min="134" max="136" width="5.7109375" customWidth="1"/>
    <col min="137" max="137" width="7.140625" customWidth="1"/>
    <col min="138" max="138" width="7" customWidth="1"/>
    <col min="139" max="142" width="5.7109375" customWidth="1"/>
    <col min="143" max="143" width="6.5703125" customWidth="1"/>
    <col min="144" max="147" width="5.7109375" customWidth="1"/>
    <col min="148" max="148" width="8.28515625" customWidth="1"/>
    <col min="149" max="152" width="5.7109375" customWidth="1"/>
    <col min="153" max="153" width="7.7109375" customWidth="1"/>
    <col min="154" max="157" width="5.7109375" customWidth="1"/>
    <col min="158" max="158" width="6.140625" customWidth="1"/>
    <col min="159" max="162" width="5.7109375" customWidth="1"/>
    <col min="163" max="163" width="6" customWidth="1"/>
    <col min="164" max="167" width="5.7109375" customWidth="1"/>
    <col min="168" max="168" width="6.85546875" customWidth="1"/>
    <col min="169" max="172" width="5.7109375" customWidth="1"/>
    <col min="173" max="173" width="7.140625" customWidth="1"/>
    <col min="174" max="176" width="5.7109375" customWidth="1"/>
    <col min="177" max="177" width="7.140625" customWidth="1"/>
    <col min="178" max="178" width="7" customWidth="1"/>
    <col min="179" max="182" width="5.7109375" customWidth="1"/>
    <col min="183" max="183" width="6.5703125" customWidth="1"/>
    <col min="184" max="187" width="5.7109375" customWidth="1"/>
    <col min="188" max="188" width="7.7109375" customWidth="1"/>
    <col min="189" max="192" width="5.7109375" customWidth="1"/>
    <col min="193" max="193" width="6.140625" customWidth="1"/>
    <col min="194" max="197" width="5.7109375" customWidth="1"/>
    <col min="198" max="198" width="6" customWidth="1"/>
    <col min="199" max="202" width="5.7109375" customWidth="1"/>
    <col min="203" max="203" width="6.85546875" customWidth="1"/>
    <col min="204" max="207" width="5.7109375" customWidth="1"/>
    <col min="208" max="208" width="7.140625" customWidth="1"/>
    <col min="209" max="211" width="5.7109375" customWidth="1"/>
    <col min="212" max="212" width="7.140625" customWidth="1"/>
    <col min="213" max="213" width="7" customWidth="1"/>
    <col min="214" max="217" width="5.7109375" customWidth="1"/>
    <col min="218" max="218" width="6.5703125" customWidth="1"/>
    <col min="219" max="222" width="5.7109375" customWidth="1"/>
    <col min="223" max="223" width="8.28515625" customWidth="1"/>
    <col min="224" max="227" width="5.7109375" customWidth="1"/>
    <col min="228" max="228" width="7.7109375" customWidth="1"/>
    <col min="229" max="232" width="5.7109375" customWidth="1"/>
    <col min="233" max="233" width="6" customWidth="1"/>
    <col min="234" max="237" width="5.7109375" customWidth="1"/>
    <col min="238" max="238" width="6.85546875" customWidth="1"/>
    <col min="239" max="242" width="5.7109375" customWidth="1"/>
    <col min="243" max="243" width="7.140625" customWidth="1"/>
    <col min="244" max="246" width="5.7109375" customWidth="1"/>
    <col min="247" max="247" width="7.140625" customWidth="1"/>
    <col min="248" max="248" width="7" customWidth="1"/>
    <col min="249" max="252" width="5.7109375" customWidth="1"/>
    <col min="253" max="253" width="6.5703125" customWidth="1"/>
    <col min="254" max="257" width="5.7109375" customWidth="1"/>
    <col min="258" max="258" width="6.140625" customWidth="1"/>
    <col min="259" max="262" width="5.7109375" customWidth="1"/>
    <col min="263" max="263" width="8" customWidth="1"/>
    <col min="264" max="264" width="6.85546875" customWidth="1"/>
    <col min="265" max="267" width="5.7109375" customWidth="1"/>
    <col min="268" max="268" width="6.85546875" customWidth="1"/>
    <col min="269" max="272" width="5.7109375" customWidth="1"/>
    <col min="273" max="273" width="7.140625" customWidth="1"/>
    <col min="274" max="276" width="5.7109375" customWidth="1"/>
    <col min="277" max="277" width="7.140625" customWidth="1"/>
    <col min="278" max="278" width="7" customWidth="1"/>
    <col min="279" max="279" width="14.5703125" customWidth="1"/>
    <col min="280" max="280" width="14.7109375" customWidth="1"/>
    <col min="281" max="281" width="10.42578125" customWidth="1"/>
    <col min="282" max="282" width="19" customWidth="1"/>
    <col min="283" max="283" width="24.140625" bestFit="1" customWidth="1"/>
    <col min="284" max="284" width="242.42578125" bestFit="1" customWidth="1"/>
    <col min="285" max="285" width="224.140625" style="58" bestFit="1" customWidth="1"/>
  </cols>
  <sheetData>
    <row r="1" spans="1:285" x14ac:dyDescent="0.25">
      <c r="A1" s="42" t="s">
        <v>0</v>
      </c>
      <c r="B1" s="42" t="s">
        <v>1</v>
      </c>
      <c r="C1" s="42" t="s">
        <v>2</v>
      </c>
      <c r="D1" s="42" t="s">
        <v>105</v>
      </c>
      <c r="E1" s="43" t="s">
        <v>106</v>
      </c>
      <c r="F1" s="43" t="s">
        <v>203</v>
      </c>
      <c r="G1" s="42" t="s">
        <v>107</v>
      </c>
      <c r="H1" s="41" t="s">
        <v>3</v>
      </c>
      <c r="I1" s="41"/>
      <c r="J1" s="41"/>
      <c r="K1" s="41"/>
      <c r="L1" s="41"/>
      <c r="M1" s="41" t="s">
        <v>4</v>
      </c>
      <c r="N1" s="41"/>
      <c r="O1" s="41"/>
      <c r="P1" s="41"/>
      <c r="Q1" s="41"/>
      <c r="R1" s="41" t="s">
        <v>5</v>
      </c>
      <c r="S1" s="41"/>
      <c r="T1" s="41"/>
      <c r="U1" s="41"/>
      <c r="V1" s="41"/>
      <c r="W1" s="41" t="s">
        <v>6</v>
      </c>
      <c r="X1" s="41"/>
      <c r="Y1" s="41"/>
      <c r="Z1" s="41"/>
      <c r="AA1" s="41"/>
      <c r="AB1" s="41" t="s">
        <v>7</v>
      </c>
      <c r="AC1" s="41"/>
      <c r="AD1" s="41"/>
      <c r="AE1" s="41"/>
      <c r="AF1" s="41"/>
      <c r="AG1" s="41" t="s">
        <v>8</v>
      </c>
      <c r="AH1" s="41"/>
      <c r="AI1" s="41"/>
      <c r="AJ1" s="41"/>
      <c r="AK1" s="41"/>
      <c r="AL1" s="41" t="s">
        <v>9</v>
      </c>
      <c r="AM1" s="41"/>
      <c r="AN1" s="41"/>
      <c r="AO1" s="41"/>
      <c r="AP1" s="41"/>
      <c r="AQ1" s="45" t="s">
        <v>60</v>
      </c>
      <c r="AR1" s="45"/>
      <c r="AS1" s="45"/>
      <c r="AT1" s="45"/>
      <c r="AU1" s="45"/>
      <c r="AV1" s="45" t="s">
        <v>61</v>
      </c>
      <c r="AW1" s="45"/>
      <c r="AX1" s="45"/>
      <c r="AY1" s="45"/>
      <c r="AZ1" s="45"/>
      <c r="BA1" s="45" t="s">
        <v>62</v>
      </c>
      <c r="BB1" s="45"/>
      <c r="BC1" s="45"/>
      <c r="BD1" s="45"/>
      <c r="BE1" s="45"/>
      <c r="BF1" s="45" t="s">
        <v>63</v>
      </c>
      <c r="BG1" s="45"/>
      <c r="BH1" s="45"/>
      <c r="BI1" s="45"/>
      <c r="BJ1" s="45"/>
      <c r="BK1" s="45" t="s">
        <v>64</v>
      </c>
      <c r="BL1" s="45"/>
      <c r="BM1" s="45"/>
      <c r="BN1" s="45"/>
      <c r="BO1" s="45"/>
      <c r="BP1" s="45" t="s">
        <v>65</v>
      </c>
      <c r="BQ1" s="45"/>
      <c r="BR1" s="45"/>
      <c r="BS1" s="45"/>
      <c r="BT1" s="45"/>
      <c r="BU1" s="45" t="s">
        <v>66</v>
      </c>
      <c r="BV1" s="45"/>
      <c r="BW1" s="45"/>
      <c r="BX1" s="45"/>
      <c r="BY1" s="45"/>
      <c r="BZ1" s="45" t="s">
        <v>67</v>
      </c>
      <c r="CA1" s="45"/>
      <c r="CB1" s="45"/>
      <c r="CC1" s="45"/>
      <c r="CD1" s="45"/>
      <c r="CE1" s="44" t="s">
        <v>69</v>
      </c>
      <c r="CF1" s="44"/>
      <c r="CG1" s="44"/>
      <c r="CH1" s="44"/>
      <c r="CI1" s="44"/>
      <c r="CJ1" s="44" t="s">
        <v>70</v>
      </c>
      <c r="CK1" s="44"/>
      <c r="CL1" s="44"/>
      <c r="CM1" s="44"/>
      <c r="CN1" s="44"/>
      <c r="CO1" s="44" t="s">
        <v>71</v>
      </c>
      <c r="CP1" s="44"/>
      <c r="CQ1" s="44"/>
      <c r="CR1" s="44"/>
      <c r="CS1" s="44"/>
      <c r="CT1" s="44" t="s">
        <v>72</v>
      </c>
      <c r="CU1" s="44"/>
      <c r="CV1" s="44"/>
      <c r="CW1" s="44"/>
      <c r="CX1" s="44"/>
      <c r="CY1" s="44" t="s">
        <v>73</v>
      </c>
      <c r="CZ1" s="44"/>
      <c r="DA1" s="44"/>
      <c r="DB1" s="44"/>
      <c r="DC1" s="44"/>
      <c r="DD1" s="44" t="s">
        <v>74</v>
      </c>
      <c r="DE1" s="44"/>
      <c r="DF1" s="44"/>
      <c r="DG1" s="44"/>
      <c r="DH1" s="44"/>
      <c r="DI1" s="44" t="s">
        <v>75</v>
      </c>
      <c r="DJ1" s="44"/>
      <c r="DK1" s="44"/>
      <c r="DL1" s="44"/>
      <c r="DM1" s="44"/>
      <c r="DN1" s="44" t="s">
        <v>76</v>
      </c>
      <c r="DO1" s="44"/>
      <c r="DP1" s="44"/>
      <c r="DQ1" s="44"/>
      <c r="DR1" s="44"/>
      <c r="DS1" s="46" t="s">
        <v>77</v>
      </c>
      <c r="DT1" s="46"/>
      <c r="DU1" s="46"/>
      <c r="DV1" s="46"/>
      <c r="DW1" s="46"/>
      <c r="DX1" s="46" t="s">
        <v>78</v>
      </c>
      <c r="DY1" s="46"/>
      <c r="DZ1" s="46"/>
      <c r="EA1" s="46"/>
      <c r="EB1" s="46"/>
      <c r="EC1" s="46" t="s">
        <v>79</v>
      </c>
      <c r="ED1" s="46"/>
      <c r="EE1" s="46"/>
      <c r="EF1" s="46"/>
      <c r="EG1" s="46"/>
      <c r="EH1" s="46" t="s">
        <v>80</v>
      </c>
      <c r="EI1" s="46"/>
      <c r="EJ1" s="46"/>
      <c r="EK1" s="46"/>
      <c r="EL1" s="46"/>
      <c r="EM1" s="46" t="s">
        <v>81</v>
      </c>
      <c r="EN1" s="46"/>
      <c r="EO1" s="46"/>
      <c r="EP1" s="46"/>
      <c r="EQ1" s="46"/>
      <c r="ER1" s="46" t="s">
        <v>82</v>
      </c>
      <c r="ES1" s="46"/>
      <c r="ET1" s="46"/>
      <c r="EU1" s="46"/>
      <c r="EV1" s="46"/>
      <c r="EW1" s="46" t="s">
        <v>83</v>
      </c>
      <c r="EX1" s="46"/>
      <c r="EY1" s="46"/>
      <c r="EZ1" s="46"/>
      <c r="FA1" s="46"/>
      <c r="FB1" s="42" t="s">
        <v>84</v>
      </c>
      <c r="FC1" s="42"/>
      <c r="FD1" s="42"/>
      <c r="FE1" s="42"/>
      <c r="FF1" s="42"/>
      <c r="FG1" s="42" t="s">
        <v>85</v>
      </c>
      <c r="FH1" s="42"/>
      <c r="FI1" s="42"/>
      <c r="FJ1" s="42"/>
      <c r="FK1" s="42"/>
      <c r="FL1" s="42" t="s">
        <v>86</v>
      </c>
      <c r="FM1" s="42"/>
      <c r="FN1" s="42"/>
      <c r="FO1" s="42"/>
      <c r="FP1" s="42"/>
      <c r="FQ1" s="42" t="s">
        <v>87</v>
      </c>
      <c r="FR1" s="42"/>
      <c r="FS1" s="42"/>
      <c r="FT1" s="42"/>
      <c r="FU1" s="42"/>
      <c r="FV1" s="47" t="s">
        <v>88</v>
      </c>
      <c r="FW1" s="47"/>
      <c r="FX1" s="47"/>
      <c r="FY1" s="47"/>
      <c r="FZ1" s="47"/>
      <c r="GA1" s="42" t="s">
        <v>89</v>
      </c>
      <c r="GB1" s="42"/>
      <c r="GC1" s="42"/>
      <c r="GD1" s="42"/>
      <c r="GE1" s="42"/>
      <c r="GF1" s="42" t="s">
        <v>90</v>
      </c>
      <c r="GG1" s="42"/>
      <c r="GH1" s="42"/>
      <c r="GI1" s="42"/>
      <c r="GJ1" s="42"/>
      <c r="GK1" s="42" t="s">
        <v>91</v>
      </c>
      <c r="GL1" s="42"/>
      <c r="GM1" s="42"/>
      <c r="GN1" s="42"/>
      <c r="GO1" s="42"/>
      <c r="GP1" s="42" t="s">
        <v>92</v>
      </c>
      <c r="GQ1" s="42"/>
      <c r="GR1" s="42"/>
      <c r="GS1" s="42"/>
      <c r="GT1" s="42"/>
      <c r="GU1" s="42" t="s">
        <v>93</v>
      </c>
      <c r="GV1" s="42"/>
      <c r="GW1" s="42"/>
      <c r="GX1" s="42"/>
      <c r="GY1" s="42"/>
      <c r="GZ1" s="42" t="s">
        <v>94</v>
      </c>
      <c r="HA1" s="42"/>
      <c r="HB1" s="42"/>
      <c r="HC1" s="42"/>
      <c r="HD1" s="42"/>
      <c r="HE1" s="42" t="s">
        <v>95</v>
      </c>
      <c r="HF1" s="42"/>
      <c r="HG1" s="42"/>
      <c r="HH1" s="42"/>
      <c r="HI1" s="42"/>
      <c r="HJ1" s="47" t="s">
        <v>96</v>
      </c>
      <c r="HK1" s="47"/>
      <c r="HL1" s="47"/>
      <c r="HM1" s="47"/>
      <c r="HN1" s="47"/>
      <c r="HO1" s="42" t="s">
        <v>97</v>
      </c>
      <c r="HP1" s="42"/>
      <c r="HQ1" s="42"/>
      <c r="HR1" s="42"/>
      <c r="HS1" s="42"/>
      <c r="HT1" s="42" t="s">
        <v>98</v>
      </c>
      <c r="HU1" s="42"/>
      <c r="HV1" s="42"/>
      <c r="HW1" s="42"/>
      <c r="HX1" s="42"/>
      <c r="HY1" s="42" t="s">
        <v>99</v>
      </c>
      <c r="HZ1" s="42"/>
      <c r="IA1" s="42"/>
      <c r="IB1" s="42"/>
      <c r="IC1" s="42"/>
      <c r="ID1" s="42" t="s">
        <v>100</v>
      </c>
      <c r="IE1" s="42"/>
      <c r="IF1" s="42"/>
      <c r="IG1" s="42"/>
      <c r="IH1" s="42"/>
      <c r="II1" s="42" t="s">
        <v>101</v>
      </c>
      <c r="IJ1" s="42"/>
      <c r="IK1" s="42"/>
      <c r="IL1" s="42"/>
      <c r="IM1" s="42"/>
      <c r="IN1" s="47" t="s">
        <v>102</v>
      </c>
      <c r="IO1" s="47"/>
      <c r="IP1" s="47"/>
      <c r="IQ1" s="47"/>
      <c r="IR1" s="47"/>
      <c r="IS1" s="42" t="s">
        <v>103</v>
      </c>
      <c r="IT1" s="42"/>
      <c r="IU1" s="42"/>
      <c r="IV1" s="42"/>
      <c r="IW1" s="42"/>
      <c r="IX1" s="42" t="s">
        <v>104</v>
      </c>
      <c r="IY1" s="42"/>
      <c r="IZ1" s="42"/>
      <c r="JA1" s="42"/>
      <c r="JB1" s="42"/>
      <c r="JC1" s="42" t="s">
        <v>10</v>
      </c>
      <c r="JD1" s="42"/>
      <c r="JE1" s="42" t="s">
        <v>111</v>
      </c>
      <c r="JF1" s="42"/>
      <c r="JG1" s="42" t="s">
        <v>112</v>
      </c>
      <c r="JH1" s="42"/>
      <c r="JI1" s="42" t="s">
        <v>113</v>
      </c>
      <c r="JJ1" s="42"/>
      <c r="JK1" s="42" t="s">
        <v>114</v>
      </c>
      <c r="JL1" s="42"/>
      <c r="JM1" s="42" t="s">
        <v>115</v>
      </c>
      <c r="JN1" s="42"/>
      <c r="JO1" s="48" t="s">
        <v>116</v>
      </c>
      <c r="JP1" s="48"/>
      <c r="JQ1" s="48" t="s">
        <v>117</v>
      </c>
      <c r="JR1" s="48"/>
      <c r="JS1" s="48" t="s">
        <v>132</v>
      </c>
      <c r="JT1" s="48"/>
      <c r="JU1" s="42" t="s">
        <v>11</v>
      </c>
      <c r="JV1" s="48" t="s">
        <v>108</v>
      </c>
      <c r="JW1" s="48" t="s">
        <v>109</v>
      </c>
      <c r="JX1" s="48" t="s">
        <v>110</v>
      </c>
      <c r="JY1" s="57" t="s">
        <v>255</v>
      </c>
    </row>
    <row r="2" spans="1:285" x14ac:dyDescent="0.25">
      <c r="A2" s="42"/>
      <c r="B2" s="42"/>
      <c r="C2" s="42"/>
      <c r="D2" s="42"/>
      <c r="E2" s="43"/>
      <c r="F2" s="43"/>
      <c r="G2" s="42"/>
      <c r="H2" s="33" t="s">
        <v>12</v>
      </c>
      <c r="I2" s="33" t="s">
        <v>13</v>
      </c>
      <c r="J2" s="33" t="s">
        <v>14</v>
      </c>
      <c r="K2" s="33" t="s">
        <v>15</v>
      </c>
      <c r="L2" s="33" t="s">
        <v>16</v>
      </c>
      <c r="M2" s="33" t="s">
        <v>12</v>
      </c>
      <c r="N2" s="33" t="s">
        <v>13</v>
      </c>
      <c r="O2" s="33" t="s">
        <v>14</v>
      </c>
      <c r="P2" s="33" t="s">
        <v>15</v>
      </c>
      <c r="Q2" s="33" t="s">
        <v>16</v>
      </c>
      <c r="R2" s="33" t="s">
        <v>12</v>
      </c>
      <c r="S2" s="33" t="s">
        <v>13</v>
      </c>
      <c r="T2" s="33" t="s">
        <v>14</v>
      </c>
      <c r="U2" s="33" t="s">
        <v>15</v>
      </c>
      <c r="V2" s="33" t="s">
        <v>16</v>
      </c>
      <c r="W2" s="33" t="s">
        <v>12</v>
      </c>
      <c r="X2" s="33" t="s">
        <v>13</v>
      </c>
      <c r="Y2" s="33" t="s">
        <v>14</v>
      </c>
      <c r="Z2" s="33" t="s">
        <v>15</v>
      </c>
      <c r="AA2" s="33" t="s">
        <v>16</v>
      </c>
      <c r="AB2" s="33" t="s">
        <v>12</v>
      </c>
      <c r="AC2" s="33" t="s">
        <v>13</v>
      </c>
      <c r="AD2" s="33" t="s">
        <v>14</v>
      </c>
      <c r="AE2" s="33" t="s">
        <v>15</v>
      </c>
      <c r="AF2" s="33" t="s">
        <v>16</v>
      </c>
      <c r="AG2" s="33" t="s">
        <v>12</v>
      </c>
      <c r="AH2" s="33" t="s">
        <v>13</v>
      </c>
      <c r="AI2" s="33" t="s">
        <v>14</v>
      </c>
      <c r="AJ2" s="33" t="s">
        <v>15</v>
      </c>
      <c r="AK2" s="33" t="s">
        <v>16</v>
      </c>
      <c r="AL2" s="33" t="s">
        <v>12</v>
      </c>
      <c r="AM2" s="33" t="s">
        <v>13</v>
      </c>
      <c r="AN2" s="33" t="s">
        <v>14</v>
      </c>
      <c r="AO2" s="33" t="s">
        <v>15</v>
      </c>
      <c r="AP2" s="33" t="s">
        <v>16</v>
      </c>
      <c r="AQ2" s="34" t="s">
        <v>12</v>
      </c>
      <c r="AR2" s="34" t="s">
        <v>13</v>
      </c>
      <c r="AS2" s="34" t="s">
        <v>14</v>
      </c>
      <c r="AT2" s="34" t="s">
        <v>15</v>
      </c>
      <c r="AU2" s="34" t="s">
        <v>16</v>
      </c>
      <c r="AV2" s="34" t="s">
        <v>12</v>
      </c>
      <c r="AW2" s="34" t="s">
        <v>13</v>
      </c>
      <c r="AX2" s="34" t="s">
        <v>14</v>
      </c>
      <c r="AY2" s="34" t="s">
        <v>15</v>
      </c>
      <c r="AZ2" s="34" t="s">
        <v>16</v>
      </c>
      <c r="BA2" s="34" t="s">
        <v>12</v>
      </c>
      <c r="BB2" s="34" t="s">
        <v>13</v>
      </c>
      <c r="BC2" s="34" t="s">
        <v>14</v>
      </c>
      <c r="BD2" s="34" t="s">
        <v>15</v>
      </c>
      <c r="BE2" s="34" t="s">
        <v>16</v>
      </c>
      <c r="BF2" s="34" t="s">
        <v>12</v>
      </c>
      <c r="BG2" s="34" t="s">
        <v>13</v>
      </c>
      <c r="BH2" s="34" t="s">
        <v>14</v>
      </c>
      <c r="BI2" s="34" t="s">
        <v>15</v>
      </c>
      <c r="BJ2" s="34" t="s">
        <v>16</v>
      </c>
      <c r="BK2" s="34" t="s">
        <v>12</v>
      </c>
      <c r="BL2" s="34" t="s">
        <v>13</v>
      </c>
      <c r="BM2" s="34" t="s">
        <v>14</v>
      </c>
      <c r="BN2" s="34" t="s">
        <v>15</v>
      </c>
      <c r="BO2" s="34" t="s">
        <v>16</v>
      </c>
      <c r="BP2" s="34" t="s">
        <v>12</v>
      </c>
      <c r="BQ2" s="34" t="s">
        <v>13</v>
      </c>
      <c r="BR2" s="34" t="s">
        <v>14</v>
      </c>
      <c r="BS2" s="34" t="s">
        <v>15</v>
      </c>
      <c r="BT2" s="34" t="s">
        <v>16</v>
      </c>
      <c r="BU2" s="34" t="s">
        <v>12</v>
      </c>
      <c r="BV2" s="34" t="s">
        <v>13</v>
      </c>
      <c r="BW2" s="34" t="s">
        <v>14</v>
      </c>
      <c r="BX2" s="34" t="s">
        <v>15</v>
      </c>
      <c r="BY2" s="34" t="s">
        <v>16</v>
      </c>
      <c r="BZ2" s="34" t="s">
        <v>12</v>
      </c>
      <c r="CA2" s="34" t="s">
        <v>13</v>
      </c>
      <c r="CB2" s="34" t="s">
        <v>14</v>
      </c>
      <c r="CC2" s="34" t="s">
        <v>15</v>
      </c>
      <c r="CD2" s="34" t="s">
        <v>16</v>
      </c>
      <c r="CE2" s="35" t="s">
        <v>12</v>
      </c>
      <c r="CF2" s="35" t="s">
        <v>13</v>
      </c>
      <c r="CG2" s="35" t="s">
        <v>14</v>
      </c>
      <c r="CH2" s="35" t="s">
        <v>15</v>
      </c>
      <c r="CI2" s="35" t="s">
        <v>16</v>
      </c>
      <c r="CJ2" s="35" t="s">
        <v>12</v>
      </c>
      <c r="CK2" s="35" t="s">
        <v>13</v>
      </c>
      <c r="CL2" s="35" t="s">
        <v>14</v>
      </c>
      <c r="CM2" s="35" t="s">
        <v>15</v>
      </c>
      <c r="CN2" s="35" t="s">
        <v>16</v>
      </c>
      <c r="CO2" s="35" t="s">
        <v>12</v>
      </c>
      <c r="CP2" s="35" t="s">
        <v>13</v>
      </c>
      <c r="CQ2" s="35" t="s">
        <v>14</v>
      </c>
      <c r="CR2" s="35" t="s">
        <v>15</v>
      </c>
      <c r="CS2" s="35" t="s">
        <v>16</v>
      </c>
      <c r="CT2" s="35" t="s">
        <v>12</v>
      </c>
      <c r="CU2" s="35" t="s">
        <v>13</v>
      </c>
      <c r="CV2" s="35" t="s">
        <v>14</v>
      </c>
      <c r="CW2" s="35" t="s">
        <v>15</v>
      </c>
      <c r="CX2" s="35" t="s">
        <v>16</v>
      </c>
      <c r="CY2" s="35" t="s">
        <v>12</v>
      </c>
      <c r="CZ2" s="35" t="s">
        <v>13</v>
      </c>
      <c r="DA2" s="35" t="s">
        <v>14</v>
      </c>
      <c r="DB2" s="35" t="s">
        <v>15</v>
      </c>
      <c r="DC2" s="35" t="s">
        <v>16</v>
      </c>
      <c r="DD2" s="35" t="s">
        <v>12</v>
      </c>
      <c r="DE2" s="35" t="s">
        <v>13</v>
      </c>
      <c r="DF2" s="35" t="s">
        <v>14</v>
      </c>
      <c r="DG2" s="35" t="s">
        <v>15</v>
      </c>
      <c r="DH2" s="35" t="s">
        <v>16</v>
      </c>
      <c r="DI2" s="35" t="s">
        <v>12</v>
      </c>
      <c r="DJ2" s="35" t="s">
        <v>13</v>
      </c>
      <c r="DK2" s="35" t="s">
        <v>14</v>
      </c>
      <c r="DL2" s="35" t="s">
        <v>15</v>
      </c>
      <c r="DM2" s="35" t="s">
        <v>16</v>
      </c>
      <c r="DN2" s="35" t="s">
        <v>12</v>
      </c>
      <c r="DO2" s="35" t="s">
        <v>13</v>
      </c>
      <c r="DP2" s="35" t="s">
        <v>14</v>
      </c>
      <c r="DQ2" s="35" t="s">
        <v>15</v>
      </c>
      <c r="DR2" s="35" t="s">
        <v>16</v>
      </c>
      <c r="DS2" s="36" t="s">
        <v>12</v>
      </c>
      <c r="DT2" s="36" t="s">
        <v>13</v>
      </c>
      <c r="DU2" s="36" t="s">
        <v>14</v>
      </c>
      <c r="DV2" s="36" t="s">
        <v>15</v>
      </c>
      <c r="DW2" s="36" t="s">
        <v>16</v>
      </c>
      <c r="DX2" s="36" t="s">
        <v>12</v>
      </c>
      <c r="DY2" s="36" t="s">
        <v>13</v>
      </c>
      <c r="DZ2" s="36" t="s">
        <v>14</v>
      </c>
      <c r="EA2" s="36" t="s">
        <v>15</v>
      </c>
      <c r="EB2" s="36" t="s">
        <v>16</v>
      </c>
      <c r="EC2" s="36" t="s">
        <v>12</v>
      </c>
      <c r="ED2" s="36" t="s">
        <v>13</v>
      </c>
      <c r="EE2" s="36" t="s">
        <v>14</v>
      </c>
      <c r="EF2" s="36" t="s">
        <v>15</v>
      </c>
      <c r="EG2" s="36" t="s">
        <v>16</v>
      </c>
      <c r="EH2" s="36" t="s">
        <v>12</v>
      </c>
      <c r="EI2" s="36" t="s">
        <v>13</v>
      </c>
      <c r="EJ2" s="36" t="s">
        <v>14</v>
      </c>
      <c r="EK2" s="36" t="s">
        <v>15</v>
      </c>
      <c r="EL2" s="36" t="s">
        <v>16</v>
      </c>
      <c r="EM2" s="36" t="s">
        <v>12</v>
      </c>
      <c r="EN2" s="36" t="s">
        <v>13</v>
      </c>
      <c r="EO2" s="36" t="s">
        <v>14</v>
      </c>
      <c r="EP2" s="36" t="s">
        <v>15</v>
      </c>
      <c r="EQ2" s="36" t="s">
        <v>16</v>
      </c>
      <c r="ER2" s="36" t="s">
        <v>12</v>
      </c>
      <c r="ES2" s="36" t="s">
        <v>13</v>
      </c>
      <c r="ET2" s="36" t="s">
        <v>14</v>
      </c>
      <c r="EU2" s="36" t="s">
        <v>15</v>
      </c>
      <c r="EV2" s="36" t="s">
        <v>16</v>
      </c>
      <c r="EW2" s="36" t="s">
        <v>12</v>
      </c>
      <c r="EX2" s="36" t="s">
        <v>13</v>
      </c>
      <c r="EY2" s="36" t="s">
        <v>14</v>
      </c>
      <c r="EZ2" s="36" t="s">
        <v>15</v>
      </c>
      <c r="FA2" s="36" t="s">
        <v>16</v>
      </c>
      <c r="FB2" s="1" t="s">
        <v>12</v>
      </c>
      <c r="FC2" s="1" t="s">
        <v>13</v>
      </c>
      <c r="FD2" s="1" t="s">
        <v>14</v>
      </c>
      <c r="FE2" s="1" t="s">
        <v>15</v>
      </c>
      <c r="FF2" s="1" t="s">
        <v>16</v>
      </c>
      <c r="FG2" s="1" t="s">
        <v>12</v>
      </c>
      <c r="FH2" s="1" t="s">
        <v>13</v>
      </c>
      <c r="FI2" s="1" t="s">
        <v>14</v>
      </c>
      <c r="FJ2" s="1" t="s">
        <v>15</v>
      </c>
      <c r="FK2" s="1" t="s">
        <v>16</v>
      </c>
      <c r="FL2" s="1" t="s">
        <v>12</v>
      </c>
      <c r="FM2" s="1" t="s">
        <v>13</v>
      </c>
      <c r="FN2" s="1" t="s">
        <v>14</v>
      </c>
      <c r="FO2" s="1" t="s">
        <v>15</v>
      </c>
      <c r="FP2" s="1" t="s">
        <v>16</v>
      </c>
      <c r="FQ2" s="1" t="s">
        <v>12</v>
      </c>
      <c r="FR2" s="1" t="s">
        <v>13</v>
      </c>
      <c r="FS2" s="1" t="s">
        <v>14</v>
      </c>
      <c r="FT2" s="1" t="s">
        <v>15</v>
      </c>
      <c r="FU2" s="1" t="s">
        <v>16</v>
      </c>
      <c r="FV2" s="1" t="s">
        <v>12</v>
      </c>
      <c r="FW2" s="1" t="s">
        <v>13</v>
      </c>
      <c r="FX2" s="1" t="s">
        <v>14</v>
      </c>
      <c r="FY2" s="1" t="s">
        <v>15</v>
      </c>
      <c r="FZ2" s="1" t="s">
        <v>16</v>
      </c>
      <c r="GA2" s="1" t="s">
        <v>12</v>
      </c>
      <c r="GB2" s="1" t="s">
        <v>13</v>
      </c>
      <c r="GC2" s="1" t="s">
        <v>14</v>
      </c>
      <c r="GD2" s="1" t="s">
        <v>15</v>
      </c>
      <c r="GE2" s="1" t="s">
        <v>16</v>
      </c>
      <c r="GF2" s="1" t="s">
        <v>12</v>
      </c>
      <c r="GG2" s="1" t="s">
        <v>13</v>
      </c>
      <c r="GH2" s="1" t="s">
        <v>14</v>
      </c>
      <c r="GI2" s="1" t="s">
        <v>15</v>
      </c>
      <c r="GJ2" s="1" t="s">
        <v>16</v>
      </c>
      <c r="GK2" s="1" t="s">
        <v>12</v>
      </c>
      <c r="GL2" s="1" t="s">
        <v>13</v>
      </c>
      <c r="GM2" s="1" t="s">
        <v>14</v>
      </c>
      <c r="GN2" s="1" t="s">
        <v>15</v>
      </c>
      <c r="GO2" s="1" t="s">
        <v>16</v>
      </c>
      <c r="GP2" s="1" t="s">
        <v>12</v>
      </c>
      <c r="GQ2" s="1" t="s">
        <v>13</v>
      </c>
      <c r="GR2" s="1" t="s">
        <v>14</v>
      </c>
      <c r="GS2" s="1" t="s">
        <v>15</v>
      </c>
      <c r="GT2" s="1" t="s">
        <v>16</v>
      </c>
      <c r="GU2" s="1" t="s">
        <v>12</v>
      </c>
      <c r="GV2" s="1" t="s">
        <v>13</v>
      </c>
      <c r="GW2" s="1" t="s">
        <v>14</v>
      </c>
      <c r="GX2" s="1" t="s">
        <v>15</v>
      </c>
      <c r="GY2" s="1" t="s">
        <v>16</v>
      </c>
      <c r="GZ2" s="1" t="s">
        <v>12</v>
      </c>
      <c r="HA2" s="1" t="s">
        <v>13</v>
      </c>
      <c r="HB2" s="1" t="s">
        <v>14</v>
      </c>
      <c r="HC2" s="1" t="s">
        <v>15</v>
      </c>
      <c r="HD2" s="1" t="s">
        <v>16</v>
      </c>
      <c r="HE2" s="1" t="s">
        <v>12</v>
      </c>
      <c r="HF2" s="1" t="s">
        <v>13</v>
      </c>
      <c r="HG2" s="1" t="s">
        <v>14</v>
      </c>
      <c r="HH2" s="1" t="s">
        <v>15</v>
      </c>
      <c r="HI2" s="1" t="s">
        <v>16</v>
      </c>
      <c r="HJ2" s="1" t="s">
        <v>12</v>
      </c>
      <c r="HK2" s="1" t="s">
        <v>13</v>
      </c>
      <c r="HL2" s="1" t="s">
        <v>14</v>
      </c>
      <c r="HM2" s="1" t="s">
        <v>15</v>
      </c>
      <c r="HN2" s="1" t="s">
        <v>16</v>
      </c>
      <c r="HO2" s="1" t="s">
        <v>12</v>
      </c>
      <c r="HP2" s="1" t="s">
        <v>13</v>
      </c>
      <c r="HQ2" s="1" t="s">
        <v>14</v>
      </c>
      <c r="HR2" s="1" t="s">
        <v>15</v>
      </c>
      <c r="HS2" s="1" t="s">
        <v>16</v>
      </c>
      <c r="HT2" s="1" t="s">
        <v>12</v>
      </c>
      <c r="HU2" s="1" t="s">
        <v>13</v>
      </c>
      <c r="HV2" s="1" t="s">
        <v>14</v>
      </c>
      <c r="HW2" s="1" t="s">
        <v>15</v>
      </c>
      <c r="HX2" s="1" t="s">
        <v>16</v>
      </c>
      <c r="HY2" s="1" t="s">
        <v>12</v>
      </c>
      <c r="HZ2" s="1" t="s">
        <v>13</v>
      </c>
      <c r="IA2" s="1" t="s">
        <v>14</v>
      </c>
      <c r="IB2" s="1" t="s">
        <v>15</v>
      </c>
      <c r="IC2" s="1" t="s">
        <v>16</v>
      </c>
      <c r="ID2" s="1" t="s">
        <v>12</v>
      </c>
      <c r="IE2" s="1" t="s">
        <v>13</v>
      </c>
      <c r="IF2" s="1" t="s">
        <v>14</v>
      </c>
      <c r="IG2" s="1" t="s">
        <v>15</v>
      </c>
      <c r="IH2" s="1" t="s">
        <v>16</v>
      </c>
      <c r="II2" s="1" t="s">
        <v>12</v>
      </c>
      <c r="IJ2" s="1" t="s">
        <v>13</v>
      </c>
      <c r="IK2" s="1" t="s">
        <v>14</v>
      </c>
      <c r="IL2" s="1" t="s">
        <v>15</v>
      </c>
      <c r="IM2" s="1" t="s">
        <v>16</v>
      </c>
      <c r="IN2" s="1" t="s">
        <v>12</v>
      </c>
      <c r="IO2" s="1" t="s">
        <v>13</v>
      </c>
      <c r="IP2" s="1" t="s">
        <v>14</v>
      </c>
      <c r="IQ2" s="1" t="s">
        <v>15</v>
      </c>
      <c r="IR2" s="1" t="s">
        <v>16</v>
      </c>
      <c r="IS2" s="1" t="s">
        <v>12</v>
      </c>
      <c r="IT2" s="1" t="s">
        <v>13</v>
      </c>
      <c r="IU2" s="1" t="s">
        <v>14</v>
      </c>
      <c r="IV2" s="1" t="s">
        <v>15</v>
      </c>
      <c r="IW2" s="1" t="s">
        <v>16</v>
      </c>
      <c r="IX2" s="1" t="s">
        <v>12</v>
      </c>
      <c r="IY2" s="1" t="s">
        <v>13</v>
      </c>
      <c r="IZ2" s="1" t="s">
        <v>14</v>
      </c>
      <c r="JA2" s="1" t="s">
        <v>15</v>
      </c>
      <c r="JB2" s="1" t="s">
        <v>16</v>
      </c>
      <c r="JC2" s="26" t="s">
        <v>17</v>
      </c>
      <c r="JD2" s="26" t="s">
        <v>18</v>
      </c>
      <c r="JE2" s="26" t="s">
        <v>118</v>
      </c>
      <c r="JF2" s="26" t="s">
        <v>119</v>
      </c>
      <c r="JG2" s="26" t="s">
        <v>120</v>
      </c>
      <c r="JH2" s="26" t="s">
        <v>121</v>
      </c>
      <c r="JI2" s="26" t="s">
        <v>122</v>
      </c>
      <c r="JJ2" s="26" t="s">
        <v>123</v>
      </c>
      <c r="JK2" s="26" t="s">
        <v>124</v>
      </c>
      <c r="JL2" s="26" t="s">
        <v>125</v>
      </c>
      <c r="JM2" s="26" t="s">
        <v>126</v>
      </c>
      <c r="JN2" s="26" t="s">
        <v>127</v>
      </c>
      <c r="JO2" s="26" t="s">
        <v>128</v>
      </c>
      <c r="JP2" s="26" t="s">
        <v>129</v>
      </c>
      <c r="JQ2" s="26" t="s">
        <v>130</v>
      </c>
      <c r="JR2" s="26" t="s">
        <v>131</v>
      </c>
      <c r="JS2" s="26" t="s">
        <v>12</v>
      </c>
      <c r="JT2" s="26" t="s">
        <v>133</v>
      </c>
      <c r="JU2" s="42"/>
      <c r="JV2" s="48"/>
      <c r="JW2" s="48"/>
      <c r="JX2" s="48"/>
      <c r="JY2" s="57"/>
    </row>
    <row r="3" spans="1:285" x14ac:dyDescent="0.25">
      <c r="A3" s="55">
        <v>1</v>
      </c>
      <c r="B3" s="30" t="s">
        <v>19</v>
      </c>
      <c r="C3" s="25">
        <v>152111001</v>
      </c>
      <c r="D3" s="25" t="s">
        <v>137</v>
      </c>
      <c r="E3" s="27" t="s">
        <v>158</v>
      </c>
      <c r="F3" s="27" t="s">
        <v>219</v>
      </c>
      <c r="G3" s="2" t="s">
        <v>222</v>
      </c>
      <c r="H3" s="9">
        <v>79.300000000000011</v>
      </c>
      <c r="I3" s="10" t="str">
        <f>IF(H3&gt;=80,"A",IF(H3&gt;=75,"B+",IF(H3&gt;=70,"B",IF(H3&gt;=65,"C+",IF(H3&gt;=60,"C",IF(H3&gt;=55,"D",IF(H3&lt;54,"E")))))))</f>
        <v>B+</v>
      </c>
      <c r="J3" s="1">
        <f t="shared" ref="J3:J19" si="0">IF(I3="A",4,IF(I3="B+",3.5,IF(I3="B",3,IF(I3="C+",2.5,IF(I3="C",2,IF(I3="D",1,0))))))</f>
        <v>3.5</v>
      </c>
      <c r="K3" s="10">
        <v>2</v>
      </c>
      <c r="L3" s="1">
        <f>J3*K3</f>
        <v>7</v>
      </c>
      <c r="M3" s="11">
        <v>73.25</v>
      </c>
      <c r="N3" s="10" t="str">
        <f>IF(M3&gt;=80,"A",IF(M3&gt;=75,"B+",IF(M3&gt;=70,"B",IF(M3&gt;=65,"C+",IF(M3&gt;=60,"C",IF(M3&gt;=55,"D",IF(M3&lt;54,"E")))))))</f>
        <v>B</v>
      </c>
      <c r="O3" s="1">
        <f t="shared" ref="O3:O19" si="1">IF(N3="A",4,IF(N3="B+",3.5,IF(N3="B",3,IF(N3="C+",2.5,IF(N3="C",2,IF(N3="D",1,0))))))</f>
        <v>3</v>
      </c>
      <c r="P3" s="10">
        <v>3</v>
      </c>
      <c r="Q3" s="1">
        <f>O3*P3</f>
        <v>9</v>
      </c>
      <c r="R3" s="31">
        <v>72.508333333333326</v>
      </c>
      <c r="S3" s="10" t="str">
        <f>IF(R3&gt;=80,"A",IF(R3&gt;=75,"B+",IF(R3&gt;=70,"B",IF(R3&gt;=65,"C+",IF(R3&gt;=60,"C",IF(R3&gt;=55,"D",IF(R3&lt;54,"E")))))))</f>
        <v>B</v>
      </c>
      <c r="T3" s="1">
        <f t="shared" ref="T3:T19" si="2">IF(S3="A",4,IF(S3="B+",3.5,IF(S3="B",3,IF(S3="C+",2.5,IF(S3="C",2,IF(S3="D",1,0))))))</f>
        <v>3</v>
      </c>
      <c r="U3" s="10">
        <v>4</v>
      </c>
      <c r="V3" s="1">
        <f>T3*U3</f>
        <v>12</v>
      </c>
      <c r="W3" s="4">
        <v>80.849999999999994</v>
      </c>
      <c r="X3" s="10" t="str">
        <f>IF(W3&gt;=80,"A",IF(W3&gt;=75,"B+",IF(W3&gt;=70,"B",IF(W3&gt;=65,"C+",IF(W3&gt;=60,"C",IF(W3&gt;=55,"D",IF(W3&lt;54,"E")))))))</f>
        <v>A</v>
      </c>
      <c r="Y3" s="1">
        <f t="shared" ref="Y3:Y19" si="3">IF(X3="A",4,IF(X3="B+",3.5,IF(X3="B",3,IF(X3="C+",2.5,IF(X3="C",2,IF(X3="D",1,0))))))</f>
        <v>4</v>
      </c>
      <c r="Z3" s="10">
        <v>2</v>
      </c>
      <c r="AA3" s="1">
        <f>Y3*Z3</f>
        <v>8</v>
      </c>
      <c r="AB3" s="12">
        <v>62.25</v>
      </c>
      <c r="AC3" s="10" t="str">
        <f>IF(AB3&gt;=80,"A",IF(AB3&gt;=75,"B+",IF(AB3&gt;=70,"B",IF(AB3&gt;=65,"C+",IF(AB3&gt;=60,"C",IF(AB3&gt;=55,"D",IF(AB3&lt;54,"E")))))))</f>
        <v>C</v>
      </c>
      <c r="AD3" s="1">
        <f t="shared" ref="AD3:AD19" si="4">IF(AC3="A",4,IF(AC3="B+",3.5,IF(AC3="B",3,IF(AC3="C+",2.5,IF(AC3="C",2,IF(AC3="D",1,0))))))</f>
        <v>2</v>
      </c>
      <c r="AE3" s="10">
        <v>4</v>
      </c>
      <c r="AF3" s="1">
        <f>AD3*AE3</f>
        <v>8</v>
      </c>
      <c r="AG3" s="12">
        <v>82.05</v>
      </c>
      <c r="AH3" s="10" t="str">
        <f>IF(AG3&gt;=80,"A",IF(AG3&gt;=75,"B+",IF(AG3&gt;=70,"B",IF(AG3&gt;=65,"C+",IF(AG3&gt;=60,"C",IF(AG3&gt;=55,"D",IF(AG3&lt;54,"E")))))))</f>
        <v>A</v>
      </c>
      <c r="AI3" s="1">
        <f t="shared" ref="AI3:AI19" si="5">IF(AH3="A",4,IF(AH3="B+",3.5,IF(AH3="B",3,IF(AH3="C+",2.5,IF(AH3="C",2,IF(AH3="D",1,0))))))</f>
        <v>4</v>
      </c>
      <c r="AJ3" s="10">
        <v>4</v>
      </c>
      <c r="AK3" s="1">
        <f>AI3*AJ3</f>
        <v>16</v>
      </c>
      <c r="AL3" s="13">
        <v>77.033333333333331</v>
      </c>
      <c r="AM3" s="10" t="str">
        <f>IF(AL3&gt;=80,"A",IF(AL3&gt;=75,"B+",IF(AL3&gt;=70,"B",IF(AL3&gt;=65,"C+",IF(AL3&gt;=60,"C",IF(AL3&gt;=55,"D",IF(AL3&lt;54,"E")))))))</f>
        <v>B+</v>
      </c>
      <c r="AN3" s="1">
        <f t="shared" ref="AN3:AN19" si="6">IF(AM3="A",4,IF(AM3="B+",3.5,IF(AM3="B",3,IF(AM3="C+",2.5,IF(AM3="C",2,IF(AM3="D",1,0))))))</f>
        <v>3.5</v>
      </c>
      <c r="AO3" s="10">
        <v>3</v>
      </c>
      <c r="AP3" s="1">
        <f>AN3*AO3</f>
        <v>10.5</v>
      </c>
      <c r="AQ3" s="12">
        <v>83.6</v>
      </c>
      <c r="AR3" s="10" t="str">
        <f>IF(AQ3&gt;=80,"A",IF(AQ3&gt;=75,"B+",IF(AQ3&gt;=70,"B",IF(AQ3&gt;=65,"C+",IF(AQ3&gt;=60,"C",IF(AQ3&gt;=55,"D",IF(AQ3&lt;54,"E")))))))</f>
        <v>A</v>
      </c>
      <c r="AS3" s="1">
        <f t="shared" ref="AS3:AS35" si="7">IF(AR3="A",4,IF(AR3="B+",3.5,IF(AR3="B",3,IF(AR3="C+",2.5,IF(AR3="C",2,IF(AR3="D",1,0))))))</f>
        <v>4</v>
      </c>
      <c r="AT3" s="10">
        <v>3</v>
      </c>
      <c r="AU3" s="1">
        <f>AS3*AT3</f>
        <v>12</v>
      </c>
      <c r="AV3" s="11">
        <v>70</v>
      </c>
      <c r="AW3" s="10" t="str">
        <f>IF(AV3&gt;=80,"A",IF(AV3&gt;=75,"B+",IF(AV3&gt;=70,"B",IF(AV3&gt;=65,"C+",IF(AV3&gt;=60,"C",IF(AV3&gt;=55,"D",IF(AV3&lt;54,"E")))))))</f>
        <v>B</v>
      </c>
      <c r="AX3" s="1">
        <f t="shared" ref="AX3:AX35" si="8">IF(AW3="A",4,IF(AW3="B+",3.5,IF(AW3="B",3,IF(AW3="C+",2.5,IF(AW3="C",2,IF(AW3="D",1,0))))))</f>
        <v>3</v>
      </c>
      <c r="AY3" s="10">
        <v>2</v>
      </c>
      <c r="AZ3" s="1">
        <f>AX3*AY3</f>
        <v>6</v>
      </c>
      <c r="BA3" s="12">
        <v>80.900000000000006</v>
      </c>
      <c r="BB3" s="10" t="str">
        <f>IF(BA3&gt;=80,"A",IF(BA3&gt;=75,"B+",IF(BA3&gt;=70,"B",IF(BA3&gt;=65,"C+",IF(BA3&gt;=60,"C",IF(BA3&gt;=55,"D",IF(BA3&lt;54,"E")))))))</f>
        <v>A</v>
      </c>
      <c r="BC3" s="1">
        <f t="shared" ref="BC3:BC35" si="9">IF(BB3="A",4,IF(BB3="B+",3.5,IF(BB3="B",3,IF(BB3="C+",2.5,IF(BB3="C",2,IF(BB3="D",1,0))))))</f>
        <v>4</v>
      </c>
      <c r="BD3" s="10">
        <v>2</v>
      </c>
      <c r="BE3" s="1">
        <f>BC3*BD3</f>
        <v>8</v>
      </c>
      <c r="BF3" s="14">
        <v>77.8</v>
      </c>
      <c r="BG3" s="10" t="str">
        <f>IF(BF3&gt;=80,"A",IF(BF3&gt;=75,"B+",IF(BF3&gt;=70,"B",IF(BF3&gt;=65,"C+",IF(BF3&gt;=60,"C",IF(BF3&gt;=55,"D",IF(BF3&lt;54,"E")))))))</f>
        <v>B+</v>
      </c>
      <c r="BH3" s="1">
        <f t="shared" ref="BH3:BH35" si="10">IF(BG3="A",4,IF(BG3="B+",3.5,IF(BG3="B",3,IF(BG3="C+",2.5,IF(BG3="C",2,IF(BG3="D",1,0))))))</f>
        <v>3.5</v>
      </c>
      <c r="BI3" s="10">
        <v>3</v>
      </c>
      <c r="BJ3" s="1">
        <f>BH3*BI3</f>
        <v>10.5</v>
      </c>
      <c r="BK3" s="15">
        <v>80</v>
      </c>
      <c r="BL3" s="10" t="str">
        <f>IF(BK3&gt;=80,"A",IF(BK3&gt;=75,"B+",IF(BK3&gt;=70,"B",IF(BK3&gt;=65,"C+",IF(BK3&gt;=60,"C",IF(BK3&gt;=55,"D",IF(BK3&lt;54,"E")))))))</f>
        <v>A</v>
      </c>
      <c r="BM3" s="1">
        <f t="shared" ref="BM3:BM35" si="11">IF(BL3="A",4,IF(BL3="B+",3.5,IF(BL3="B",3,IF(BL3="C+",2.5,IF(BL3="C",2,IF(BL3="D",1,0))))))</f>
        <v>4</v>
      </c>
      <c r="BN3" s="10">
        <v>2</v>
      </c>
      <c r="BO3" s="1">
        <f>BM3*BN3</f>
        <v>8</v>
      </c>
      <c r="BP3" s="12">
        <v>69.75</v>
      </c>
      <c r="BQ3" s="10" t="str">
        <f>IF(BP3&gt;=80,"A",IF(BP3&gt;=75,"B+",IF(BP3&gt;=70,"B",IF(BP3&gt;=65,"C+",IF(BP3&gt;=60,"C",IF(BP3&gt;=55,"D",IF(BP3&lt;54,"E")))))))</f>
        <v>C+</v>
      </c>
      <c r="BR3" s="1">
        <f t="shared" ref="BR3:BR35" si="12">IF(BQ3="A",4,IF(BQ3="B+",3.5,IF(BQ3="B",3,IF(BQ3="C+",2.5,IF(BQ3="C",2,IF(BQ3="D",1,0))))))</f>
        <v>2.5</v>
      </c>
      <c r="BS3" s="10">
        <v>2</v>
      </c>
      <c r="BT3" s="1">
        <f>BR3*BS3</f>
        <v>5</v>
      </c>
      <c r="BU3" s="4">
        <v>73.3</v>
      </c>
      <c r="BV3" s="10" t="str">
        <f>IF(BU3&gt;=80,"A",IF(BU3&gt;=75,"B+",IF(BU3&gt;=70,"B",IF(BU3&gt;=65,"C+",IF(BU3&gt;=60,"C",IF(BU3&gt;=55,"D",IF(BU3&lt;54,"E")))))))</f>
        <v>B</v>
      </c>
      <c r="BW3" s="1">
        <f t="shared" ref="BW3:BW35" si="13">IF(BV3="A",4,IF(BV3="B+",3.5,IF(BV3="B",3,IF(BV3="C+",2.5,IF(BV3="C",2,IF(BV3="D",1,0))))))</f>
        <v>3</v>
      </c>
      <c r="BX3" s="10">
        <v>3</v>
      </c>
      <c r="BY3" s="1">
        <f>BW3*BX3</f>
        <v>9</v>
      </c>
      <c r="BZ3" s="13">
        <v>68.433333333333337</v>
      </c>
      <c r="CA3" s="10" t="str">
        <f>IF(BZ3&gt;=80,"A",IF(BZ3&gt;=75,"B+",IF(BZ3&gt;=70,"B",IF(BZ3&gt;=65,"C+",IF(BZ3&gt;=60,"C",IF(BZ3&gt;=55,"D",IF(BZ3&lt;54,"E")))))))</f>
        <v>C+</v>
      </c>
      <c r="CB3" s="1">
        <f t="shared" ref="CB3:CB35" si="14">IF(CA3="A",4,IF(CA3="B+",3.5,IF(CA3="B",3,IF(CA3="C+",2.5,IF(CA3="C",2,IF(CA3="D",1,0))))))</f>
        <v>2.5</v>
      </c>
      <c r="CC3" s="10">
        <v>2</v>
      </c>
      <c r="CD3" s="1">
        <f>CB3*CC3</f>
        <v>5</v>
      </c>
      <c r="CE3" s="19">
        <v>78.849999999999994</v>
      </c>
      <c r="CF3" s="10" t="str">
        <f>IF(CE3&gt;=80,"A",IF(CE3&gt;=75,"B+",IF(CE3&gt;=70,"B",IF(CE3&gt;=65,"C+",IF(CE3&gt;=60,"C",IF(CE3&gt;=55,"D",IF(CE3&lt;54,"E")))))))</f>
        <v>B+</v>
      </c>
      <c r="CG3" s="1">
        <f t="shared" ref="CG3:CG35" si="15">IF(CF3="A",4,IF(CF3="B+",3.5,IF(CF3="B",3,IF(CF3="C+",2.5,IF(CF3="C",2,IF(CF3="D",1,0))))))</f>
        <v>3.5</v>
      </c>
      <c r="CH3" s="10">
        <v>4</v>
      </c>
      <c r="CI3" s="1">
        <f>CG3*CH3</f>
        <v>14</v>
      </c>
      <c r="CJ3" s="16">
        <v>73.599999999999994</v>
      </c>
      <c r="CK3" s="10" t="str">
        <f>IF(CJ3&gt;=80,"A",IF(CJ3&gt;=75,"B+",IF(CJ3&gt;=70,"B",IF(CJ3&gt;=65,"C+",IF(CJ3&gt;=60,"C",IF(CJ3&gt;=55,"D",IF(CJ3&lt;54,"E")))))))</f>
        <v>B</v>
      </c>
      <c r="CL3" s="1">
        <f t="shared" ref="CL3:CL35" si="16">IF(CK3="A",4,IF(CK3="B+",3.5,IF(CK3="B",3,IF(CK3="C+",2.5,IF(CK3="C",2,IF(CK3="D",1,0))))))</f>
        <v>3</v>
      </c>
      <c r="CM3" s="10">
        <v>4</v>
      </c>
      <c r="CN3" s="1">
        <f>CL3*CM3</f>
        <v>12</v>
      </c>
      <c r="CO3" s="19">
        <v>78.05</v>
      </c>
      <c r="CP3" s="10" t="str">
        <f>IF(CO3&gt;=80,"A",IF(CO3&gt;=75,"B+",IF(CO3&gt;=70,"B",IF(CO3&gt;=65,"C+",IF(CO3&gt;=60,"C",IF(CO3&gt;=55,"D",IF(CO3&lt;54,"E")))))))</f>
        <v>B+</v>
      </c>
      <c r="CQ3" s="1">
        <f t="shared" ref="CQ3:CQ35" si="17">IF(CP3="A",4,IF(CP3="B+",3.5,IF(CP3="B",3,IF(CP3="C+",2.5,IF(CP3="C",2,IF(CP3="D",1,0))))))</f>
        <v>3.5</v>
      </c>
      <c r="CR3" s="10">
        <v>3</v>
      </c>
      <c r="CS3" s="1">
        <f>CQ3*CR3</f>
        <v>10.5</v>
      </c>
      <c r="CT3" s="17">
        <v>73.600571428571442</v>
      </c>
      <c r="CU3" s="10" t="str">
        <f>IF(CT3&gt;=80,"A",IF(CT3&gt;=75,"B+",IF(CT3&gt;=70,"B",IF(CT3&gt;=65,"C+",IF(CT3&gt;=60,"C",IF(CT3&gt;=55,"D",IF(CT3&lt;54,"E")))))))</f>
        <v>B</v>
      </c>
      <c r="CV3" s="1">
        <f t="shared" ref="CV3:CV35" si="18">IF(CU3="A",4,IF(CU3="B+",3.5,IF(CU3="B",3,IF(CU3="C+",2.5,IF(CU3="C",2,IF(CU3="D",1,0))))))</f>
        <v>3</v>
      </c>
      <c r="CW3" s="10">
        <v>2</v>
      </c>
      <c r="CX3" s="1">
        <f>CV3*CW3</f>
        <v>6</v>
      </c>
      <c r="CY3" s="18">
        <v>76.174999999999997</v>
      </c>
      <c r="CZ3" s="10" t="str">
        <f>IF(CY3&gt;=80,"A",IF(CY3&gt;=75,"B+",IF(CY3&gt;=70,"B",IF(CY3&gt;=65,"C+",IF(CY3&gt;=60,"C",IF(CY3&gt;=55,"D",IF(CY3&lt;54,"E")))))))</f>
        <v>B+</v>
      </c>
      <c r="DA3" s="1">
        <f t="shared" ref="DA3:DA35" si="19">IF(CZ3="A",4,IF(CZ3="B+",3.5,IF(CZ3="B",3,IF(CZ3="C+",2.5,IF(CZ3="C",2,IF(CZ3="D",1,0))))))</f>
        <v>3.5</v>
      </c>
      <c r="DB3" s="10">
        <v>2</v>
      </c>
      <c r="DC3" s="1">
        <f>DA3*DB3</f>
        <v>7</v>
      </c>
      <c r="DD3" s="19">
        <v>84.4</v>
      </c>
      <c r="DE3" s="10" t="str">
        <f>IF(DD3&gt;=80,"A",IF(DD3&gt;=75,"B+",IF(DD3&gt;=70,"B",IF(DD3&gt;=65,"C+",IF(DD3&gt;=60,"C",IF(DD3&gt;=55,"D",IF(DD3&lt;54,"E")))))))</f>
        <v>A</v>
      </c>
      <c r="DF3" s="1">
        <f t="shared" ref="DF3:DF35" si="20">IF(DE3="A",4,IF(DE3="B+",3.5,IF(DE3="B",3,IF(DE3="C+",2.5,IF(DE3="C",2,IF(DE3="D",1,0))))))</f>
        <v>4</v>
      </c>
      <c r="DG3" s="10">
        <v>2</v>
      </c>
      <c r="DH3" s="1">
        <f>DF3*DG3</f>
        <v>8</v>
      </c>
      <c r="DI3" s="5">
        <v>82</v>
      </c>
      <c r="DJ3" s="10" t="str">
        <f>IF(DI3&gt;=80,"A",IF(DI3&gt;=75,"B+",IF(DI3&gt;=70,"B",IF(DI3&gt;=65,"C+",IF(DI3&gt;=60,"C",IF(DI3&gt;=55,"D",IF(DI3&lt;54,"E")))))))</f>
        <v>A</v>
      </c>
      <c r="DK3" s="1">
        <f t="shared" ref="DK3:DK35" si="21">IF(DJ3="A",4,IF(DJ3="B+",3.5,IF(DJ3="B",3,IF(DJ3="C+",2.5,IF(DJ3="C",2,IF(DJ3="D",1,0))))))</f>
        <v>4</v>
      </c>
      <c r="DL3" s="10">
        <v>2</v>
      </c>
      <c r="DM3" s="1">
        <f>DK3*DL3</f>
        <v>8</v>
      </c>
      <c r="DN3" s="20">
        <v>75</v>
      </c>
      <c r="DO3" s="10" t="str">
        <f>IF(DN3&gt;=80,"A",IF(DN3&gt;=75,"B+",IF(DN3&gt;=70,"B",IF(DN3&gt;=65,"C+",IF(DN3&gt;=60,"C",IF(DN3&gt;=55,"D",IF(DN3&lt;54,"E")))))))</f>
        <v>B+</v>
      </c>
      <c r="DP3" s="1">
        <f t="shared" ref="DP3:DP35" si="22">IF(DO3="A",4,IF(DO3="B+",3.5,IF(DO3="B",3,IF(DO3="C+",2.5,IF(DO3="C",2,IF(DO3="D",1,0))))))</f>
        <v>3.5</v>
      </c>
      <c r="DQ3" s="10">
        <v>2</v>
      </c>
      <c r="DR3" s="1">
        <f>DP3*DQ3</f>
        <v>7</v>
      </c>
      <c r="DS3" s="19">
        <v>77.25</v>
      </c>
      <c r="DT3" s="10" t="str">
        <f>IF(DS3&gt;=80,"A",IF(DS3&gt;=75,"B+",IF(DS3&gt;=70,"B",IF(DS3&gt;=65,"C+",IF(DS3&gt;=60,"C",IF(DS3&gt;=55,"D",IF(DS3&lt;54,"E")))))))</f>
        <v>B+</v>
      </c>
      <c r="DU3" s="1">
        <f t="shared" ref="DU3:DU35" si="23">IF(DT3="A",4,IF(DT3="B+",3.5,IF(DT3="B",3,IF(DT3="C+",2.5,IF(DT3="C",2,IF(DT3="D",1,0))))))</f>
        <v>3.5</v>
      </c>
      <c r="DV3" s="10">
        <v>4</v>
      </c>
      <c r="DW3" s="1">
        <f>DU3*DV3</f>
        <v>14</v>
      </c>
      <c r="DX3" s="4">
        <v>76</v>
      </c>
      <c r="DY3" s="10" t="str">
        <f>IF(DX3&gt;=80,"A",IF(DX3&gt;=75,"B+",IF(DX3&gt;=70,"B",IF(DX3&gt;=65,"C+",IF(DX3&gt;=60,"C",IF(DX3&gt;=55,"D",IF(DX3&lt;54,"E")))))))</f>
        <v>B+</v>
      </c>
      <c r="DZ3" s="1">
        <f t="shared" ref="DZ3:DZ35" si="24">IF(DY3="A",4,IF(DY3="B+",3.5,IF(DY3="B",3,IF(DY3="C+",2.5,IF(DY3="C",2,IF(DY3="D",1,0))))))</f>
        <v>3.5</v>
      </c>
      <c r="EA3" s="10">
        <v>3</v>
      </c>
      <c r="EB3" s="1">
        <f>DZ3*EA3</f>
        <v>10.5</v>
      </c>
      <c r="EC3" s="19">
        <v>73.25</v>
      </c>
      <c r="ED3" s="10" t="str">
        <f>IF(EC3&gt;=80,"A",IF(EC3&gt;=75,"B+",IF(EC3&gt;=70,"B",IF(EC3&gt;=65,"C+",IF(EC3&gt;=60,"C",IF(EC3&gt;=55,"D",IF(EC3&lt;54,"E")))))))</f>
        <v>B</v>
      </c>
      <c r="EE3" s="1">
        <f t="shared" ref="EE3:EE35" si="25">IF(ED3="A",4,IF(ED3="B+",3.5,IF(ED3="B",3,IF(ED3="C+",2.5,IF(ED3="C",2,IF(ED3="D",1,0))))))</f>
        <v>3</v>
      </c>
      <c r="EF3" s="10">
        <v>3</v>
      </c>
      <c r="EG3" s="1">
        <f>EE3*EF3</f>
        <v>9</v>
      </c>
      <c r="EH3" s="6">
        <v>78.900000000000006</v>
      </c>
      <c r="EI3" s="10" t="str">
        <f>IF(EH3&gt;=80,"A",IF(EH3&gt;=75,"B+",IF(EH3&gt;=70,"B",IF(EH3&gt;=65,"C+",IF(EH3&gt;=60,"C",IF(EH3&gt;=55,"D",IF(EH3&lt;54,"E")))))))</f>
        <v>B+</v>
      </c>
      <c r="EJ3" s="1">
        <f t="shared" ref="EJ3:EJ35" si="26">IF(EI3="A",4,IF(EI3="B+",3.5,IF(EI3="B",3,IF(EI3="C+",2.5,IF(EI3="C",2,IF(EI3="D",1,0))))))</f>
        <v>3.5</v>
      </c>
      <c r="EK3" s="10">
        <v>3</v>
      </c>
      <c r="EL3" s="1">
        <f>EJ3*EK3</f>
        <v>10.5</v>
      </c>
      <c r="EM3" s="18">
        <v>68.814444444444447</v>
      </c>
      <c r="EN3" s="10" t="str">
        <f>IF(EM3&gt;=80,"A",IF(EM3&gt;=75,"B+",IF(EM3&gt;=70,"B",IF(EM3&gt;=65,"C+",IF(EM3&gt;=60,"C",IF(EM3&gt;=55,"D",IF(EM3&lt;54,"E")))))))</f>
        <v>C+</v>
      </c>
      <c r="EO3" s="1">
        <f t="shared" ref="EO3:EO35" si="27">IF(EN3="A",4,IF(EN3="B+",3.5,IF(EN3="B",3,IF(EN3="C+",2.5,IF(EN3="C",2,IF(EN3="D",1,0))))))</f>
        <v>2.5</v>
      </c>
      <c r="EP3" s="10">
        <v>3</v>
      </c>
      <c r="EQ3" s="1">
        <f>EO3*EP3</f>
        <v>7.5</v>
      </c>
      <c r="ER3" s="7">
        <v>78.099999999999994</v>
      </c>
      <c r="ES3" s="10" t="str">
        <f>IF(ER3&gt;=80,"A",IF(ER3&gt;=75,"B+",IF(ER3&gt;=70,"B",IF(ER3&gt;=65,"C+",IF(ER3&gt;=60,"C",IF(ER3&gt;=55,"D",IF(ER3&lt;54,"E")))))))</f>
        <v>B+</v>
      </c>
      <c r="ET3" s="1">
        <f t="shared" ref="ET3:ET35" si="28">IF(ES3="A",4,IF(ES3="B+",3.5,IF(ES3="B",3,IF(ES3="C+",2.5,IF(ES3="C",2,IF(ES3="D",1,0))))))</f>
        <v>3.5</v>
      </c>
      <c r="EU3" s="10">
        <v>2</v>
      </c>
      <c r="EV3" s="1">
        <f>ET3*EU3</f>
        <v>7</v>
      </c>
      <c r="EW3" s="5">
        <v>81</v>
      </c>
      <c r="EX3" s="10" t="str">
        <f>IF(EW3&gt;=80,"A",IF(EW3&gt;=75,"B+",IF(EW3&gt;=70,"B",IF(EW3&gt;=65,"C+",IF(EW3&gt;=60,"C",IF(EW3&gt;=55,"D",IF(EW3&lt;54,"E")))))))</f>
        <v>A</v>
      </c>
      <c r="EY3" s="1">
        <f t="shared" ref="EY3:EY35" si="29">IF(EX3="A",4,IF(EX3="B+",3.5,IF(EX3="B",3,IF(EX3="C+",2.5,IF(EX3="C",2,IF(EX3="D",1,0))))))</f>
        <v>4</v>
      </c>
      <c r="EZ3" s="10">
        <v>3</v>
      </c>
      <c r="FA3" s="1">
        <f>EY3*EZ3</f>
        <v>12</v>
      </c>
      <c r="FB3" s="19">
        <v>74</v>
      </c>
      <c r="FC3" s="10" t="str">
        <f>IF(FB3&gt;=80,"A",IF(FB3&gt;=75,"B+",IF(FB3&gt;=70,"B",IF(FB3&gt;=65,"C+",IF(FB3&gt;=60,"C",IF(FB3&gt;=55,"D",IF(FB3&lt;54,"E")))))))</f>
        <v>B</v>
      </c>
      <c r="FD3" s="1">
        <f t="shared" ref="FD3:FD35" si="30">IF(FC3="A",4,IF(FC3="B+",3.5,IF(FC3="B",3,IF(FC3="C+",2.5,IF(FC3="C",2,IF(FC3="D",1,0))))))</f>
        <v>3</v>
      </c>
      <c r="FE3" s="10">
        <v>2</v>
      </c>
      <c r="FF3" s="1">
        <f>FD3*FE3</f>
        <v>6</v>
      </c>
      <c r="FG3" s="5">
        <v>68.5</v>
      </c>
      <c r="FH3" s="10" t="str">
        <f>IF(FG3&gt;=80,"A",IF(FG3&gt;=75,"B+",IF(FG3&gt;=70,"B",IF(FG3&gt;=65,"C+",IF(FG3&gt;=60,"C",IF(FG3&gt;=55,"D",IF(FG3&lt;54,"E")))))))</f>
        <v>C+</v>
      </c>
      <c r="FI3" s="1">
        <f t="shared" ref="FI3:FI35" si="31">IF(FH3="A",4,IF(FH3="B+",3.5,IF(FH3="B",3,IF(FH3="C+",2.5,IF(FH3="C",2,IF(FH3="D",1,0))))))</f>
        <v>2.5</v>
      </c>
      <c r="FJ3" s="10">
        <v>3</v>
      </c>
      <c r="FK3" s="1">
        <f>FI3*FJ3</f>
        <v>7.5</v>
      </c>
      <c r="FL3" s="19">
        <v>78.266666666666666</v>
      </c>
      <c r="FM3" s="10" t="str">
        <f>IF(FL3&gt;=80,"A",IF(FL3&gt;=75,"B+",IF(FL3&gt;=70,"B",IF(FL3&gt;=65,"C+",IF(FL3&gt;=60,"C",IF(FL3&gt;=55,"D",IF(FL3&lt;54,"E")))))))</f>
        <v>B+</v>
      </c>
      <c r="FN3" s="1">
        <f t="shared" ref="FN3:FN35" si="32">IF(FM3="A",4,IF(FM3="B+",3.5,IF(FM3="B",3,IF(FM3="C+",2.5,IF(FM3="C",2,IF(FM3="D",1,0))))))</f>
        <v>3.5</v>
      </c>
      <c r="FO3" s="10">
        <v>3</v>
      </c>
      <c r="FP3" s="1">
        <f>FN3*FO3</f>
        <v>10.5</v>
      </c>
      <c r="FQ3" s="6">
        <v>75.45</v>
      </c>
      <c r="FR3" s="10" t="str">
        <f>IF(FQ3&gt;=80,"A",IF(FQ3&gt;=75,"B+",IF(FQ3&gt;=70,"B",IF(FQ3&gt;=65,"C+",IF(FQ3&gt;=60,"C",IF(FQ3&gt;=55,"D",IF(FQ3&lt;54,"E")))))))</f>
        <v>B+</v>
      </c>
      <c r="FS3" s="1">
        <f>IF(FR3="A",4,IF(FR3="B+",3.5,IF(FR3="B",3,IF(FR3="C+",2.5,IF(FR3="C",2,IF(FR3="D",1,0))))))</f>
        <v>3.5</v>
      </c>
      <c r="FT3" s="10">
        <v>3</v>
      </c>
      <c r="FU3" s="1">
        <f>FS3*FT3</f>
        <v>10.5</v>
      </c>
      <c r="FV3" s="18">
        <v>74.3</v>
      </c>
      <c r="FW3" s="10" t="str">
        <f>IF(FV3&gt;=80,"A",IF(FV3&gt;=75,"B+",IF(FV3&gt;=70,"B",IF(FV3&gt;=65,"C+",IF(FV3&gt;=60,"C",IF(FV3&gt;=55,"D",IF(FV3&lt;54,"E")))))))</f>
        <v>B</v>
      </c>
      <c r="FX3" s="1">
        <f t="shared" ref="FX3:FX35" si="33">IF(FW3="A",4,IF(FW3="B+",3.5,IF(FW3="B",3,IF(FW3="C+",2.5,IF(FW3="C",2,IF(FW3="D",1,0))))))</f>
        <v>3</v>
      </c>
      <c r="FY3" s="10">
        <v>3</v>
      </c>
      <c r="FZ3" s="1">
        <f>FX3*FY3</f>
        <v>9</v>
      </c>
      <c r="GA3" s="7">
        <v>71.3</v>
      </c>
      <c r="GB3" s="10" t="str">
        <f>IF(GA3&gt;=80,"A",IF(GA3&gt;=75,"B+",IF(GA3&gt;=70,"B",IF(GA3&gt;=65,"C+",IF(GA3&gt;=60,"C",IF(GA3&gt;=55,"D",IF(GA3&lt;54,"E")))))))</f>
        <v>B</v>
      </c>
      <c r="GC3" s="1">
        <f t="shared" ref="GC3:GC35" si="34">IF(GB3="A",4,IF(GB3="B+",3.5,IF(GB3="B",3,IF(GB3="C+",2.5,IF(GB3="C",2,IF(GB3="D",1,0))))))</f>
        <v>3</v>
      </c>
      <c r="GD3" s="10">
        <v>2</v>
      </c>
      <c r="GE3" s="1">
        <f>GC3*GD3</f>
        <v>6</v>
      </c>
      <c r="GF3" s="5">
        <v>77</v>
      </c>
      <c r="GG3" s="10" t="str">
        <f>IF(GF3&gt;=80,"A",IF(GF3&gt;=75,"B+",IF(GF3&gt;=70,"B",IF(GF3&gt;=65,"C+",IF(GF3&gt;=60,"C",IF(GF3&gt;=55,"D",IF(GF3&lt;54,"E")))))))</f>
        <v>B+</v>
      </c>
      <c r="GH3" s="1">
        <f t="shared" ref="GH3:GH35" si="35">IF(GG3="A",4,IF(GG3="B+",3.5,IF(GG3="B",3,IF(GG3="C+",2.5,IF(GG3="C",2,IF(GG3="D",1,0))))))</f>
        <v>3.5</v>
      </c>
      <c r="GI3" s="10">
        <v>3</v>
      </c>
      <c r="GJ3" s="1">
        <f>GH3*GI3</f>
        <v>10.5</v>
      </c>
      <c r="GK3" s="5">
        <v>78.55</v>
      </c>
      <c r="GL3" s="10" t="str">
        <f>IF(GK3&gt;=80,"A",IF(GK3&gt;=75,"B+",IF(GK3&gt;=70,"B",IF(GK3&gt;=65,"C+",IF(GK3&gt;=60,"C",IF(GK3&gt;=55,"D",IF(GK3&lt;54,"E")))))))</f>
        <v>B+</v>
      </c>
      <c r="GM3" s="1">
        <f t="shared" ref="GM3:GM35" si="36">IF(GL3="A",4,IF(GL3="B+",3.5,IF(GL3="B",3,IF(GL3="C+",2.5,IF(GL3="C",2,IF(GL3="D",1,0))))))</f>
        <v>3.5</v>
      </c>
      <c r="GN3" s="10">
        <v>2</v>
      </c>
      <c r="GO3" s="1">
        <f>GM3*GN3</f>
        <v>7</v>
      </c>
      <c r="GP3" s="19">
        <v>75.150000000000006</v>
      </c>
      <c r="GQ3" s="10" t="str">
        <f>IF(GP3&gt;=80,"A",IF(GP3&gt;=75,"B+",IF(GP3&gt;=70,"B",IF(GP3&gt;=65,"C+",IF(GP3&gt;=60,"C",IF(GP3&gt;=55,"D",IF(GP3&lt;54,"E")))))))</f>
        <v>B+</v>
      </c>
      <c r="GR3" s="1">
        <f t="shared" ref="GR3:GR35" si="37">IF(GQ3="A",4,IF(GQ3="B+",3.5,IF(GQ3="B",3,IF(GQ3="C+",2.5,IF(GQ3="C",2,IF(GQ3="D",1,0))))))</f>
        <v>3.5</v>
      </c>
      <c r="GS3" s="10">
        <v>3</v>
      </c>
      <c r="GT3" s="1">
        <f>GR3*GS3</f>
        <v>10.5</v>
      </c>
      <c r="GU3" s="5">
        <v>75.099999999999994</v>
      </c>
      <c r="GV3" s="10" t="str">
        <f>IF(GU3&gt;=80,"A",IF(GU3&gt;=75,"B+",IF(GU3&gt;=70,"B",IF(GU3&gt;=65,"C+",IF(GU3&gt;=60,"C",IF(GU3&gt;=55,"D",IF(GU3&lt;54,"E")))))))</f>
        <v>B+</v>
      </c>
      <c r="GW3" s="1">
        <f t="shared" ref="GW3:GW35" si="38">IF(GV3="A",4,IF(GV3="B+",3.5,IF(GV3="B",3,IF(GV3="C+",2.5,IF(GV3="C",2,IF(GV3="D",1,0))))))</f>
        <v>3.5</v>
      </c>
      <c r="GX3" s="10">
        <v>4</v>
      </c>
      <c r="GY3" s="1">
        <f>GW3*GX3</f>
        <v>14</v>
      </c>
      <c r="GZ3" s="7">
        <v>74.25</v>
      </c>
      <c r="HA3" s="10" t="str">
        <f>IF(GZ3&gt;=80,"A",IF(GZ3&gt;=75,"B+",IF(GZ3&gt;=70,"B",IF(GZ3&gt;=65,"C+",IF(GZ3&gt;=60,"C",IF(GZ3&gt;=55,"D",IF(GZ3&lt;54,"E")))))))</f>
        <v>B</v>
      </c>
      <c r="HB3" s="1">
        <f>IF(HA3="A",4,IF(HA3="B+",3.5,IF(HA3="B",3,IF(HA3="C+",2.5,IF(HA3="C",2,IF(HA3="D",1,0))))))</f>
        <v>3</v>
      </c>
      <c r="HC3" s="10">
        <v>4</v>
      </c>
      <c r="HD3" s="1">
        <f>HB3*HC3</f>
        <v>12</v>
      </c>
      <c r="HE3" s="6">
        <v>72.900000000000006</v>
      </c>
      <c r="HF3" s="10" t="str">
        <f>IF(HE3&gt;=80,"A",IF(HE3&gt;=75,"B+",IF(HE3&gt;=70,"B",IF(HE3&gt;=65,"C+",IF(HE3&gt;=60,"C",IF(HE3&gt;=55,"D",IF(HE3&lt;54,"E")))))))</f>
        <v>B</v>
      </c>
      <c r="HG3" s="1">
        <f t="shared" ref="HG3:HG35" si="39">IF(HF3="A",4,IF(HF3="B+",3.5,IF(HF3="B",3,IF(HF3="C+",2.5,IF(HF3="C",2,IF(HF3="D",1,0))))))</f>
        <v>3</v>
      </c>
      <c r="HH3" s="10">
        <v>2</v>
      </c>
      <c r="HI3" s="1">
        <f>HG3*HH3</f>
        <v>6</v>
      </c>
      <c r="HJ3" s="18">
        <v>71.083333333333329</v>
      </c>
      <c r="HK3" s="10" t="str">
        <f>IF(HJ3&gt;=80,"A",IF(HJ3&gt;=75,"B+",IF(HJ3&gt;=70,"B",IF(HJ3&gt;=65,"C+",IF(HJ3&gt;=60,"C",IF(HJ3&gt;=55,"D",IF(HJ3&lt;54,"E")))))))</f>
        <v>B</v>
      </c>
      <c r="HL3" s="1">
        <f t="shared" ref="HL3:HL35" si="40">IF(HK3="A",4,IF(HK3="B+",3.5,IF(HK3="B",3,IF(HK3="C+",2.5,IF(HK3="C",2,IF(HK3="D",1,0))))))</f>
        <v>3</v>
      </c>
      <c r="HM3" s="10">
        <v>3</v>
      </c>
      <c r="HN3" s="1">
        <f>HL3*HM3</f>
        <v>9</v>
      </c>
      <c r="HO3" s="12">
        <v>79.75</v>
      </c>
      <c r="HP3" s="10" t="str">
        <f>IF(HO3&gt;=80,"A",IF(HO3&gt;=75,"B+",IF(HO3&gt;=70,"B",IF(HO3&gt;=65,"C+",IF(HO3&gt;=60,"C",IF(HO3&gt;=55,"D",IF(HO3&lt;54,"E")))))))</f>
        <v>B+</v>
      </c>
      <c r="HQ3" s="1">
        <f t="shared" ref="HQ3:HQ35" si="41">IF(HP3="A",4,IF(HP3="B+",3.5,IF(HP3="B",3,IF(HP3="C+",2.5,IF(HP3="C",2,IF(HP3="D",1,0))))))</f>
        <v>3.5</v>
      </c>
      <c r="HR3" s="10">
        <v>3</v>
      </c>
      <c r="HS3" s="1">
        <f>HQ3*HR3</f>
        <v>10.5</v>
      </c>
      <c r="HT3" s="10">
        <v>78</v>
      </c>
      <c r="HU3" s="10" t="str">
        <f>IF(HT3&gt;=80,"A",IF(HT3&gt;=75,"B+",IF(HT3&gt;=70,"B",IF(HT3&gt;=65,"C+",IF(HT3&gt;=60,"C",IF(HT3&gt;=55,"D",IF(HT3&lt;54,"E")))))))</f>
        <v>B+</v>
      </c>
      <c r="HV3" s="1">
        <f>IF(HU3="A",4,IF(HU3="B+",3.5,IF(HU3="B",3,IF(HU3="C+",2.5,IF(HU3="C",2,IF(HU3="D",1,0))))))</f>
        <v>3.5</v>
      </c>
      <c r="HW3" s="10">
        <v>4</v>
      </c>
      <c r="HX3" s="1">
        <f>HV3*HW3</f>
        <v>14</v>
      </c>
      <c r="HY3" s="5">
        <v>77.55</v>
      </c>
      <c r="HZ3" s="10" t="str">
        <f>IF(HY3&gt;=80,"A",IF(HY3&gt;=75,"B+",IF(HY3&gt;=70,"B",IF(HY3&gt;=65,"C+",IF(HY3&gt;=60,"C",IF(HY3&gt;=55,"D",IF(HY3&lt;54,"E")))))))</f>
        <v>B+</v>
      </c>
      <c r="IA3" s="1">
        <f>IF(HZ3="A",4,IF(HZ3="B+",3.5,IF(HZ3="B",3,IF(HZ3="C+",2.5,IF(HZ3="C",2,IF(HZ3="D",1,0))))))</f>
        <v>3.5</v>
      </c>
      <c r="IB3" s="10">
        <v>2</v>
      </c>
      <c r="IC3" s="1">
        <f>IA3*IB3</f>
        <v>7</v>
      </c>
      <c r="ID3" s="7">
        <v>74.83</v>
      </c>
      <c r="IE3" s="10" t="str">
        <f>IF(ID3&gt;=80,"A",IF(ID3&gt;=75,"B+",IF(ID3&gt;=70,"B",IF(ID3&gt;=65,"C+",IF(ID3&gt;=60,"C",IF(ID3&gt;=55,"D",IF(ID3&lt;54,"E")))))))</f>
        <v>B</v>
      </c>
      <c r="IF3" s="1">
        <f>IF(IE3="A",4,IF(IE3="B+",3.5,IF(IE3="B",3,IF(IE3="C+",2.5,IF(IE3="C",2,IF(IE3="D",1,0))))))</f>
        <v>3</v>
      </c>
      <c r="IG3" s="10">
        <v>3</v>
      </c>
      <c r="IH3" s="1">
        <f>IF3*IG3</f>
        <v>9</v>
      </c>
      <c r="II3" s="6">
        <v>78</v>
      </c>
      <c r="IJ3" s="10" t="str">
        <f>IF(II3&gt;=80,"A",IF(II3&gt;=75,"B+",IF(II3&gt;=70,"B",IF(II3&gt;=65,"C+",IF(II3&gt;=60,"C",IF(II3&gt;=55,"D",IF(II3&lt;54,"E")))))))</f>
        <v>B+</v>
      </c>
      <c r="IK3" s="1">
        <f>IF(IJ3="A",4,IF(IJ3="B+",3.5,IF(IJ3="B",3,IF(IJ3="C+",2.5,IF(IJ3="C",2,IF(IJ3="D",1,0))))))</f>
        <v>3.5</v>
      </c>
      <c r="IL3" s="10">
        <v>2</v>
      </c>
      <c r="IM3" s="1">
        <f>IK3*IL3</f>
        <v>7</v>
      </c>
      <c r="IN3" s="18">
        <v>74.680000000000007</v>
      </c>
      <c r="IO3" s="10" t="str">
        <f>IF(IN3&gt;=80,"A",IF(IN3&gt;=75,"B+",IF(IN3&gt;=70,"B",IF(IN3&gt;=65,"C+",IF(IN3&gt;=60,"C",IF(IN3&gt;=55,"D",IF(IN3&lt;54,"E")))))))</f>
        <v>B</v>
      </c>
      <c r="IP3" s="1">
        <f>IF(IO3="A",4,IF(IO3="B+",3.5,IF(IO3="B",3,IF(IO3="C+",2.5,IF(IO3="C",2,IF(IO3="D",1,0))))))</f>
        <v>3</v>
      </c>
      <c r="IQ3" s="10">
        <v>2</v>
      </c>
      <c r="IR3" s="1">
        <f>IP3*IQ3</f>
        <v>6</v>
      </c>
      <c r="IS3" s="10">
        <v>75</v>
      </c>
      <c r="IT3" s="10" t="str">
        <f>IF(IS3&gt;=80,"A",IF(IS3&gt;=75,"B+",IF(IS3&gt;=70,"B",IF(IS3&gt;=65,"C+",IF(IS3&gt;=60,"C",IF(IS3&gt;=55,"D",IF(IS3&lt;54,"E")))))))</f>
        <v>B+</v>
      </c>
      <c r="IU3" s="1">
        <f>IF(IT3="A",4,IF(IT3="B+",3.5,IF(IT3="B",3,IF(IT3="C+",2.5,IF(IT3="C",2,IF(IT3="D",1,0))))))</f>
        <v>3.5</v>
      </c>
      <c r="IV3" s="10">
        <v>4</v>
      </c>
      <c r="IW3" s="1">
        <f>IU3*IV3</f>
        <v>14</v>
      </c>
      <c r="IX3" s="10">
        <v>80</v>
      </c>
      <c r="IY3" s="10" t="str">
        <f>IF(IX3&gt;=80,"A",IF(IX3&gt;=75,"B+",IF(IX3&gt;=70,"B",IF(IX3&gt;=65,"C+",IF(IX3&gt;=60,"C",IF(IX3&gt;=55,"D",IF(IX3&lt;54,"E")))))))</f>
        <v>A</v>
      </c>
      <c r="IZ3" s="1">
        <f>IF(IY3="A",4,IF(IY3="B+",3.5,IF(IY3="B",3,IF(IY3="C+",2.5,IF(IY3="C",2,IF(IY3="D",1,0))))))</f>
        <v>4</v>
      </c>
      <c r="JA3" s="10">
        <v>4</v>
      </c>
      <c r="JB3" s="1">
        <f>IZ3*JA3</f>
        <v>16</v>
      </c>
      <c r="JC3" s="2">
        <v>70.5</v>
      </c>
      <c r="JD3" s="2">
        <v>22</v>
      </c>
      <c r="JE3" s="2">
        <v>63.5</v>
      </c>
      <c r="JF3" s="2">
        <v>19</v>
      </c>
      <c r="JG3" s="2">
        <v>72.5</v>
      </c>
      <c r="JH3" s="2">
        <v>21</v>
      </c>
      <c r="JI3" s="2">
        <v>70.5</v>
      </c>
      <c r="JJ3" s="2">
        <v>21</v>
      </c>
      <c r="JK3" s="2">
        <v>67</v>
      </c>
      <c r="JL3" s="2">
        <v>21</v>
      </c>
      <c r="JM3" s="2">
        <v>62</v>
      </c>
      <c r="JN3" s="2">
        <v>19</v>
      </c>
      <c r="JO3" s="2">
        <v>57</v>
      </c>
      <c r="JP3" s="2">
        <v>17</v>
      </c>
      <c r="JQ3" s="2">
        <v>16</v>
      </c>
      <c r="JR3" s="2">
        <v>4</v>
      </c>
      <c r="JS3" s="2">
        <f>JC3+JE3+JG3+JI3+JK3+JM3+JO3+JQ3</f>
        <v>479</v>
      </c>
      <c r="JT3" s="2">
        <f>JD3+JF3+JH3+JJ3+JL3+JN3+JP3+JR3</f>
        <v>144</v>
      </c>
      <c r="JU3" s="3">
        <f>JS3/JT3</f>
        <v>3.3263888888888888</v>
      </c>
      <c r="JV3" s="2" t="str">
        <f>IF(JU3&gt;=3.51,"Cum Laude",(IF(JU3&gt;=2.75,"Sangat Memuaskan",(IF(JU3&gt;=2,"Memuaskan","GAGAL")))))</f>
        <v>Sangat Memuaskan</v>
      </c>
      <c r="JW3" s="2" t="str">
        <f>IF(JU3&gt;=3.51,"Excellent",(IF(JU3&gt;=2.75,"Highly Satisfactory",(IF(JU3&gt;=2,"Satisfactory","FAILED")))))</f>
        <v>Highly Satisfactory</v>
      </c>
      <c r="JX3" s="23" t="s">
        <v>186</v>
      </c>
      <c r="JY3" s="23" t="s">
        <v>256</v>
      </c>
    </row>
    <row r="4" spans="1:285" x14ac:dyDescent="0.25">
      <c r="A4" s="55">
        <v>2</v>
      </c>
      <c r="B4" s="30" t="s">
        <v>20</v>
      </c>
      <c r="C4" s="25">
        <v>152111002</v>
      </c>
      <c r="D4" s="25" t="s">
        <v>182</v>
      </c>
      <c r="E4" s="27" t="s">
        <v>183</v>
      </c>
      <c r="F4" s="27" t="s">
        <v>219</v>
      </c>
      <c r="G4" s="2" t="s">
        <v>223</v>
      </c>
      <c r="H4" s="9">
        <v>87.7</v>
      </c>
      <c r="I4" s="10" t="str">
        <f t="shared" ref="I4:I19" si="42">IF(H4&gt;=80,"A",IF(H4&gt;=75,"B+",IF(H4&gt;=70,"B",IF(H4&gt;=65,"C+",IF(H4&gt;=60,"C",IF(H4&gt;=55,"D",IF(H4&lt;54,"E")))))))</f>
        <v>A</v>
      </c>
      <c r="J4" s="1">
        <f t="shared" si="0"/>
        <v>4</v>
      </c>
      <c r="K4" s="10">
        <v>2</v>
      </c>
      <c r="L4" s="1">
        <f t="shared" ref="L4:L19" si="43">J4*K4</f>
        <v>8</v>
      </c>
      <c r="M4" s="11">
        <v>76.375</v>
      </c>
      <c r="N4" s="10" t="str">
        <f t="shared" ref="N4:N19" si="44">IF(M4&gt;=80,"A",IF(M4&gt;=75,"B+",IF(M4&gt;=70,"B",IF(M4&gt;=65,"C+",IF(M4&gt;=60,"C",IF(M4&gt;=55,"D",IF(M4&lt;54,"E")))))))</f>
        <v>B+</v>
      </c>
      <c r="O4" s="1">
        <f t="shared" si="1"/>
        <v>3.5</v>
      </c>
      <c r="P4" s="10">
        <v>3</v>
      </c>
      <c r="Q4" s="1">
        <f t="shared" ref="Q4:Q19" si="45">O4*P4</f>
        <v>10.5</v>
      </c>
      <c r="R4" s="31">
        <v>76.241666666666674</v>
      </c>
      <c r="S4" s="10" t="str">
        <f t="shared" ref="S4:S19" si="46">IF(R4&gt;=80,"A",IF(R4&gt;=75,"B+",IF(R4&gt;=70,"B",IF(R4&gt;=65,"C+",IF(R4&gt;=60,"C",IF(R4&gt;=55,"D",IF(R4&lt;54,"E")))))))</f>
        <v>B+</v>
      </c>
      <c r="T4" s="1">
        <f t="shared" si="2"/>
        <v>3.5</v>
      </c>
      <c r="U4" s="10">
        <v>4</v>
      </c>
      <c r="V4" s="1">
        <f t="shared" ref="V4:V19" si="47">T4*U4</f>
        <v>14</v>
      </c>
      <c r="W4" s="4">
        <v>81.650000000000006</v>
      </c>
      <c r="X4" s="10" t="str">
        <f t="shared" ref="X4:X19" si="48">IF(W4&gt;=80,"A",IF(W4&gt;=75,"B+",IF(W4&gt;=70,"B",IF(W4&gt;=65,"C+",IF(W4&gt;=60,"C",IF(W4&gt;=55,"D",IF(W4&lt;54,"E")))))))</f>
        <v>A</v>
      </c>
      <c r="Y4" s="1">
        <f t="shared" si="3"/>
        <v>4</v>
      </c>
      <c r="Z4" s="10">
        <v>2</v>
      </c>
      <c r="AA4" s="1">
        <f t="shared" ref="AA4:AA19" si="49">Y4*Z4</f>
        <v>8</v>
      </c>
      <c r="AB4" s="12">
        <v>67</v>
      </c>
      <c r="AC4" s="10" t="str">
        <f t="shared" ref="AC4:AC19" si="50">IF(AB4&gt;=80,"A",IF(AB4&gt;=75,"B+",IF(AB4&gt;=70,"B",IF(AB4&gt;=65,"C+",IF(AB4&gt;=60,"C",IF(AB4&gt;=55,"D",IF(AB4&lt;54,"E")))))))</f>
        <v>C+</v>
      </c>
      <c r="AD4" s="1">
        <f t="shared" si="4"/>
        <v>2.5</v>
      </c>
      <c r="AE4" s="10">
        <v>4</v>
      </c>
      <c r="AF4" s="1">
        <f t="shared" ref="AF4:AF19" si="51">AD4*AE4</f>
        <v>10</v>
      </c>
      <c r="AG4" s="12">
        <v>72.55</v>
      </c>
      <c r="AH4" s="10" t="str">
        <f t="shared" ref="AH4:AH19" si="52">IF(AG4&gt;=80,"A",IF(AG4&gt;=75,"B+",IF(AG4&gt;=70,"B",IF(AG4&gt;=65,"C+",IF(AG4&gt;=60,"C",IF(AG4&gt;=55,"D",IF(AG4&lt;54,"E")))))))</f>
        <v>B</v>
      </c>
      <c r="AI4" s="1">
        <f t="shared" si="5"/>
        <v>3</v>
      </c>
      <c r="AJ4" s="10">
        <v>4</v>
      </c>
      <c r="AK4" s="1">
        <f t="shared" ref="AK4:AK19" si="53">AI4*AJ4</f>
        <v>12</v>
      </c>
      <c r="AL4" s="13">
        <v>76.966666666666669</v>
      </c>
      <c r="AM4" s="10" t="str">
        <f t="shared" ref="AM4:AM19" si="54">IF(AL4&gt;=80,"A",IF(AL4&gt;=75,"B+",IF(AL4&gt;=70,"B",IF(AL4&gt;=65,"C+",IF(AL4&gt;=60,"C",IF(AL4&gt;=55,"D",IF(AL4&lt;54,"E")))))))</f>
        <v>B+</v>
      </c>
      <c r="AN4" s="1">
        <f t="shared" si="6"/>
        <v>3.5</v>
      </c>
      <c r="AO4" s="10">
        <v>3</v>
      </c>
      <c r="AP4" s="1">
        <f t="shared" ref="AP4:AP19" si="55">AN4*AO4</f>
        <v>10.5</v>
      </c>
      <c r="AQ4" s="12">
        <v>88.600000000000009</v>
      </c>
      <c r="AR4" s="10" t="str">
        <f t="shared" ref="AR4:AR19" si="56">IF(AQ4&gt;=80,"A",IF(AQ4&gt;=75,"B+",IF(AQ4&gt;=70,"B",IF(AQ4&gt;=65,"C+",IF(AQ4&gt;=60,"C",IF(AQ4&gt;=55,"D",IF(AQ4&lt;54,"E")))))))</f>
        <v>A</v>
      </c>
      <c r="AS4" s="1">
        <f t="shared" si="7"/>
        <v>4</v>
      </c>
      <c r="AT4" s="10">
        <v>3</v>
      </c>
      <c r="AU4" s="1">
        <f t="shared" ref="AU4:AU19" si="57">AS4*AT4</f>
        <v>12</v>
      </c>
      <c r="AV4" s="11">
        <v>75</v>
      </c>
      <c r="AW4" s="10" t="str">
        <f t="shared" ref="AW4:AW19" si="58">IF(AV4&gt;=80,"A",IF(AV4&gt;=75,"B+",IF(AV4&gt;=70,"B",IF(AV4&gt;=65,"C+",IF(AV4&gt;=60,"C",IF(AV4&gt;=55,"D",IF(AV4&lt;54,"E")))))))</f>
        <v>B+</v>
      </c>
      <c r="AX4" s="1">
        <f t="shared" si="8"/>
        <v>3.5</v>
      </c>
      <c r="AY4" s="10">
        <v>2</v>
      </c>
      <c r="AZ4" s="1">
        <f t="shared" ref="AZ4:AZ19" si="59">AX4*AY4</f>
        <v>7</v>
      </c>
      <c r="BA4" s="12">
        <v>81.3</v>
      </c>
      <c r="BB4" s="10" t="str">
        <f t="shared" ref="BB4:BB19" si="60">IF(BA4&gt;=80,"A",IF(BA4&gt;=75,"B+",IF(BA4&gt;=70,"B",IF(BA4&gt;=65,"C+",IF(BA4&gt;=60,"C",IF(BA4&gt;=55,"D",IF(BA4&lt;54,"E")))))))</f>
        <v>A</v>
      </c>
      <c r="BC4" s="1">
        <f t="shared" si="9"/>
        <v>4</v>
      </c>
      <c r="BD4" s="10">
        <v>2</v>
      </c>
      <c r="BE4" s="1">
        <f t="shared" ref="BE4:BE19" si="61">BC4*BD4</f>
        <v>8</v>
      </c>
      <c r="BF4" s="14">
        <v>68.449999999999989</v>
      </c>
      <c r="BG4" s="10" t="str">
        <f t="shared" ref="BG4:BG19" si="62">IF(BF4&gt;=80,"A",IF(BF4&gt;=75,"B+",IF(BF4&gt;=70,"B",IF(BF4&gt;=65,"C+",IF(BF4&gt;=60,"C",IF(BF4&gt;=55,"D",IF(BF4&lt;54,"E")))))))</f>
        <v>C+</v>
      </c>
      <c r="BH4" s="1">
        <f t="shared" si="10"/>
        <v>2.5</v>
      </c>
      <c r="BI4" s="10">
        <v>3</v>
      </c>
      <c r="BJ4" s="1">
        <f t="shared" ref="BJ4:BJ19" si="63">BH4*BI4</f>
        <v>7.5</v>
      </c>
      <c r="BK4" s="15">
        <v>77.25</v>
      </c>
      <c r="BL4" s="10" t="str">
        <f t="shared" ref="BL4:BL19" si="64">IF(BK4&gt;=80,"A",IF(BK4&gt;=75,"B+",IF(BK4&gt;=70,"B",IF(BK4&gt;=65,"C+",IF(BK4&gt;=60,"C",IF(BK4&gt;=55,"D",IF(BK4&lt;54,"E")))))))</f>
        <v>B+</v>
      </c>
      <c r="BM4" s="1">
        <f t="shared" si="11"/>
        <v>3.5</v>
      </c>
      <c r="BN4" s="10">
        <v>2</v>
      </c>
      <c r="BO4" s="1">
        <f t="shared" ref="BO4:BO19" si="65">BM4*BN4</f>
        <v>7</v>
      </c>
      <c r="BP4" s="12">
        <v>79.849999999999994</v>
      </c>
      <c r="BQ4" s="10" t="str">
        <f t="shared" ref="BQ4:BQ19" si="66">IF(BP4&gt;=80,"A",IF(BP4&gt;=75,"B+",IF(BP4&gt;=70,"B",IF(BP4&gt;=65,"C+",IF(BP4&gt;=60,"C",IF(BP4&gt;=55,"D",IF(BP4&lt;54,"E")))))))</f>
        <v>B+</v>
      </c>
      <c r="BR4" s="1">
        <f t="shared" si="12"/>
        <v>3.5</v>
      </c>
      <c r="BS4" s="10">
        <v>2</v>
      </c>
      <c r="BT4" s="1">
        <f t="shared" ref="BT4:BT19" si="67">BR4*BS4</f>
        <v>7</v>
      </c>
      <c r="BU4" s="4">
        <v>72.25</v>
      </c>
      <c r="BV4" s="10" t="str">
        <f t="shared" ref="BV4:BV19" si="68">IF(BU4&gt;=80,"A",IF(BU4&gt;=75,"B+",IF(BU4&gt;=70,"B",IF(BU4&gt;=65,"C+",IF(BU4&gt;=60,"C",IF(BU4&gt;=55,"D",IF(BU4&lt;54,"E")))))))</f>
        <v>B</v>
      </c>
      <c r="BW4" s="1">
        <f t="shared" si="13"/>
        <v>3</v>
      </c>
      <c r="BX4" s="10">
        <v>3</v>
      </c>
      <c r="BY4" s="1">
        <f t="shared" ref="BY4:BY19" si="69">BW4*BX4</f>
        <v>9</v>
      </c>
      <c r="BZ4" s="13">
        <v>78.766666666666666</v>
      </c>
      <c r="CA4" s="10" t="str">
        <f t="shared" ref="CA4:CA19" si="70">IF(BZ4&gt;=80,"A",IF(BZ4&gt;=75,"B+",IF(BZ4&gt;=70,"B",IF(BZ4&gt;=65,"C+",IF(BZ4&gt;=60,"C",IF(BZ4&gt;=55,"D",IF(BZ4&lt;54,"E")))))))</f>
        <v>B+</v>
      </c>
      <c r="CB4" s="1">
        <f t="shared" si="14"/>
        <v>3.5</v>
      </c>
      <c r="CC4" s="10">
        <v>2</v>
      </c>
      <c r="CD4" s="1">
        <f t="shared" ref="CD4:CD19" si="71">CB4*CC4</f>
        <v>7</v>
      </c>
      <c r="CE4" s="19">
        <v>79.95</v>
      </c>
      <c r="CF4" s="10" t="str">
        <f t="shared" ref="CF4:CF35" si="72">IF(CE4&gt;=80,"A",IF(CE4&gt;=75,"B+",IF(CE4&gt;=70,"B",IF(CE4&gt;=65,"C+",IF(CE4&gt;=60,"C",IF(CE4&gt;=55,"D",IF(CE4&lt;54,"E")))))))</f>
        <v>B+</v>
      </c>
      <c r="CG4" s="1">
        <f t="shared" si="15"/>
        <v>3.5</v>
      </c>
      <c r="CH4" s="10">
        <v>4</v>
      </c>
      <c r="CI4" s="1">
        <f t="shared" ref="CI4:CI35" si="73">CG4*CH4</f>
        <v>14</v>
      </c>
      <c r="CJ4" s="16">
        <v>78.5</v>
      </c>
      <c r="CK4" s="10" t="str">
        <f t="shared" ref="CK4:CK35" si="74">IF(CJ4&gt;=80,"A",IF(CJ4&gt;=75,"B+",IF(CJ4&gt;=70,"B",IF(CJ4&gt;=65,"C+",IF(CJ4&gt;=60,"C",IF(CJ4&gt;=55,"D",IF(CJ4&lt;54,"E")))))))</f>
        <v>B+</v>
      </c>
      <c r="CL4" s="1">
        <f t="shared" si="16"/>
        <v>3.5</v>
      </c>
      <c r="CM4" s="10">
        <v>4</v>
      </c>
      <c r="CN4" s="1">
        <f t="shared" ref="CN4:CN35" si="75">CL4*CM4</f>
        <v>14</v>
      </c>
      <c r="CO4" s="19">
        <v>74.2</v>
      </c>
      <c r="CP4" s="10" t="str">
        <f t="shared" ref="CP4:CP35" si="76">IF(CO4&gt;=80,"A",IF(CO4&gt;=75,"B+",IF(CO4&gt;=70,"B",IF(CO4&gt;=65,"C+",IF(CO4&gt;=60,"C",IF(CO4&gt;=55,"D",IF(CO4&lt;54,"E")))))))</f>
        <v>B</v>
      </c>
      <c r="CQ4" s="1">
        <f t="shared" si="17"/>
        <v>3</v>
      </c>
      <c r="CR4" s="10">
        <v>3</v>
      </c>
      <c r="CS4" s="1">
        <f t="shared" ref="CS4:CS35" si="77">CQ4*CR4</f>
        <v>9</v>
      </c>
      <c r="CT4" s="17">
        <v>77.708285714285722</v>
      </c>
      <c r="CU4" s="10" t="str">
        <f t="shared" ref="CU4:CU35" si="78">IF(CT4&gt;=80,"A",IF(CT4&gt;=75,"B+",IF(CT4&gt;=70,"B",IF(CT4&gt;=65,"C+",IF(CT4&gt;=60,"C",IF(CT4&gt;=55,"D",IF(CT4&lt;54,"E")))))))</f>
        <v>B+</v>
      </c>
      <c r="CV4" s="1">
        <f t="shared" si="18"/>
        <v>3.5</v>
      </c>
      <c r="CW4" s="10">
        <v>2</v>
      </c>
      <c r="CX4" s="1">
        <f t="shared" ref="CX4:CX35" si="79">CV4*CW4</f>
        <v>7</v>
      </c>
      <c r="CY4" s="18">
        <v>74.650000000000006</v>
      </c>
      <c r="CZ4" s="10" t="str">
        <f t="shared" ref="CZ4:CZ35" si="80">IF(CY4&gt;=80,"A",IF(CY4&gt;=75,"B+",IF(CY4&gt;=70,"B",IF(CY4&gt;=65,"C+",IF(CY4&gt;=60,"C",IF(CY4&gt;=55,"D",IF(CY4&lt;54,"E")))))))</f>
        <v>B</v>
      </c>
      <c r="DA4" s="1">
        <f t="shared" si="19"/>
        <v>3</v>
      </c>
      <c r="DB4" s="10">
        <v>2</v>
      </c>
      <c r="DC4" s="1">
        <f t="shared" ref="DC4:DC35" si="81">DA4*DB4</f>
        <v>6</v>
      </c>
      <c r="DD4" s="19">
        <v>81.849999999999994</v>
      </c>
      <c r="DE4" s="10" t="str">
        <f t="shared" ref="DE4:DE35" si="82">IF(DD4&gt;=80,"A",IF(DD4&gt;=75,"B+",IF(DD4&gt;=70,"B",IF(DD4&gt;=65,"C+",IF(DD4&gt;=60,"C",IF(DD4&gt;=55,"D",IF(DD4&lt;54,"E")))))))</f>
        <v>A</v>
      </c>
      <c r="DF4" s="1">
        <f t="shared" si="20"/>
        <v>4</v>
      </c>
      <c r="DG4" s="10">
        <v>2</v>
      </c>
      <c r="DH4" s="1">
        <f t="shared" ref="DH4:DH35" si="83">DF4*DG4</f>
        <v>8</v>
      </c>
      <c r="DI4" s="5">
        <v>76.5</v>
      </c>
      <c r="DJ4" s="10" t="str">
        <f t="shared" ref="DJ4:DJ35" si="84">IF(DI4&gt;=80,"A",IF(DI4&gt;=75,"B+",IF(DI4&gt;=70,"B",IF(DI4&gt;=65,"C+",IF(DI4&gt;=60,"C",IF(DI4&gt;=55,"D",IF(DI4&lt;54,"E")))))))</f>
        <v>B+</v>
      </c>
      <c r="DK4" s="1">
        <f t="shared" si="21"/>
        <v>3.5</v>
      </c>
      <c r="DL4" s="10">
        <v>2</v>
      </c>
      <c r="DM4" s="1">
        <f t="shared" ref="DM4:DM35" si="85">DK4*DL4</f>
        <v>7</v>
      </c>
      <c r="DN4" s="20">
        <v>76</v>
      </c>
      <c r="DO4" s="10" t="str">
        <f t="shared" ref="DO4:DO35" si="86">IF(DN4&gt;=80,"A",IF(DN4&gt;=75,"B+",IF(DN4&gt;=70,"B",IF(DN4&gt;=65,"C+",IF(DN4&gt;=60,"C",IF(DN4&gt;=55,"D",IF(DN4&lt;54,"E")))))))</f>
        <v>B+</v>
      </c>
      <c r="DP4" s="1">
        <f t="shared" si="22"/>
        <v>3.5</v>
      </c>
      <c r="DQ4" s="10">
        <v>2</v>
      </c>
      <c r="DR4" s="1">
        <f t="shared" ref="DR4:DR35" si="87">DP4*DQ4</f>
        <v>7</v>
      </c>
      <c r="DS4" s="19">
        <v>70</v>
      </c>
      <c r="DT4" s="10" t="str">
        <f t="shared" ref="DT4:DT35" si="88">IF(DS4&gt;=80,"A",IF(DS4&gt;=75,"B+",IF(DS4&gt;=70,"B",IF(DS4&gt;=65,"C+",IF(DS4&gt;=60,"C",IF(DS4&gt;=55,"D",IF(DS4&lt;54,"E")))))))</f>
        <v>B</v>
      </c>
      <c r="DU4" s="1">
        <f t="shared" si="23"/>
        <v>3</v>
      </c>
      <c r="DV4" s="10">
        <v>4</v>
      </c>
      <c r="DW4" s="1">
        <f t="shared" ref="DW4:DW35" si="89">DU4*DV4</f>
        <v>12</v>
      </c>
      <c r="DX4" s="4">
        <v>79.75</v>
      </c>
      <c r="DY4" s="10" t="str">
        <f t="shared" ref="DY4:DY35" si="90">IF(DX4&gt;=80,"A",IF(DX4&gt;=75,"B+",IF(DX4&gt;=70,"B",IF(DX4&gt;=65,"C+",IF(DX4&gt;=60,"C",IF(DX4&gt;=55,"D",IF(DX4&lt;54,"E")))))))</f>
        <v>B+</v>
      </c>
      <c r="DZ4" s="1">
        <f t="shared" si="24"/>
        <v>3.5</v>
      </c>
      <c r="EA4" s="10">
        <v>3</v>
      </c>
      <c r="EB4" s="1">
        <f t="shared" ref="EB4:EB35" si="91">DZ4*EA4</f>
        <v>10.5</v>
      </c>
      <c r="EC4" s="19">
        <v>73.699999999999989</v>
      </c>
      <c r="ED4" s="10" t="str">
        <f t="shared" ref="ED4:ED35" si="92">IF(EC4&gt;=80,"A",IF(EC4&gt;=75,"B+",IF(EC4&gt;=70,"B",IF(EC4&gt;=65,"C+",IF(EC4&gt;=60,"C",IF(EC4&gt;=55,"D",IF(EC4&lt;54,"E")))))))</f>
        <v>B</v>
      </c>
      <c r="EE4" s="1">
        <f t="shared" si="25"/>
        <v>3</v>
      </c>
      <c r="EF4" s="10">
        <v>3</v>
      </c>
      <c r="EG4" s="1">
        <f t="shared" ref="EG4:EG35" si="93">EE4*EF4</f>
        <v>9</v>
      </c>
      <c r="EH4" s="6">
        <v>78.3</v>
      </c>
      <c r="EI4" s="10" t="str">
        <f t="shared" ref="EI4:EI35" si="94">IF(EH4&gt;=80,"A",IF(EH4&gt;=75,"B+",IF(EH4&gt;=70,"B",IF(EH4&gt;=65,"C+",IF(EH4&gt;=60,"C",IF(EH4&gt;=55,"D",IF(EH4&lt;54,"E")))))))</f>
        <v>B+</v>
      </c>
      <c r="EJ4" s="1">
        <f t="shared" si="26"/>
        <v>3.5</v>
      </c>
      <c r="EK4" s="10">
        <v>3</v>
      </c>
      <c r="EL4" s="1">
        <f t="shared" ref="EL4:EL35" si="95">EJ4*EK4</f>
        <v>10.5</v>
      </c>
      <c r="EM4" s="18">
        <v>74.208888888888893</v>
      </c>
      <c r="EN4" s="10" t="str">
        <f t="shared" ref="EN4:EN35" si="96">IF(EM4&gt;=80,"A",IF(EM4&gt;=75,"B+",IF(EM4&gt;=70,"B",IF(EM4&gt;=65,"C+",IF(EM4&gt;=60,"C",IF(EM4&gt;=55,"D",IF(EM4&lt;54,"E")))))))</f>
        <v>B</v>
      </c>
      <c r="EO4" s="1">
        <f t="shared" si="27"/>
        <v>3</v>
      </c>
      <c r="EP4" s="10">
        <v>3</v>
      </c>
      <c r="EQ4" s="1">
        <f t="shared" ref="EQ4:EQ35" si="97">EO4*EP4</f>
        <v>9</v>
      </c>
      <c r="ER4" s="7">
        <v>78.7</v>
      </c>
      <c r="ES4" s="10" t="str">
        <f t="shared" ref="ES4:ES35" si="98">IF(ER4&gt;=80,"A",IF(ER4&gt;=75,"B+",IF(ER4&gt;=70,"B",IF(ER4&gt;=65,"C+",IF(ER4&gt;=60,"C",IF(ER4&gt;=55,"D",IF(ER4&lt;54,"E")))))))</f>
        <v>B+</v>
      </c>
      <c r="ET4" s="1">
        <f t="shared" si="28"/>
        <v>3.5</v>
      </c>
      <c r="EU4" s="10">
        <v>2</v>
      </c>
      <c r="EV4" s="1">
        <f t="shared" ref="EV4:EV35" si="99">ET4*EU4</f>
        <v>7</v>
      </c>
      <c r="EW4" s="5">
        <v>80.400000000000006</v>
      </c>
      <c r="EX4" s="10" t="str">
        <f t="shared" ref="EX4:EX35" si="100">IF(EW4&gt;=80,"A",IF(EW4&gt;=75,"B+",IF(EW4&gt;=70,"B",IF(EW4&gt;=65,"C+",IF(EW4&gt;=60,"C",IF(EW4&gt;=55,"D",IF(EW4&lt;54,"E")))))))</f>
        <v>A</v>
      </c>
      <c r="EY4" s="1">
        <f t="shared" si="29"/>
        <v>4</v>
      </c>
      <c r="EZ4" s="10">
        <v>3</v>
      </c>
      <c r="FA4" s="1">
        <f t="shared" ref="FA4:FA35" si="101">EY4*EZ4</f>
        <v>12</v>
      </c>
      <c r="FB4" s="19">
        <v>76</v>
      </c>
      <c r="FC4" s="10" t="str">
        <f t="shared" ref="FC4:FC35" si="102">IF(FB4&gt;=80,"A",IF(FB4&gt;=75,"B+",IF(FB4&gt;=70,"B",IF(FB4&gt;=65,"C+",IF(FB4&gt;=60,"C",IF(FB4&gt;=55,"D",IF(FB4&lt;54,"E")))))))</f>
        <v>B+</v>
      </c>
      <c r="FD4" s="1">
        <f t="shared" si="30"/>
        <v>3.5</v>
      </c>
      <c r="FE4" s="10">
        <v>2</v>
      </c>
      <c r="FF4" s="1">
        <f t="shared" ref="FF4:FF35" si="103">FD4*FE4</f>
        <v>7</v>
      </c>
      <c r="FG4" s="5">
        <v>74</v>
      </c>
      <c r="FH4" s="10" t="str">
        <f t="shared" ref="FH4:FH35" si="104">IF(FG4&gt;=80,"A",IF(FG4&gt;=75,"B+",IF(FG4&gt;=70,"B",IF(FG4&gt;=65,"C+",IF(FG4&gt;=60,"C",IF(FG4&gt;=55,"D",IF(FG4&lt;54,"E")))))))</f>
        <v>B</v>
      </c>
      <c r="FI4" s="1">
        <f t="shared" si="31"/>
        <v>3</v>
      </c>
      <c r="FJ4" s="10">
        <v>3</v>
      </c>
      <c r="FK4" s="1">
        <f t="shared" ref="FK4:FK35" si="105">FI4*FJ4</f>
        <v>9</v>
      </c>
      <c r="FL4" s="19">
        <v>78.266666666666666</v>
      </c>
      <c r="FM4" s="10" t="str">
        <f t="shared" ref="FM4:FM35" si="106">IF(FL4&gt;=80,"A",IF(FL4&gt;=75,"B+",IF(FL4&gt;=70,"B",IF(FL4&gt;=65,"C+",IF(FL4&gt;=60,"C",IF(FL4&gt;=55,"D",IF(FL4&lt;54,"E")))))))</f>
        <v>B+</v>
      </c>
      <c r="FN4" s="1">
        <f t="shared" si="32"/>
        <v>3.5</v>
      </c>
      <c r="FO4" s="10">
        <v>3</v>
      </c>
      <c r="FP4" s="1">
        <f t="shared" ref="FP4:FP35" si="107">FN4*FO4</f>
        <v>10.5</v>
      </c>
      <c r="FQ4" s="6">
        <v>74.790000000000006</v>
      </c>
      <c r="FR4" s="10" t="str">
        <f t="shared" ref="FR4:FR35" si="108">IF(FQ4&gt;=80,"A",IF(FQ4&gt;=75,"B+",IF(FQ4&gt;=70,"B",IF(FQ4&gt;=65,"C+",IF(FQ4&gt;=60,"C",IF(FQ4&gt;=55,"D",IF(FQ4&lt;54,"E")))))))</f>
        <v>B</v>
      </c>
      <c r="FS4" s="1">
        <f t="shared" ref="FS4:FS35" si="109">IF(FR4="A",4,IF(FR4="B+",3.5,IF(FR4="B",3,IF(FR4="C+",2.5,IF(FR4="C",2,IF(FR4="D",1,0))))))</f>
        <v>3</v>
      </c>
      <c r="FT4" s="10">
        <v>3</v>
      </c>
      <c r="FU4" s="1">
        <f t="shared" ref="FU4:FU35" si="110">FS4*FT4</f>
        <v>9</v>
      </c>
      <c r="FV4" s="18">
        <v>73.599999999999994</v>
      </c>
      <c r="FW4" s="10" t="str">
        <f t="shared" ref="FW4:FW35" si="111">IF(FV4&gt;=80,"A",IF(FV4&gt;=75,"B+",IF(FV4&gt;=70,"B",IF(FV4&gt;=65,"C+",IF(FV4&gt;=60,"C",IF(FV4&gt;=55,"D",IF(FV4&lt;54,"E")))))))</f>
        <v>B</v>
      </c>
      <c r="FX4" s="1">
        <f t="shared" si="33"/>
        <v>3</v>
      </c>
      <c r="FY4" s="10">
        <v>3</v>
      </c>
      <c r="FZ4" s="1">
        <f t="shared" ref="FZ4:FZ35" si="112">FX4*FY4</f>
        <v>9</v>
      </c>
      <c r="GA4" s="7">
        <v>75.650000000000006</v>
      </c>
      <c r="GB4" s="10" t="str">
        <f t="shared" ref="GB4:GB35" si="113">IF(GA4&gt;=80,"A",IF(GA4&gt;=75,"B+",IF(GA4&gt;=70,"B",IF(GA4&gt;=65,"C+",IF(GA4&gt;=60,"C",IF(GA4&gt;=55,"D",IF(GA4&lt;54,"E")))))))</f>
        <v>B+</v>
      </c>
      <c r="GC4" s="1">
        <f t="shared" si="34"/>
        <v>3.5</v>
      </c>
      <c r="GD4" s="10">
        <v>2</v>
      </c>
      <c r="GE4" s="1">
        <f t="shared" ref="GE4:GE35" si="114">GC4*GD4</f>
        <v>7</v>
      </c>
      <c r="GF4" s="5">
        <v>76.8</v>
      </c>
      <c r="GG4" s="10" t="str">
        <f t="shared" ref="GG4:GG35" si="115">IF(GF4&gt;=80,"A",IF(GF4&gt;=75,"B+",IF(GF4&gt;=70,"B",IF(GF4&gt;=65,"C+",IF(GF4&gt;=60,"C",IF(GF4&gt;=55,"D",IF(GF4&lt;54,"E")))))))</f>
        <v>B+</v>
      </c>
      <c r="GH4" s="1">
        <f t="shared" si="35"/>
        <v>3.5</v>
      </c>
      <c r="GI4" s="10">
        <v>3</v>
      </c>
      <c r="GJ4" s="1">
        <f t="shared" ref="GJ4:GJ35" si="116">GH4*GI4</f>
        <v>10.5</v>
      </c>
      <c r="GK4" s="5">
        <v>73.099999999999994</v>
      </c>
      <c r="GL4" s="10" t="str">
        <f t="shared" ref="GL4:GL35" si="117">IF(GK4&gt;=80,"A",IF(GK4&gt;=75,"B+",IF(GK4&gt;=70,"B",IF(GK4&gt;=65,"C+",IF(GK4&gt;=60,"C",IF(GK4&gt;=55,"D",IF(GK4&lt;54,"E")))))))</f>
        <v>B</v>
      </c>
      <c r="GM4" s="1">
        <f t="shared" si="36"/>
        <v>3</v>
      </c>
      <c r="GN4" s="10">
        <v>2</v>
      </c>
      <c r="GO4" s="1">
        <f t="shared" ref="GO4:GO35" si="118">GM4*GN4</f>
        <v>6</v>
      </c>
      <c r="GP4" s="19">
        <v>76.349999999999994</v>
      </c>
      <c r="GQ4" s="10" t="str">
        <f t="shared" ref="GQ4:GQ35" si="119">IF(GP4&gt;=80,"A",IF(GP4&gt;=75,"B+",IF(GP4&gt;=70,"B",IF(GP4&gt;=65,"C+",IF(GP4&gt;=60,"C",IF(GP4&gt;=55,"D",IF(GP4&lt;54,"E")))))))</f>
        <v>B+</v>
      </c>
      <c r="GR4" s="1">
        <f t="shared" si="37"/>
        <v>3.5</v>
      </c>
      <c r="GS4" s="10">
        <v>3</v>
      </c>
      <c r="GT4" s="1">
        <f t="shared" ref="GT4:GT35" si="120">GR4*GS4</f>
        <v>10.5</v>
      </c>
      <c r="GU4" s="5">
        <v>75.900000000000006</v>
      </c>
      <c r="GV4" s="10" t="str">
        <f t="shared" ref="GV4:GV35" si="121">IF(GU4&gt;=80,"A",IF(GU4&gt;=75,"B+",IF(GU4&gt;=70,"B",IF(GU4&gt;=65,"C+",IF(GU4&gt;=60,"C",IF(GU4&gt;=55,"D",IF(GU4&lt;54,"E")))))))</f>
        <v>B+</v>
      </c>
      <c r="GW4" s="1">
        <f t="shared" si="38"/>
        <v>3.5</v>
      </c>
      <c r="GX4" s="10">
        <v>4</v>
      </c>
      <c r="GY4" s="1">
        <f t="shared" ref="GY4:GY35" si="122">GW4*GX4</f>
        <v>14</v>
      </c>
      <c r="GZ4" s="7">
        <v>74.25</v>
      </c>
      <c r="HA4" s="10" t="str">
        <f t="shared" ref="HA4:HA35" si="123">IF(GZ4&gt;=80,"A",IF(GZ4&gt;=75,"B+",IF(GZ4&gt;=70,"B",IF(GZ4&gt;=65,"C+",IF(GZ4&gt;=60,"C",IF(GZ4&gt;=55,"D",IF(GZ4&lt;54,"E")))))))</f>
        <v>B</v>
      </c>
      <c r="HB4" s="1">
        <f t="shared" ref="HB4:HB35" si="124">IF(HA4="A",4,IF(HA4="B+",3.5,IF(HA4="B",3,IF(HA4="C+",2.5,IF(HA4="C",2,IF(HA4="D",1,0))))))</f>
        <v>3</v>
      </c>
      <c r="HC4" s="10">
        <v>4</v>
      </c>
      <c r="HD4" s="1">
        <f t="shared" ref="HD4:HD35" si="125">HB4*HC4</f>
        <v>12</v>
      </c>
      <c r="HE4" s="6">
        <v>72.275000000000006</v>
      </c>
      <c r="HF4" s="10" t="str">
        <f t="shared" ref="HF4:HF35" si="126">IF(HE4&gt;=80,"A",IF(HE4&gt;=75,"B+",IF(HE4&gt;=70,"B",IF(HE4&gt;=65,"C+",IF(HE4&gt;=60,"C",IF(HE4&gt;=55,"D",IF(HE4&lt;54,"E")))))))</f>
        <v>B</v>
      </c>
      <c r="HG4" s="1">
        <f t="shared" si="39"/>
        <v>3</v>
      </c>
      <c r="HH4" s="10">
        <v>2</v>
      </c>
      <c r="HI4" s="1">
        <f t="shared" ref="HI4:HI35" si="127">HG4*HH4</f>
        <v>6</v>
      </c>
      <c r="HJ4" s="18">
        <v>69.935714285714283</v>
      </c>
      <c r="HK4" s="10" t="str">
        <f t="shared" ref="HK4:HK35" si="128">IF(HJ4&gt;=80,"A",IF(HJ4&gt;=75,"B+",IF(HJ4&gt;=70,"B",IF(HJ4&gt;=65,"C+",IF(HJ4&gt;=60,"C",IF(HJ4&gt;=55,"D",IF(HJ4&lt;54,"E")))))))</f>
        <v>C+</v>
      </c>
      <c r="HL4" s="1">
        <f t="shared" si="40"/>
        <v>2.5</v>
      </c>
      <c r="HM4" s="10">
        <v>3</v>
      </c>
      <c r="HN4" s="1">
        <f t="shared" ref="HN4:HN35" si="129">HL4*HM4</f>
        <v>7.5</v>
      </c>
      <c r="HO4" s="12">
        <v>70.575000000000003</v>
      </c>
      <c r="HP4" s="10" t="str">
        <f t="shared" ref="HP4:HP35" si="130">IF(HO4&gt;=80,"A",IF(HO4&gt;=75,"B+",IF(HO4&gt;=70,"B",IF(HO4&gt;=65,"C+",IF(HO4&gt;=60,"C",IF(HO4&gt;=55,"D",IF(HO4&lt;54,"E")))))))</f>
        <v>B</v>
      </c>
      <c r="HQ4" s="1">
        <f t="shared" si="41"/>
        <v>3</v>
      </c>
      <c r="HR4" s="10">
        <v>3</v>
      </c>
      <c r="HS4" s="1">
        <f t="shared" ref="HS4:HS35" si="131">HQ4*HR4</f>
        <v>9</v>
      </c>
      <c r="HT4" s="12">
        <v>74</v>
      </c>
      <c r="HU4" s="10" t="str">
        <f t="shared" ref="HU4:HU35" si="132">IF(HT4&gt;=80,"A",IF(HT4&gt;=75,"B+",IF(HT4&gt;=70,"B",IF(HT4&gt;=65,"C+",IF(HT4&gt;=60,"C",IF(HT4&gt;=55,"D",IF(HT4&lt;54,"E")))))))</f>
        <v>B</v>
      </c>
      <c r="HV4" s="1">
        <f t="shared" ref="HV4:HV35" si="133">IF(HU4="A",4,IF(HU4="B+",3.5,IF(HU4="B",3,IF(HU4="C+",2.5,IF(HU4="C",2,IF(HU4="D",1,0))))))</f>
        <v>3</v>
      </c>
      <c r="HW4" s="10">
        <v>4</v>
      </c>
      <c r="HX4" s="1">
        <f t="shared" ref="HX4:HX35" si="134">HV4*HW4</f>
        <v>12</v>
      </c>
      <c r="HY4" s="5">
        <v>77.95</v>
      </c>
      <c r="HZ4" s="10" t="str">
        <f t="shared" ref="HZ4:HZ35" si="135">IF(HY4&gt;=80,"A",IF(HY4&gt;=75,"B+",IF(HY4&gt;=70,"B",IF(HY4&gt;=65,"C+",IF(HY4&gt;=60,"C",IF(HY4&gt;=55,"D",IF(HY4&lt;54,"E")))))))</f>
        <v>B+</v>
      </c>
      <c r="IA4" s="1">
        <f t="shared" ref="IA4:IA35" si="136">IF(HZ4="A",4,IF(HZ4="B+",3.5,IF(HZ4="B",3,IF(HZ4="C+",2.5,IF(HZ4="C",2,IF(HZ4="D",1,0))))))</f>
        <v>3.5</v>
      </c>
      <c r="IB4" s="10">
        <v>2</v>
      </c>
      <c r="IC4" s="1">
        <f t="shared" ref="IC4:IC35" si="137">IA4*IB4</f>
        <v>7</v>
      </c>
      <c r="ID4" s="7">
        <v>75.03</v>
      </c>
      <c r="IE4" s="10" t="str">
        <f t="shared" ref="IE4:IE35" si="138">IF(ID4&gt;=80,"A",IF(ID4&gt;=75,"B+",IF(ID4&gt;=70,"B",IF(ID4&gt;=65,"C+",IF(ID4&gt;=60,"C",IF(ID4&gt;=55,"D",IF(ID4&lt;54,"E")))))))</f>
        <v>B+</v>
      </c>
      <c r="IF4" s="1">
        <f t="shared" ref="IF4:IF35" si="139">IF(IE4="A",4,IF(IE4="B+",3.5,IF(IE4="B",3,IF(IE4="C+",2.5,IF(IE4="C",2,IF(IE4="D",1,0))))))</f>
        <v>3.5</v>
      </c>
      <c r="IG4" s="10">
        <v>3</v>
      </c>
      <c r="IH4" s="1">
        <f t="shared" ref="IH4:IH35" si="140">IF4*IG4</f>
        <v>10.5</v>
      </c>
      <c r="II4" s="6">
        <v>74</v>
      </c>
      <c r="IJ4" s="10" t="str">
        <f t="shared" ref="IJ4:IJ35" si="141">IF(II4&gt;=80,"A",IF(II4&gt;=75,"B+",IF(II4&gt;=70,"B",IF(II4&gt;=65,"C+",IF(II4&gt;=60,"C",IF(II4&gt;=55,"D",IF(II4&lt;54,"E")))))))</f>
        <v>B</v>
      </c>
      <c r="IK4" s="1">
        <f t="shared" ref="IK4:IK35" si="142">IF(IJ4="A",4,IF(IJ4="B+",3.5,IF(IJ4="B",3,IF(IJ4="C+",2.5,IF(IJ4="C",2,IF(IJ4="D",1,0))))))</f>
        <v>3</v>
      </c>
      <c r="IL4" s="10">
        <v>2</v>
      </c>
      <c r="IM4" s="1">
        <f t="shared" ref="IM4:IM35" si="143">IK4*IL4</f>
        <v>6</v>
      </c>
      <c r="IN4" s="18">
        <v>76.75</v>
      </c>
      <c r="IO4" s="10" t="str">
        <f t="shared" ref="IO4:IO35" si="144">IF(IN4&gt;=80,"A",IF(IN4&gt;=75,"B+",IF(IN4&gt;=70,"B",IF(IN4&gt;=65,"C+",IF(IN4&gt;=60,"C",IF(IN4&gt;=55,"D",IF(IN4&lt;54,"E")))))))</f>
        <v>B+</v>
      </c>
      <c r="IP4" s="1">
        <f t="shared" ref="IP4:IP35" si="145">IF(IO4="A",4,IF(IO4="B+",3.5,IF(IO4="B",3,IF(IO4="C+",2.5,IF(IO4="C",2,IF(IO4="D",1,0))))))</f>
        <v>3.5</v>
      </c>
      <c r="IQ4" s="10">
        <v>2</v>
      </c>
      <c r="IR4" s="1">
        <f t="shared" ref="IR4:IR35" si="146">IP4*IQ4</f>
        <v>7</v>
      </c>
      <c r="IS4" s="10">
        <v>78.5</v>
      </c>
      <c r="IT4" s="10" t="str">
        <f t="shared" ref="IT4:IT35" si="147">IF(IS4&gt;=80,"A",IF(IS4&gt;=75,"B+",IF(IS4&gt;=70,"B",IF(IS4&gt;=65,"C+",IF(IS4&gt;=60,"C",IF(IS4&gt;=55,"D",IF(IS4&lt;54,"E")))))))</f>
        <v>B+</v>
      </c>
      <c r="IU4" s="1">
        <f t="shared" ref="IU4:IU35" si="148">IF(IT4="A",4,IF(IT4="B+",3.5,IF(IT4="B",3,IF(IT4="C+",2.5,IF(IT4="C",2,IF(IT4="D",1,0))))))</f>
        <v>3.5</v>
      </c>
      <c r="IV4" s="10">
        <v>4</v>
      </c>
      <c r="IW4" s="1">
        <f t="shared" ref="IW4:IW35" si="149">IU4*IV4</f>
        <v>14</v>
      </c>
      <c r="IX4" s="10">
        <v>80.2</v>
      </c>
      <c r="IY4" s="10" t="str">
        <f t="shared" ref="IY4:IY35" si="150">IF(IX4&gt;=80,"A",IF(IX4&gt;=75,"B+",IF(IX4&gt;=70,"B",IF(IX4&gt;=65,"C+",IF(IX4&gt;=60,"C",IF(IX4&gt;=55,"D",IF(IX4&lt;54,"E")))))))</f>
        <v>A</v>
      </c>
      <c r="IZ4" s="1">
        <f t="shared" ref="IZ4:IZ35" si="151">IF(IY4="A",4,IF(IY4="B+",3.5,IF(IY4="B",3,IF(IY4="C+",2.5,IF(IY4="C",2,IF(IY4="D",1,0))))))</f>
        <v>4</v>
      </c>
      <c r="JA4" s="10">
        <v>4</v>
      </c>
      <c r="JB4" s="1">
        <f t="shared" ref="JB4:JB35" si="152">IZ4*JA4</f>
        <v>16</v>
      </c>
      <c r="JC4" s="2">
        <v>73</v>
      </c>
      <c r="JD4" s="2">
        <v>22</v>
      </c>
      <c r="JE4" s="2">
        <v>64.5</v>
      </c>
      <c r="JF4" s="2">
        <v>19</v>
      </c>
      <c r="JG4" s="2">
        <v>72</v>
      </c>
      <c r="JH4" s="2">
        <v>21</v>
      </c>
      <c r="JI4" s="2">
        <v>70</v>
      </c>
      <c r="JJ4" s="2">
        <v>21</v>
      </c>
      <c r="JK4" s="2">
        <v>68</v>
      </c>
      <c r="JL4" s="2">
        <v>21</v>
      </c>
      <c r="JM4" s="2">
        <v>59</v>
      </c>
      <c r="JN4" s="2">
        <v>19</v>
      </c>
      <c r="JO4" s="2">
        <v>56.5</v>
      </c>
      <c r="JP4" s="2">
        <v>17</v>
      </c>
      <c r="JQ4" s="2">
        <v>16</v>
      </c>
      <c r="JR4" s="2">
        <v>4</v>
      </c>
      <c r="JS4" s="2">
        <f t="shared" ref="JS4:JT34" si="153">JC4+JE4+JG4+JI4+JK4+JM4+JO4+JQ4</f>
        <v>479</v>
      </c>
      <c r="JT4" s="2">
        <f t="shared" si="153"/>
        <v>144</v>
      </c>
      <c r="JU4" s="3">
        <f t="shared" ref="JU4:JU35" si="154">JS4/JT4</f>
        <v>3.3263888888888888</v>
      </c>
      <c r="JV4" s="2" t="str">
        <f t="shared" ref="JV4:JV35" si="155">IF(JU4&gt;=3.51,"Cum Laude",(IF(JU4&gt;=2.75,"Sangat Memuaskan",(IF(JU4&gt;=2,"Memuaskan","GAGAL")))))</f>
        <v>Sangat Memuaskan</v>
      </c>
      <c r="JW4" s="2" t="str">
        <f t="shared" ref="JW4:JW35" si="156">IF(JU4&gt;=3.51,"Excellent",(IF(JU4&gt;=2.75,"Highly Satisfactory",(IF(JU4&gt;=2,"Satisfactory","FAILED")))))</f>
        <v>Highly Satisfactory</v>
      </c>
      <c r="JX4" s="23" t="s">
        <v>187</v>
      </c>
      <c r="JY4" s="23" t="s">
        <v>257</v>
      </c>
    </row>
    <row r="5" spans="1:285" x14ac:dyDescent="0.25">
      <c r="A5" s="55">
        <v>3</v>
      </c>
      <c r="B5" s="22" t="s">
        <v>21</v>
      </c>
      <c r="C5" s="25">
        <v>152111003</v>
      </c>
      <c r="D5" s="25" t="s">
        <v>134</v>
      </c>
      <c r="E5" s="27" t="s">
        <v>171</v>
      </c>
      <c r="F5" s="27" t="s">
        <v>219</v>
      </c>
      <c r="G5" s="2" t="s">
        <v>224</v>
      </c>
      <c r="H5" s="9">
        <v>91.25</v>
      </c>
      <c r="I5" s="10" t="str">
        <f t="shared" si="42"/>
        <v>A</v>
      </c>
      <c r="J5" s="1">
        <f t="shared" si="0"/>
        <v>4</v>
      </c>
      <c r="K5" s="10">
        <v>2</v>
      </c>
      <c r="L5" s="1">
        <f t="shared" si="43"/>
        <v>8</v>
      </c>
      <c r="M5" s="11">
        <v>77</v>
      </c>
      <c r="N5" s="10" t="str">
        <f t="shared" si="44"/>
        <v>B+</v>
      </c>
      <c r="O5" s="1">
        <f t="shared" si="1"/>
        <v>3.5</v>
      </c>
      <c r="P5" s="10">
        <v>3</v>
      </c>
      <c r="Q5" s="1">
        <f t="shared" si="45"/>
        <v>10.5</v>
      </c>
      <c r="R5" s="31">
        <v>77.074999999999989</v>
      </c>
      <c r="S5" s="10" t="str">
        <f t="shared" si="46"/>
        <v>B+</v>
      </c>
      <c r="T5" s="1">
        <f t="shared" si="2"/>
        <v>3.5</v>
      </c>
      <c r="U5" s="10">
        <v>4</v>
      </c>
      <c r="V5" s="1">
        <f t="shared" si="47"/>
        <v>14</v>
      </c>
      <c r="W5" s="4">
        <v>85.35</v>
      </c>
      <c r="X5" s="10" t="str">
        <f t="shared" si="48"/>
        <v>A</v>
      </c>
      <c r="Y5" s="1">
        <f t="shared" si="3"/>
        <v>4</v>
      </c>
      <c r="Z5" s="10">
        <v>2</v>
      </c>
      <c r="AA5" s="1">
        <f t="shared" si="49"/>
        <v>8</v>
      </c>
      <c r="AB5" s="12">
        <v>83.75</v>
      </c>
      <c r="AC5" s="10" t="str">
        <f t="shared" si="50"/>
        <v>A</v>
      </c>
      <c r="AD5" s="1">
        <f t="shared" si="4"/>
        <v>4</v>
      </c>
      <c r="AE5" s="10">
        <v>4</v>
      </c>
      <c r="AF5" s="1">
        <f t="shared" si="51"/>
        <v>16</v>
      </c>
      <c r="AG5" s="12">
        <v>83.05</v>
      </c>
      <c r="AH5" s="10" t="str">
        <f t="shared" si="52"/>
        <v>A</v>
      </c>
      <c r="AI5" s="1">
        <f t="shared" si="5"/>
        <v>4</v>
      </c>
      <c r="AJ5" s="10">
        <v>4</v>
      </c>
      <c r="AK5" s="1">
        <f t="shared" si="53"/>
        <v>16</v>
      </c>
      <c r="AL5" s="13">
        <v>78.699999999999989</v>
      </c>
      <c r="AM5" s="10" t="str">
        <f t="shared" si="54"/>
        <v>B+</v>
      </c>
      <c r="AN5" s="1">
        <f t="shared" si="6"/>
        <v>3.5</v>
      </c>
      <c r="AO5" s="10">
        <v>3</v>
      </c>
      <c r="AP5" s="1">
        <f t="shared" si="55"/>
        <v>10.5</v>
      </c>
      <c r="AQ5" s="12">
        <v>94.200000000000017</v>
      </c>
      <c r="AR5" s="10" t="str">
        <f t="shared" si="56"/>
        <v>A</v>
      </c>
      <c r="AS5" s="1">
        <f t="shared" si="7"/>
        <v>4</v>
      </c>
      <c r="AT5" s="10">
        <v>3</v>
      </c>
      <c r="AU5" s="1">
        <f t="shared" si="57"/>
        <v>12</v>
      </c>
      <c r="AV5" s="11">
        <v>75</v>
      </c>
      <c r="AW5" s="10" t="str">
        <f t="shared" si="58"/>
        <v>B+</v>
      </c>
      <c r="AX5" s="1">
        <f t="shared" si="8"/>
        <v>3.5</v>
      </c>
      <c r="AY5" s="10">
        <v>2</v>
      </c>
      <c r="AZ5" s="1">
        <f t="shared" si="59"/>
        <v>7</v>
      </c>
      <c r="BA5" s="12">
        <v>80.900000000000006</v>
      </c>
      <c r="BB5" s="10" t="str">
        <f t="shared" si="60"/>
        <v>A</v>
      </c>
      <c r="BC5" s="1">
        <f t="shared" si="9"/>
        <v>4</v>
      </c>
      <c r="BD5" s="10">
        <v>2</v>
      </c>
      <c r="BE5" s="1">
        <f t="shared" si="61"/>
        <v>8</v>
      </c>
      <c r="BF5" s="14">
        <v>77.8</v>
      </c>
      <c r="BG5" s="10" t="str">
        <f t="shared" si="62"/>
        <v>B+</v>
      </c>
      <c r="BH5" s="1">
        <f t="shared" si="10"/>
        <v>3.5</v>
      </c>
      <c r="BI5" s="10">
        <v>3</v>
      </c>
      <c r="BJ5" s="1">
        <f t="shared" si="63"/>
        <v>10.5</v>
      </c>
      <c r="BK5" s="15">
        <v>82.75</v>
      </c>
      <c r="BL5" s="10" t="str">
        <f t="shared" si="64"/>
        <v>A</v>
      </c>
      <c r="BM5" s="1">
        <f t="shared" si="11"/>
        <v>4</v>
      </c>
      <c r="BN5" s="10">
        <v>2</v>
      </c>
      <c r="BO5" s="1">
        <f t="shared" si="65"/>
        <v>8</v>
      </c>
      <c r="BP5" s="12">
        <v>74.55</v>
      </c>
      <c r="BQ5" s="10" t="str">
        <f t="shared" si="66"/>
        <v>B</v>
      </c>
      <c r="BR5" s="1">
        <f t="shared" si="12"/>
        <v>3</v>
      </c>
      <c r="BS5" s="10">
        <v>2</v>
      </c>
      <c r="BT5" s="1">
        <f t="shared" si="67"/>
        <v>6</v>
      </c>
      <c r="BU5" s="4">
        <v>78.900000000000006</v>
      </c>
      <c r="BV5" s="10" t="str">
        <f t="shared" si="68"/>
        <v>B+</v>
      </c>
      <c r="BW5" s="1">
        <f t="shared" si="13"/>
        <v>3.5</v>
      </c>
      <c r="BX5" s="10">
        <v>3</v>
      </c>
      <c r="BY5" s="1">
        <f t="shared" si="69"/>
        <v>10.5</v>
      </c>
      <c r="BZ5" s="13">
        <v>76.266666666666666</v>
      </c>
      <c r="CA5" s="10" t="str">
        <f t="shared" si="70"/>
        <v>B+</v>
      </c>
      <c r="CB5" s="1">
        <f t="shared" si="14"/>
        <v>3.5</v>
      </c>
      <c r="CC5" s="10">
        <v>2</v>
      </c>
      <c r="CD5" s="1">
        <f t="shared" si="71"/>
        <v>7</v>
      </c>
      <c r="CE5" s="19">
        <v>80.650000000000006</v>
      </c>
      <c r="CF5" s="10" t="str">
        <f t="shared" si="72"/>
        <v>A</v>
      </c>
      <c r="CG5" s="1">
        <f t="shared" si="15"/>
        <v>4</v>
      </c>
      <c r="CH5" s="10">
        <v>4</v>
      </c>
      <c r="CI5" s="1">
        <f t="shared" si="73"/>
        <v>16</v>
      </c>
      <c r="CJ5" s="16">
        <v>78.849999999999994</v>
      </c>
      <c r="CK5" s="10" t="str">
        <f t="shared" si="74"/>
        <v>B+</v>
      </c>
      <c r="CL5" s="1">
        <f t="shared" si="16"/>
        <v>3.5</v>
      </c>
      <c r="CM5" s="10">
        <v>4</v>
      </c>
      <c r="CN5" s="1">
        <f t="shared" si="75"/>
        <v>14</v>
      </c>
      <c r="CO5" s="19">
        <v>77.05</v>
      </c>
      <c r="CP5" s="10" t="str">
        <f t="shared" si="76"/>
        <v>B+</v>
      </c>
      <c r="CQ5" s="1">
        <f t="shared" si="17"/>
        <v>3.5</v>
      </c>
      <c r="CR5" s="10">
        <v>3</v>
      </c>
      <c r="CS5" s="1">
        <f t="shared" si="77"/>
        <v>10.5</v>
      </c>
      <c r="CT5" s="17">
        <v>82.193428571428569</v>
      </c>
      <c r="CU5" s="10" t="str">
        <f t="shared" si="78"/>
        <v>A</v>
      </c>
      <c r="CV5" s="1">
        <f t="shared" si="18"/>
        <v>4</v>
      </c>
      <c r="CW5" s="10">
        <v>2</v>
      </c>
      <c r="CX5" s="1">
        <f t="shared" si="79"/>
        <v>8</v>
      </c>
      <c r="CY5" s="18">
        <v>81.400000000000006</v>
      </c>
      <c r="CZ5" s="10" t="str">
        <f t="shared" si="80"/>
        <v>A</v>
      </c>
      <c r="DA5" s="1">
        <f t="shared" si="19"/>
        <v>4</v>
      </c>
      <c r="DB5" s="10">
        <v>2</v>
      </c>
      <c r="DC5" s="1">
        <f t="shared" si="81"/>
        <v>8</v>
      </c>
      <c r="DD5" s="19">
        <v>87.850000000000009</v>
      </c>
      <c r="DE5" s="10" t="str">
        <f t="shared" si="82"/>
        <v>A</v>
      </c>
      <c r="DF5" s="1">
        <f t="shared" si="20"/>
        <v>4</v>
      </c>
      <c r="DG5" s="10">
        <v>2</v>
      </c>
      <c r="DH5" s="1">
        <f t="shared" si="83"/>
        <v>8</v>
      </c>
      <c r="DI5" s="5">
        <v>82</v>
      </c>
      <c r="DJ5" s="10" t="str">
        <f t="shared" si="84"/>
        <v>A</v>
      </c>
      <c r="DK5" s="1">
        <f t="shared" si="21"/>
        <v>4</v>
      </c>
      <c r="DL5" s="10">
        <v>2</v>
      </c>
      <c r="DM5" s="1">
        <f t="shared" si="85"/>
        <v>8</v>
      </c>
      <c r="DN5" s="20">
        <v>81</v>
      </c>
      <c r="DO5" s="10" t="str">
        <f t="shared" si="86"/>
        <v>A</v>
      </c>
      <c r="DP5" s="1">
        <f t="shared" si="22"/>
        <v>4</v>
      </c>
      <c r="DQ5" s="10">
        <v>2</v>
      </c>
      <c r="DR5" s="1">
        <f t="shared" si="87"/>
        <v>8</v>
      </c>
      <c r="DS5" s="19">
        <v>82.199999999999989</v>
      </c>
      <c r="DT5" s="10" t="str">
        <f t="shared" si="88"/>
        <v>A</v>
      </c>
      <c r="DU5" s="1">
        <f t="shared" si="23"/>
        <v>4</v>
      </c>
      <c r="DV5" s="10">
        <v>4</v>
      </c>
      <c r="DW5" s="1">
        <f t="shared" si="89"/>
        <v>16</v>
      </c>
      <c r="DX5" s="4">
        <v>89.8</v>
      </c>
      <c r="DY5" s="10" t="str">
        <f t="shared" si="90"/>
        <v>A</v>
      </c>
      <c r="DZ5" s="1">
        <f t="shared" si="24"/>
        <v>4</v>
      </c>
      <c r="EA5" s="10">
        <v>3</v>
      </c>
      <c r="EB5" s="1">
        <f t="shared" si="91"/>
        <v>12</v>
      </c>
      <c r="EC5" s="19">
        <v>77.45</v>
      </c>
      <c r="ED5" s="10" t="str">
        <f t="shared" si="92"/>
        <v>B+</v>
      </c>
      <c r="EE5" s="1">
        <f t="shared" si="25"/>
        <v>3.5</v>
      </c>
      <c r="EF5" s="10">
        <v>3</v>
      </c>
      <c r="EG5" s="1">
        <f t="shared" si="93"/>
        <v>10.5</v>
      </c>
      <c r="EH5" s="6">
        <v>81.599999999999994</v>
      </c>
      <c r="EI5" s="10" t="str">
        <f t="shared" si="94"/>
        <v>A</v>
      </c>
      <c r="EJ5" s="1">
        <f t="shared" si="26"/>
        <v>4</v>
      </c>
      <c r="EK5" s="10">
        <v>3</v>
      </c>
      <c r="EL5" s="1">
        <f t="shared" si="95"/>
        <v>12</v>
      </c>
      <c r="EM5" s="18">
        <v>78.431111111111107</v>
      </c>
      <c r="EN5" s="10" t="str">
        <f t="shared" si="96"/>
        <v>B+</v>
      </c>
      <c r="EO5" s="1">
        <f t="shared" si="27"/>
        <v>3.5</v>
      </c>
      <c r="EP5" s="10">
        <v>3</v>
      </c>
      <c r="EQ5" s="1">
        <f t="shared" si="97"/>
        <v>10.5</v>
      </c>
      <c r="ER5" s="7">
        <v>81.400000000000006</v>
      </c>
      <c r="ES5" s="10" t="str">
        <f t="shared" si="98"/>
        <v>A</v>
      </c>
      <c r="ET5" s="1">
        <f t="shared" si="28"/>
        <v>4</v>
      </c>
      <c r="EU5" s="10">
        <v>2</v>
      </c>
      <c r="EV5" s="1">
        <f t="shared" si="99"/>
        <v>8</v>
      </c>
      <c r="EW5" s="5">
        <v>80.400000000000006</v>
      </c>
      <c r="EX5" s="10" t="str">
        <f t="shared" si="100"/>
        <v>A</v>
      </c>
      <c r="EY5" s="1">
        <f t="shared" si="29"/>
        <v>4</v>
      </c>
      <c r="EZ5" s="10">
        <v>3</v>
      </c>
      <c r="FA5" s="1">
        <f t="shared" si="101"/>
        <v>12</v>
      </c>
      <c r="FB5" s="19">
        <v>81</v>
      </c>
      <c r="FC5" s="10" t="str">
        <f t="shared" si="102"/>
        <v>A</v>
      </c>
      <c r="FD5" s="1">
        <f t="shared" si="30"/>
        <v>4</v>
      </c>
      <c r="FE5" s="10">
        <v>2</v>
      </c>
      <c r="FF5" s="1">
        <f t="shared" si="103"/>
        <v>8</v>
      </c>
      <c r="FG5" s="5">
        <v>80.5</v>
      </c>
      <c r="FH5" s="10" t="str">
        <f t="shared" si="104"/>
        <v>A</v>
      </c>
      <c r="FI5" s="1">
        <f t="shared" si="31"/>
        <v>4</v>
      </c>
      <c r="FJ5" s="10">
        <v>3</v>
      </c>
      <c r="FK5" s="1">
        <f t="shared" si="105"/>
        <v>12</v>
      </c>
      <c r="FL5" s="19">
        <v>80.933333333333337</v>
      </c>
      <c r="FM5" s="10" t="str">
        <f t="shared" si="106"/>
        <v>A</v>
      </c>
      <c r="FN5" s="1">
        <f t="shared" si="32"/>
        <v>4</v>
      </c>
      <c r="FO5" s="10">
        <v>3</v>
      </c>
      <c r="FP5" s="1">
        <f t="shared" si="107"/>
        <v>12</v>
      </c>
      <c r="FQ5" s="6">
        <v>81.47</v>
      </c>
      <c r="FR5" s="10" t="str">
        <f t="shared" si="108"/>
        <v>A</v>
      </c>
      <c r="FS5" s="1">
        <f t="shared" si="109"/>
        <v>4</v>
      </c>
      <c r="FT5" s="10">
        <v>3</v>
      </c>
      <c r="FU5" s="1">
        <f t="shared" si="110"/>
        <v>12</v>
      </c>
      <c r="FV5" s="18">
        <v>81.8</v>
      </c>
      <c r="FW5" s="10" t="str">
        <f t="shared" si="111"/>
        <v>A</v>
      </c>
      <c r="FX5" s="1">
        <f t="shared" si="33"/>
        <v>4</v>
      </c>
      <c r="FY5" s="10">
        <v>3</v>
      </c>
      <c r="FZ5" s="1">
        <f t="shared" si="112"/>
        <v>12</v>
      </c>
      <c r="GA5" s="7">
        <v>80.05</v>
      </c>
      <c r="GB5" s="10" t="str">
        <f t="shared" si="113"/>
        <v>A</v>
      </c>
      <c r="GC5" s="1">
        <f t="shared" si="34"/>
        <v>4</v>
      </c>
      <c r="GD5" s="10">
        <v>2</v>
      </c>
      <c r="GE5" s="1">
        <f t="shared" si="114"/>
        <v>8</v>
      </c>
      <c r="GF5" s="5">
        <v>80.7</v>
      </c>
      <c r="GG5" s="10" t="str">
        <f t="shared" si="115"/>
        <v>A</v>
      </c>
      <c r="GH5" s="1">
        <f t="shared" si="35"/>
        <v>4</v>
      </c>
      <c r="GI5" s="10">
        <v>3</v>
      </c>
      <c r="GJ5" s="1">
        <f t="shared" si="116"/>
        <v>12</v>
      </c>
      <c r="GK5" s="5">
        <v>78.2</v>
      </c>
      <c r="GL5" s="10" t="str">
        <f t="shared" si="117"/>
        <v>B+</v>
      </c>
      <c r="GM5" s="1">
        <f t="shared" si="36"/>
        <v>3.5</v>
      </c>
      <c r="GN5" s="10">
        <v>2</v>
      </c>
      <c r="GO5" s="1">
        <f t="shared" si="118"/>
        <v>7</v>
      </c>
      <c r="GP5" s="19">
        <v>80.2</v>
      </c>
      <c r="GQ5" s="10" t="str">
        <f t="shared" si="119"/>
        <v>A</v>
      </c>
      <c r="GR5" s="1">
        <f t="shared" si="37"/>
        <v>4</v>
      </c>
      <c r="GS5" s="10">
        <v>3</v>
      </c>
      <c r="GT5" s="1">
        <f t="shared" si="120"/>
        <v>12</v>
      </c>
      <c r="GU5" s="5">
        <v>78.66</v>
      </c>
      <c r="GV5" s="10" t="str">
        <f t="shared" si="121"/>
        <v>B+</v>
      </c>
      <c r="GW5" s="1">
        <f t="shared" si="38"/>
        <v>3.5</v>
      </c>
      <c r="GX5" s="10">
        <v>4</v>
      </c>
      <c r="GY5" s="1">
        <f t="shared" si="122"/>
        <v>14</v>
      </c>
      <c r="GZ5" s="7">
        <v>75.5</v>
      </c>
      <c r="HA5" s="10" t="str">
        <f t="shared" si="123"/>
        <v>B+</v>
      </c>
      <c r="HB5" s="1">
        <f t="shared" si="124"/>
        <v>3.5</v>
      </c>
      <c r="HC5" s="10">
        <v>4</v>
      </c>
      <c r="HD5" s="1">
        <f t="shared" si="125"/>
        <v>14</v>
      </c>
      <c r="HE5" s="6">
        <v>81.325000000000003</v>
      </c>
      <c r="HF5" s="10" t="str">
        <f t="shared" si="126"/>
        <v>A</v>
      </c>
      <c r="HG5" s="1">
        <f t="shared" si="39"/>
        <v>4</v>
      </c>
      <c r="HH5" s="10">
        <v>2</v>
      </c>
      <c r="HI5" s="1">
        <f t="shared" si="127"/>
        <v>8</v>
      </c>
      <c r="HJ5" s="18">
        <v>84.083333333333329</v>
      </c>
      <c r="HK5" s="10" t="str">
        <f t="shared" si="128"/>
        <v>A</v>
      </c>
      <c r="HL5" s="1">
        <f t="shared" si="40"/>
        <v>4</v>
      </c>
      <c r="HM5" s="10">
        <v>3</v>
      </c>
      <c r="HN5" s="1">
        <f t="shared" si="129"/>
        <v>12</v>
      </c>
      <c r="HO5" s="12">
        <v>81.674999999999997</v>
      </c>
      <c r="HP5" s="10" t="str">
        <f t="shared" si="130"/>
        <v>A</v>
      </c>
      <c r="HQ5" s="1">
        <f t="shared" si="41"/>
        <v>4</v>
      </c>
      <c r="HR5" s="10">
        <v>3</v>
      </c>
      <c r="HS5" s="1">
        <f t="shared" si="131"/>
        <v>12</v>
      </c>
      <c r="HT5" s="10">
        <v>75.400000000000006</v>
      </c>
      <c r="HU5" s="10" t="str">
        <f t="shared" si="132"/>
        <v>B+</v>
      </c>
      <c r="HV5" s="1">
        <f t="shared" si="133"/>
        <v>3.5</v>
      </c>
      <c r="HW5" s="10">
        <v>4</v>
      </c>
      <c r="HX5" s="1">
        <f t="shared" si="134"/>
        <v>14</v>
      </c>
      <c r="HY5" s="5">
        <v>80.75</v>
      </c>
      <c r="HZ5" s="10" t="str">
        <f t="shared" si="135"/>
        <v>A</v>
      </c>
      <c r="IA5" s="1">
        <f t="shared" si="136"/>
        <v>4</v>
      </c>
      <c r="IB5" s="10">
        <v>2</v>
      </c>
      <c r="IC5" s="1">
        <f t="shared" si="137"/>
        <v>8</v>
      </c>
      <c r="ID5" s="7">
        <v>80</v>
      </c>
      <c r="IE5" s="10" t="str">
        <f t="shared" si="138"/>
        <v>A</v>
      </c>
      <c r="IF5" s="1">
        <f t="shared" si="139"/>
        <v>4</v>
      </c>
      <c r="IG5" s="10">
        <v>3</v>
      </c>
      <c r="IH5" s="1">
        <f t="shared" si="140"/>
        <v>12</v>
      </c>
      <c r="II5" s="6">
        <v>75.400000000000006</v>
      </c>
      <c r="IJ5" s="10" t="str">
        <f t="shared" si="141"/>
        <v>B+</v>
      </c>
      <c r="IK5" s="1">
        <f t="shared" si="142"/>
        <v>3.5</v>
      </c>
      <c r="IL5" s="10">
        <v>2</v>
      </c>
      <c r="IM5" s="1">
        <f t="shared" si="143"/>
        <v>7</v>
      </c>
      <c r="IN5" s="18">
        <v>78.55</v>
      </c>
      <c r="IO5" s="10" t="str">
        <f t="shared" si="144"/>
        <v>B+</v>
      </c>
      <c r="IP5" s="1">
        <f t="shared" si="145"/>
        <v>3.5</v>
      </c>
      <c r="IQ5" s="10">
        <v>2</v>
      </c>
      <c r="IR5" s="1">
        <f t="shared" si="146"/>
        <v>7</v>
      </c>
      <c r="IS5" s="10">
        <v>81.2</v>
      </c>
      <c r="IT5" s="10" t="str">
        <f t="shared" si="147"/>
        <v>A</v>
      </c>
      <c r="IU5" s="1">
        <f t="shared" si="148"/>
        <v>4</v>
      </c>
      <c r="IV5" s="10">
        <v>4</v>
      </c>
      <c r="IW5" s="1">
        <f t="shared" si="149"/>
        <v>16</v>
      </c>
      <c r="IX5" s="10">
        <v>83</v>
      </c>
      <c r="IY5" s="10" t="str">
        <f t="shared" si="150"/>
        <v>A</v>
      </c>
      <c r="IZ5" s="1">
        <f t="shared" si="151"/>
        <v>4</v>
      </c>
      <c r="JA5" s="10">
        <v>4</v>
      </c>
      <c r="JB5" s="1">
        <f t="shared" si="152"/>
        <v>16</v>
      </c>
      <c r="JC5" s="2">
        <v>83</v>
      </c>
      <c r="JD5" s="2">
        <v>22</v>
      </c>
      <c r="JE5" s="2">
        <v>69</v>
      </c>
      <c r="JF5" s="2">
        <v>19</v>
      </c>
      <c r="JG5" s="2">
        <v>80.5</v>
      </c>
      <c r="JH5" s="2">
        <v>21</v>
      </c>
      <c r="JI5" s="2">
        <v>81</v>
      </c>
      <c r="JJ5" s="2">
        <v>21</v>
      </c>
      <c r="JK5" s="2">
        <v>83</v>
      </c>
      <c r="JL5" s="2">
        <v>21</v>
      </c>
      <c r="JM5" s="2">
        <v>72</v>
      </c>
      <c r="JN5" s="2">
        <v>19</v>
      </c>
      <c r="JO5" s="2">
        <v>64</v>
      </c>
      <c r="JP5" s="2">
        <v>17</v>
      </c>
      <c r="JQ5" s="2">
        <v>16</v>
      </c>
      <c r="JR5" s="2">
        <v>4</v>
      </c>
      <c r="JS5" s="2">
        <f t="shared" si="153"/>
        <v>548.5</v>
      </c>
      <c r="JT5" s="2">
        <f t="shared" si="153"/>
        <v>144</v>
      </c>
      <c r="JU5" s="3">
        <f t="shared" si="154"/>
        <v>3.8090277777777777</v>
      </c>
      <c r="JV5" s="2" t="str">
        <f t="shared" si="155"/>
        <v>Cum Laude</v>
      </c>
      <c r="JW5" s="2" t="str">
        <f t="shared" si="156"/>
        <v>Excellent</v>
      </c>
      <c r="JX5" s="23" t="s">
        <v>188</v>
      </c>
      <c r="JY5" s="23" t="s">
        <v>258</v>
      </c>
    </row>
    <row r="6" spans="1:285" x14ac:dyDescent="0.25">
      <c r="A6" s="55">
        <v>4</v>
      </c>
      <c r="B6" s="22" t="s">
        <v>22</v>
      </c>
      <c r="C6" s="25">
        <v>152111004</v>
      </c>
      <c r="D6" s="10" t="s">
        <v>135</v>
      </c>
      <c r="E6" s="27" t="s">
        <v>136</v>
      </c>
      <c r="F6" s="27" t="s">
        <v>219</v>
      </c>
      <c r="G6" s="2" t="s">
        <v>225</v>
      </c>
      <c r="H6" s="9">
        <v>83.5</v>
      </c>
      <c r="I6" s="10" t="str">
        <f t="shared" si="42"/>
        <v>A</v>
      </c>
      <c r="J6" s="1">
        <f t="shared" si="0"/>
        <v>4</v>
      </c>
      <c r="K6" s="10">
        <v>2</v>
      </c>
      <c r="L6" s="1">
        <f t="shared" si="43"/>
        <v>8</v>
      </c>
      <c r="M6" s="11">
        <v>75.125</v>
      </c>
      <c r="N6" s="10" t="str">
        <f t="shared" si="44"/>
        <v>B+</v>
      </c>
      <c r="O6" s="1">
        <f t="shared" si="1"/>
        <v>3.5</v>
      </c>
      <c r="P6" s="10">
        <v>3</v>
      </c>
      <c r="Q6" s="1">
        <f t="shared" si="45"/>
        <v>10.5</v>
      </c>
      <c r="R6" s="31">
        <v>77.016666666666666</v>
      </c>
      <c r="S6" s="10" t="str">
        <f t="shared" si="46"/>
        <v>B+</v>
      </c>
      <c r="T6" s="1">
        <f t="shared" si="2"/>
        <v>3.5</v>
      </c>
      <c r="U6" s="10">
        <v>4</v>
      </c>
      <c r="V6" s="1">
        <f t="shared" si="47"/>
        <v>14</v>
      </c>
      <c r="W6" s="12">
        <v>78.099999999999994</v>
      </c>
      <c r="X6" s="10" t="str">
        <f t="shared" si="48"/>
        <v>B+</v>
      </c>
      <c r="Y6" s="1">
        <f t="shared" si="3"/>
        <v>3.5</v>
      </c>
      <c r="Z6" s="10">
        <v>2</v>
      </c>
      <c r="AA6" s="1">
        <f t="shared" si="49"/>
        <v>7</v>
      </c>
      <c r="AB6" s="12">
        <v>66</v>
      </c>
      <c r="AC6" s="10" t="str">
        <f t="shared" si="50"/>
        <v>C+</v>
      </c>
      <c r="AD6" s="1">
        <f t="shared" si="4"/>
        <v>2.5</v>
      </c>
      <c r="AE6" s="10">
        <v>4</v>
      </c>
      <c r="AF6" s="1">
        <f t="shared" si="51"/>
        <v>10</v>
      </c>
      <c r="AG6" s="12">
        <v>83.05</v>
      </c>
      <c r="AH6" s="10" t="str">
        <f t="shared" si="52"/>
        <v>A</v>
      </c>
      <c r="AI6" s="1">
        <f t="shared" si="5"/>
        <v>4</v>
      </c>
      <c r="AJ6" s="10">
        <v>4</v>
      </c>
      <c r="AK6" s="1">
        <f t="shared" si="53"/>
        <v>16</v>
      </c>
      <c r="AL6" s="13">
        <v>79.766666666666666</v>
      </c>
      <c r="AM6" s="10" t="str">
        <f t="shared" si="54"/>
        <v>B+</v>
      </c>
      <c r="AN6" s="1">
        <f t="shared" si="6"/>
        <v>3.5</v>
      </c>
      <c r="AO6" s="10">
        <v>3</v>
      </c>
      <c r="AP6" s="1">
        <f t="shared" si="55"/>
        <v>10.5</v>
      </c>
      <c r="AQ6" s="12">
        <v>87.4</v>
      </c>
      <c r="AR6" s="10" t="str">
        <f t="shared" si="56"/>
        <v>A</v>
      </c>
      <c r="AS6" s="1">
        <f t="shared" si="7"/>
        <v>4</v>
      </c>
      <c r="AT6" s="10">
        <v>3</v>
      </c>
      <c r="AU6" s="1">
        <f t="shared" si="57"/>
        <v>12</v>
      </c>
      <c r="AV6" s="11">
        <v>70</v>
      </c>
      <c r="AW6" s="10" t="str">
        <f t="shared" si="58"/>
        <v>B</v>
      </c>
      <c r="AX6" s="1">
        <f t="shared" si="8"/>
        <v>3</v>
      </c>
      <c r="AY6" s="10">
        <v>2</v>
      </c>
      <c r="AZ6" s="1">
        <f t="shared" si="59"/>
        <v>6</v>
      </c>
      <c r="BA6" s="12">
        <v>80.7</v>
      </c>
      <c r="BB6" s="10" t="str">
        <f t="shared" si="60"/>
        <v>A</v>
      </c>
      <c r="BC6" s="1">
        <f t="shared" si="9"/>
        <v>4</v>
      </c>
      <c r="BD6" s="10">
        <v>2</v>
      </c>
      <c r="BE6" s="1">
        <f t="shared" si="61"/>
        <v>8</v>
      </c>
      <c r="BF6" s="14">
        <v>77.8</v>
      </c>
      <c r="BG6" s="10" t="str">
        <f t="shared" si="62"/>
        <v>B+</v>
      </c>
      <c r="BH6" s="1">
        <f t="shared" si="10"/>
        <v>3.5</v>
      </c>
      <c r="BI6" s="10">
        <v>3</v>
      </c>
      <c r="BJ6" s="1">
        <f t="shared" si="63"/>
        <v>10.5</v>
      </c>
      <c r="BK6" s="15">
        <v>77.25</v>
      </c>
      <c r="BL6" s="10" t="str">
        <f t="shared" si="64"/>
        <v>B+</v>
      </c>
      <c r="BM6" s="1">
        <f t="shared" si="11"/>
        <v>3.5</v>
      </c>
      <c r="BN6" s="10">
        <v>2</v>
      </c>
      <c r="BO6" s="1">
        <f t="shared" si="65"/>
        <v>7</v>
      </c>
      <c r="BP6" s="12">
        <v>70.449999999999989</v>
      </c>
      <c r="BQ6" s="10" t="str">
        <f t="shared" si="66"/>
        <v>B</v>
      </c>
      <c r="BR6" s="1">
        <f t="shared" si="12"/>
        <v>3</v>
      </c>
      <c r="BS6" s="10">
        <v>2</v>
      </c>
      <c r="BT6" s="1">
        <f t="shared" si="67"/>
        <v>6</v>
      </c>
      <c r="BU6" s="4">
        <v>77.400000000000006</v>
      </c>
      <c r="BV6" s="10" t="str">
        <f t="shared" si="68"/>
        <v>B+</v>
      </c>
      <c r="BW6" s="1">
        <f t="shared" si="13"/>
        <v>3.5</v>
      </c>
      <c r="BX6" s="10">
        <v>3</v>
      </c>
      <c r="BY6" s="1">
        <f t="shared" si="69"/>
        <v>10.5</v>
      </c>
      <c r="BZ6" s="13">
        <v>76.599999999999994</v>
      </c>
      <c r="CA6" s="10" t="str">
        <f t="shared" si="70"/>
        <v>B+</v>
      </c>
      <c r="CB6" s="1">
        <f t="shared" si="14"/>
        <v>3.5</v>
      </c>
      <c r="CC6" s="10">
        <v>2</v>
      </c>
      <c r="CD6" s="1">
        <f t="shared" si="71"/>
        <v>7</v>
      </c>
      <c r="CE6" s="19">
        <v>79.599999999999994</v>
      </c>
      <c r="CF6" s="10" t="str">
        <f t="shared" si="72"/>
        <v>B+</v>
      </c>
      <c r="CG6" s="1">
        <f t="shared" si="15"/>
        <v>3.5</v>
      </c>
      <c r="CH6" s="10">
        <v>4</v>
      </c>
      <c r="CI6" s="1">
        <f t="shared" si="73"/>
        <v>14</v>
      </c>
      <c r="CJ6" s="16">
        <v>79.2</v>
      </c>
      <c r="CK6" s="10" t="str">
        <f t="shared" si="74"/>
        <v>B+</v>
      </c>
      <c r="CL6" s="1">
        <f t="shared" si="16"/>
        <v>3.5</v>
      </c>
      <c r="CM6" s="10">
        <v>4</v>
      </c>
      <c r="CN6" s="1">
        <f t="shared" si="75"/>
        <v>14</v>
      </c>
      <c r="CO6" s="19">
        <v>76.599999999999994</v>
      </c>
      <c r="CP6" s="10" t="str">
        <f t="shared" si="76"/>
        <v>B+</v>
      </c>
      <c r="CQ6" s="1">
        <f t="shared" si="17"/>
        <v>3.5</v>
      </c>
      <c r="CR6" s="10">
        <v>3</v>
      </c>
      <c r="CS6" s="1">
        <f t="shared" si="77"/>
        <v>10.5</v>
      </c>
      <c r="CT6" s="17">
        <v>80.302285714285716</v>
      </c>
      <c r="CU6" s="10" t="str">
        <f t="shared" si="78"/>
        <v>A</v>
      </c>
      <c r="CV6" s="1">
        <f t="shared" si="18"/>
        <v>4</v>
      </c>
      <c r="CW6" s="10">
        <v>2</v>
      </c>
      <c r="CX6" s="1">
        <f t="shared" si="79"/>
        <v>8</v>
      </c>
      <c r="CY6" s="18">
        <v>82.525000000000006</v>
      </c>
      <c r="CZ6" s="10" t="str">
        <f t="shared" si="80"/>
        <v>A</v>
      </c>
      <c r="DA6" s="1">
        <f t="shared" si="19"/>
        <v>4</v>
      </c>
      <c r="DB6" s="10">
        <v>2</v>
      </c>
      <c r="DC6" s="1">
        <f t="shared" si="81"/>
        <v>8</v>
      </c>
      <c r="DD6" s="19">
        <v>81.099999999999994</v>
      </c>
      <c r="DE6" s="10" t="str">
        <f t="shared" si="82"/>
        <v>A</v>
      </c>
      <c r="DF6" s="1">
        <f t="shared" si="20"/>
        <v>4</v>
      </c>
      <c r="DG6" s="10">
        <v>2</v>
      </c>
      <c r="DH6" s="1">
        <f t="shared" si="83"/>
        <v>8</v>
      </c>
      <c r="DI6" s="5">
        <v>84.75</v>
      </c>
      <c r="DJ6" s="10" t="str">
        <f t="shared" si="84"/>
        <v>A</v>
      </c>
      <c r="DK6" s="1">
        <f t="shared" si="21"/>
        <v>4</v>
      </c>
      <c r="DL6" s="10">
        <v>2</v>
      </c>
      <c r="DM6" s="1">
        <f t="shared" si="85"/>
        <v>8</v>
      </c>
      <c r="DN6" s="20">
        <v>77</v>
      </c>
      <c r="DO6" s="10" t="str">
        <f t="shared" si="86"/>
        <v>B+</v>
      </c>
      <c r="DP6" s="1">
        <f t="shared" si="22"/>
        <v>3.5</v>
      </c>
      <c r="DQ6" s="10">
        <v>2</v>
      </c>
      <c r="DR6" s="1">
        <f t="shared" si="87"/>
        <v>7</v>
      </c>
      <c r="DS6" s="19">
        <v>80</v>
      </c>
      <c r="DT6" s="10" t="str">
        <f t="shared" si="88"/>
        <v>A</v>
      </c>
      <c r="DU6" s="1">
        <f t="shared" si="23"/>
        <v>4</v>
      </c>
      <c r="DV6" s="10">
        <v>4</v>
      </c>
      <c r="DW6" s="1">
        <f t="shared" si="89"/>
        <v>16</v>
      </c>
      <c r="DX6" s="4">
        <v>82.45</v>
      </c>
      <c r="DY6" s="10" t="str">
        <f t="shared" si="90"/>
        <v>A</v>
      </c>
      <c r="DZ6" s="1">
        <f t="shared" si="24"/>
        <v>4</v>
      </c>
      <c r="EA6" s="10">
        <v>3</v>
      </c>
      <c r="EB6" s="1">
        <f t="shared" si="91"/>
        <v>12</v>
      </c>
      <c r="EC6" s="19">
        <v>80.75</v>
      </c>
      <c r="ED6" s="10" t="str">
        <f t="shared" si="92"/>
        <v>A</v>
      </c>
      <c r="EE6" s="1">
        <f t="shared" si="25"/>
        <v>4</v>
      </c>
      <c r="EF6" s="10">
        <v>3</v>
      </c>
      <c r="EG6" s="1">
        <f t="shared" si="93"/>
        <v>12</v>
      </c>
      <c r="EH6" s="6">
        <v>79.7</v>
      </c>
      <c r="EI6" s="10" t="str">
        <f t="shared" si="94"/>
        <v>B+</v>
      </c>
      <c r="EJ6" s="1">
        <f t="shared" si="26"/>
        <v>3.5</v>
      </c>
      <c r="EK6" s="10">
        <v>3</v>
      </c>
      <c r="EL6" s="1">
        <f t="shared" si="95"/>
        <v>10.5</v>
      </c>
      <c r="EM6" s="18">
        <v>76.396666666666661</v>
      </c>
      <c r="EN6" s="10" t="str">
        <f t="shared" si="96"/>
        <v>B+</v>
      </c>
      <c r="EO6" s="1">
        <f t="shared" si="27"/>
        <v>3.5</v>
      </c>
      <c r="EP6" s="10">
        <v>3</v>
      </c>
      <c r="EQ6" s="1">
        <f t="shared" si="97"/>
        <v>10.5</v>
      </c>
      <c r="ER6" s="7">
        <v>80.099999999999994</v>
      </c>
      <c r="ES6" s="10" t="str">
        <f t="shared" si="98"/>
        <v>A</v>
      </c>
      <c r="ET6" s="1">
        <f t="shared" si="28"/>
        <v>4</v>
      </c>
      <c r="EU6" s="10">
        <v>2</v>
      </c>
      <c r="EV6" s="1">
        <f t="shared" si="99"/>
        <v>8</v>
      </c>
      <c r="EW6" s="5">
        <v>81.2</v>
      </c>
      <c r="EX6" s="10" t="str">
        <f t="shared" si="100"/>
        <v>A</v>
      </c>
      <c r="EY6" s="1">
        <f t="shared" si="29"/>
        <v>4</v>
      </c>
      <c r="EZ6" s="10">
        <v>3</v>
      </c>
      <c r="FA6" s="1">
        <f t="shared" si="101"/>
        <v>12</v>
      </c>
      <c r="FB6" s="19">
        <v>77</v>
      </c>
      <c r="FC6" s="10" t="str">
        <f t="shared" si="102"/>
        <v>B+</v>
      </c>
      <c r="FD6" s="1">
        <f t="shared" si="30"/>
        <v>3.5</v>
      </c>
      <c r="FE6" s="10">
        <v>2</v>
      </c>
      <c r="FF6" s="1">
        <f t="shared" si="103"/>
        <v>7</v>
      </c>
      <c r="FG6" s="5">
        <v>78</v>
      </c>
      <c r="FH6" s="10" t="str">
        <f t="shared" si="104"/>
        <v>B+</v>
      </c>
      <c r="FI6" s="1">
        <f t="shared" si="31"/>
        <v>3.5</v>
      </c>
      <c r="FJ6" s="10">
        <v>3</v>
      </c>
      <c r="FK6" s="1">
        <f t="shared" si="105"/>
        <v>10.5</v>
      </c>
      <c r="FL6" s="19">
        <v>80.26666666666668</v>
      </c>
      <c r="FM6" s="10" t="str">
        <f t="shared" si="106"/>
        <v>A</v>
      </c>
      <c r="FN6" s="1">
        <f t="shared" si="32"/>
        <v>4</v>
      </c>
      <c r="FO6" s="10">
        <v>3</v>
      </c>
      <c r="FP6" s="1">
        <f t="shared" si="107"/>
        <v>12</v>
      </c>
      <c r="FQ6" s="6">
        <v>78.989999999999995</v>
      </c>
      <c r="FR6" s="10" t="str">
        <f t="shared" si="108"/>
        <v>B+</v>
      </c>
      <c r="FS6" s="1">
        <f t="shared" si="109"/>
        <v>3.5</v>
      </c>
      <c r="FT6" s="10">
        <v>3</v>
      </c>
      <c r="FU6" s="1">
        <f t="shared" si="110"/>
        <v>10.5</v>
      </c>
      <c r="FV6" s="18">
        <v>78.900000000000006</v>
      </c>
      <c r="FW6" s="10" t="str">
        <f t="shared" si="111"/>
        <v>B+</v>
      </c>
      <c r="FX6" s="1">
        <f t="shared" si="33"/>
        <v>3.5</v>
      </c>
      <c r="FY6" s="10">
        <v>3</v>
      </c>
      <c r="FZ6" s="1">
        <f t="shared" si="112"/>
        <v>10.5</v>
      </c>
      <c r="GA6" s="7">
        <v>75.849999999999994</v>
      </c>
      <c r="GB6" s="10" t="str">
        <f t="shared" si="113"/>
        <v>B+</v>
      </c>
      <c r="GC6" s="1">
        <f t="shared" si="34"/>
        <v>3.5</v>
      </c>
      <c r="GD6" s="10">
        <v>2</v>
      </c>
      <c r="GE6" s="1">
        <f t="shared" si="114"/>
        <v>7</v>
      </c>
      <c r="GF6" s="5">
        <v>81</v>
      </c>
      <c r="GG6" s="10" t="str">
        <f t="shared" si="115"/>
        <v>A</v>
      </c>
      <c r="GH6" s="1">
        <f t="shared" si="35"/>
        <v>4</v>
      </c>
      <c r="GI6" s="10">
        <v>3</v>
      </c>
      <c r="GJ6" s="1">
        <f t="shared" si="116"/>
        <v>12</v>
      </c>
      <c r="GK6" s="5">
        <v>77.150000000000006</v>
      </c>
      <c r="GL6" s="10" t="str">
        <f t="shared" si="117"/>
        <v>B+</v>
      </c>
      <c r="GM6" s="1">
        <f t="shared" si="36"/>
        <v>3.5</v>
      </c>
      <c r="GN6" s="10">
        <v>2</v>
      </c>
      <c r="GO6" s="1">
        <f t="shared" si="118"/>
        <v>7</v>
      </c>
      <c r="GP6" s="19">
        <v>75</v>
      </c>
      <c r="GQ6" s="10" t="str">
        <f t="shared" si="119"/>
        <v>B+</v>
      </c>
      <c r="GR6" s="1">
        <f t="shared" si="37"/>
        <v>3.5</v>
      </c>
      <c r="GS6" s="10">
        <v>3</v>
      </c>
      <c r="GT6" s="1">
        <f t="shared" si="120"/>
        <v>10.5</v>
      </c>
      <c r="GU6" s="5">
        <v>78.42</v>
      </c>
      <c r="GV6" s="10" t="str">
        <f t="shared" si="121"/>
        <v>B+</v>
      </c>
      <c r="GW6" s="1">
        <f t="shared" si="38"/>
        <v>3.5</v>
      </c>
      <c r="GX6" s="10">
        <v>4</v>
      </c>
      <c r="GY6" s="1">
        <f t="shared" si="122"/>
        <v>14</v>
      </c>
      <c r="GZ6" s="7">
        <v>74.25</v>
      </c>
      <c r="HA6" s="10" t="str">
        <f t="shared" si="123"/>
        <v>B</v>
      </c>
      <c r="HB6" s="1">
        <f t="shared" si="124"/>
        <v>3</v>
      </c>
      <c r="HC6" s="10">
        <v>4</v>
      </c>
      <c r="HD6" s="1">
        <f t="shared" si="125"/>
        <v>12</v>
      </c>
      <c r="HE6" s="6">
        <v>73.150000000000006</v>
      </c>
      <c r="HF6" s="10" t="str">
        <f t="shared" si="126"/>
        <v>B</v>
      </c>
      <c r="HG6" s="1">
        <f t="shared" si="39"/>
        <v>3</v>
      </c>
      <c r="HH6" s="10">
        <v>2</v>
      </c>
      <c r="HI6" s="1">
        <f t="shared" si="127"/>
        <v>6</v>
      </c>
      <c r="HJ6" s="18">
        <v>79.849999999999994</v>
      </c>
      <c r="HK6" s="10" t="str">
        <f t="shared" si="128"/>
        <v>B+</v>
      </c>
      <c r="HL6" s="1">
        <f t="shared" si="40"/>
        <v>3.5</v>
      </c>
      <c r="HM6" s="10">
        <v>3</v>
      </c>
      <c r="HN6" s="1">
        <f t="shared" si="129"/>
        <v>10.5</v>
      </c>
      <c r="HO6" s="12">
        <v>77.625</v>
      </c>
      <c r="HP6" s="10" t="str">
        <f t="shared" si="130"/>
        <v>B+</v>
      </c>
      <c r="HQ6" s="1">
        <f t="shared" si="41"/>
        <v>3.5</v>
      </c>
      <c r="HR6" s="10">
        <v>3</v>
      </c>
      <c r="HS6" s="1">
        <f t="shared" si="131"/>
        <v>10.5</v>
      </c>
      <c r="HT6" s="10">
        <v>79.400000000000006</v>
      </c>
      <c r="HU6" s="10" t="str">
        <f t="shared" si="132"/>
        <v>B+</v>
      </c>
      <c r="HV6" s="1">
        <f t="shared" si="133"/>
        <v>3.5</v>
      </c>
      <c r="HW6" s="10">
        <v>4</v>
      </c>
      <c r="HX6" s="1">
        <f t="shared" si="134"/>
        <v>14</v>
      </c>
      <c r="HY6" s="5">
        <v>76.75</v>
      </c>
      <c r="HZ6" s="10" t="str">
        <f t="shared" si="135"/>
        <v>B+</v>
      </c>
      <c r="IA6" s="1">
        <f t="shared" si="136"/>
        <v>3.5</v>
      </c>
      <c r="IB6" s="10">
        <v>2</v>
      </c>
      <c r="IC6" s="1">
        <f t="shared" si="137"/>
        <v>7</v>
      </c>
      <c r="ID6" s="7">
        <v>82</v>
      </c>
      <c r="IE6" s="10" t="str">
        <f t="shared" si="138"/>
        <v>A</v>
      </c>
      <c r="IF6" s="1">
        <f t="shared" si="139"/>
        <v>4</v>
      </c>
      <c r="IG6" s="10">
        <v>3</v>
      </c>
      <c r="IH6" s="1">
        <f t="shared" si="140"/>
        <v>12</v>
      </c>
      <c r="II6" s="6">
        <v>79.400000000000006</v>
      </c>
      <c r="IJ6" s="10" t="str">
        <f t="shared" si="141"/>
        <v>B+</v>
      </c>
      <c r="IK6" s="1">
        <f t="shared" si="142"/>
        <v>3.5</v>
      </c>
      <c r="IL6" s="10">
        <v>2</v>
      </c>
      <c r="IM6" s="1">
        <f t="shared" si="143"/>
        <v>7</v>
      </c>
      <c r="IN6" s="18">
        <v>70.38</v>
      </c>
      <c r="IO6" s="10" t="str">
        <f t="shared" si="144"/>
        <v>B</v>
      </c>
      <c r="IP6" s="1">
        <f t="shared" si="145"/>
        <v>3</v>
      </c>
      <c r="IQ6" s="10">
        <v>2</v>
      </c>
      <c r="IR6" s="1">
        <f t="shared" si="146"/>
        <v>6</v>
      </c>
      <c r="IS6" s="10">
        <v>76.400000000000006</v>
      </c>
      <c r="IT6" s="10" t="str">
        <f t="shared" si="147"/>
        <v>B+</v>
      </c>
      <c r="IU6" s="1">
        <f t="shared" si="148"/>
        <v>3.5</v>
      </c>
      <c r="IV6" s="10">
        <v>4</v>
      </c>
      <c r="IW6" s="1">
        <f t="shared" si="149"/>
        <v>14</v>
      </c>
      <c r="IX6" s="10">
        <v>81.8</v>
      </c>
      <c r="IY6" s="10" t="str">
        <f t="shared" si="150"/>
        <v>A</v>
      </c>
      <c r="IZ6" s="1">
        <f t="shared" si="151"/>
        <v>4</v>
      </c>
      <c r="JA6" s="10">
        <v>4</v>
      </c>
      <c r="JB6" s="1">
        <f t="shared" si="152"/>
        <v>16</v>
      </c>
      <c r="JC6" s="2">
        <v>76</v>
      </c>
      <c r="JD6" s="2">
        <v>22</v>
      </c>
      <c r="JE6" s="2">
        <v>67</v>
      </c>
      <c r="JF6" s="2">
        <v>19</v>
      </c>
      <c r="JG6" s="2">
        <v>77.5</v>
      </c>
      <c r="JH6" s="2">
        <v>21</v>
      </c>
      <c r="JI6" s="2">
        <v>81</v>
      </c>
      <c r="JJ6" s="2">
        <v>21</v>
      </c>
      <c r="JK6" s="2">
        <v>76.5</v>
      </c>
      <c r="JL6" s="2">
        <v>21</v>
      </c>
      <c r="JM6" s="2">
        <v>63.5</v>
      </c>
      <c r="JN6" s="2">
        <v>19</v>
      </c>
      <c r="JO6" s="2">
        <v>60</v>
      </c>
      <c r="JP6" s="2">
        <v>17</v>
      </c>
      <c r="JQ6" s="2">
        <v>16</v>
      </c>
      <c r="JR6" s="2">
        <v>4</v>
      </c>
      <c r="JS6" s="2">
        <f t="shared" si="153"/>
        <v>517.5</v>
      </c>
      <c r="JT6" s="2">
        <f t="shared" si="153"/>
        <v>144</v>
      </c>
      <c r="JU6" s="3">
        <f t="shared" si="154"/>
        <v>3.59375</v>
      </c>
      <c r="JV6" s="2" t="str">
        <f t="shared" si="155"/>
        <v>Cum Laude</v>
      </c>
      <c r="JW6" s="2" t="str">
        <f t="shared" si="156"/>
        <v>Excellent</v>
      </c>
      <c r="JX6" s="23" t="s">
        <v>189</v>
      </c>
      <c r="JY6" s="23" t="s">
        <v>259</v>
      </c>
    </row>
    <row r="7" spans="1:285" x14ac:dyDescent="0.25">
      <c r="A7" s="55">
        <v>5</v>
      </c>
      <c r="B7" s="38" t="s">
        <v>24</v>
      </c>
      <c r="C7" s="25">
        <v>152111006</v>
      </c>
      <c r="D7" s="10" t="s">
        <v>137</v>
      </c>
      <c r="E7" s="27" t="s">
        <v>138</v>
      </c>
      <c r="F7" s="27" t="s">
        <v>219</v>
      </c>
      <c r="G7" s="2" t="s">
        <v>226</v>
      </c>
      <c r="H7" s="9">
        <v>88.850000000000009</v>
      </c>
      <c r="I7" s="10" t="str">
        <f t="shared" si="42"/>
        <v>A</v>
      </c>
      <c r="J7" s="1">
        <f t="shared" si="0"/>
        <v>4</v>
      </c>
      <c r="K7" s="10">
        <v>2</v>
      </c>
      <c r="L7" s="1">
        <f t="shared" si="43"/>
        <v>8</v>
      </c>
      <c r="M7" s="11">
        <v>75.125</v>
      </c>
      <c r="N7" s="10" t="str">
        <f t="shared" si="44"/>
        <v>B+</v>
      </c>
      <c r="O7" s="1">
        <f t="shared" si="1"/>
        <v>3.5</v>
      </c>
      <c r="P7" s="10">
        <v>3</v>
      </c>
      <c r="Q7" s="1">
        <f t="shared" si="45"/>
        <v>10.5</v>
      </c>
      <c r="R7" s="31">
        <v>74.766666666666666</v>
      </c>
      <c r="S7" s="10" t="str">
        <f t="shared" si="46"/>
        <v>B</v>
      </c>
      <c r="T7" s="1">
        <f t="shared" si="2"/>
        <v>3</v>
      </c>
      <c r="U7" s="10">
        <v>4</v>
      </c>
      <c r="V7" s="1">
        <f t="shared" si="47"/>
        <v>12</v>
      </c>
      <c r="W7" s="12">
        <v>80.25</v>
      </c>
      <c r="X7" s="10" t="str">
        <f t="shared" si="48"/>
        <v>A</v>
      </c>
      <c r="Y7" s="1">
        <f t="shared" si="3"/>
        <v>4</v>
      </c>
      <c r="Z7" s="10">
        <v>2</v>
      </c>
      <c r="AA7" s="1">
        <f t="shared" si="49"/>
        <v>8</v>
      </c>
      <c r="AB7" s="12">
        <v>81.25</v>
      </c>
      <c r="AC7" s="10" t="str">
        <f t="shared" si="50"/>
        <v>A</v>
      </c>
      <c r="AD7" s="1">
        <f t="shared" si="4"/>
        <v>4</v>
      </c>
      <c r="AE7" s="10">
        <v>4</v>
      </c>
      <c r="AF7" s="1">
        <f t="shared" si="51"/>
        <v>16</v>
      </c>
      <c r="AG7" s="12">
        <v>70.849999999999994</v>
      </c>
      <c r="AH7" s="10" t="str">
        <f t="shared" si="52"/>
        <v>B</v>
      </c>
      <c r="AI7" s="1">
        <f t="shared" si="5"/>
        <v>3</v>
      </c>
      <c r="AJ7" s="10">
        <v>4</v>
      </c>
      <c r="AK7" s="1">
        <f t="shared" si="53"/>
        <v>12</v>
      </c>
      <c r="AL7" s="13">
        <v>77.86666666666666</v>
      </c>
      <c r="AM7" s="10" t="str">
        <f t="shared" si="54"/>
        <v>B+</v>
      </c>
      <c r="AN7" s="1">
        <f t="shared" si="6"/>
        <v>3.5</v>
      </c>
      <c r="AO7" s="10">
        <v>3</v>
      </c>
      <c r="AP7" s="1">
        <f t="shared" si="55"/>
        <v>10.5</v>
      </c>
      <c r="AQ7" s="12">
        <v>87.600000000000009</v>
      </c>
      <c r="AR7" s="10" t="str">
        <f t="shared" si="56"/>
        <v>A</v>
      </c>
      <c r="AS7" s="1">
        <f t="shared" si="7"/>
        <v>4</v>
      </c>
      <c r="AT7" s="10">
        <v>3</v>
      </c>
      <c r="AU7" s="1">
        <f t="shared" si="57"/>
        <v>12</v>
      </c>
      <c r="AV7" s="11">
        <v>75</v>
      </c>
      <c r="AW7" s="10" t="str">
        <f t="shared" si="58"/>
        <v>B+</v>
      </c>
      <c r="AX7" s="1">
        <f t="shared" si="8"/>
        <v>3.5</v>
      </c>
      <c r="AY7" s="10">
        <v>2</v>
      </c>
      <c r="AZ7" s="1">
        <f t="shared" si="59"/>
        <v>7</v>
      </c>
      <c r="BA7" s="12">
        <v>80.099999999999994</v>
      </c>
      <c r="BB7" s="10" t="str">
        <f t="shared" si="60"/>
        <v>A</v>
      </c>
      <c r="BC7" s="1">
        <f t="shared" si="9"/>
        <v>4</v>
      </c>
      <c r="BD7" s="10">
        <v>2</v>
      </c>
      <c r="BE7" s="1">
        <f t="shared" si="61"/>
        <v>8</v>
      </c>
      <c r="BF7" s="14">
        <v>77.8</v>
      </c>
      <c r="BG7" s="10" t="str">
        <f t="shared" si="62"/>
        <v>B+</v>
      </c>
      <c r="BH7" s="1">
        <f t="shared" si="10"/>
        <v>3.5</v>
      </c>
      <c r="BI7" s="10">
        <v>3</v>
      </c>
      <c r="BJ7" s="1">
        <f t="shared" si="63"/>
        <v>10.5</v>
      </c>
      <c r="BK7" s="15">
        <v>80</v>
      </c>
      <c r="BL7" s="10" t="str">
        <f t="shared" si="64"/>
        <v>A</v>
      </c>
      <c r="BM7" s="1">
        <f t="shared" si="11"/>
        <v>4</v>
      </c>
      <c r="BN7" s="10">
        <v>2</v>
      </c>
      <c r="BO7" s="1">
        <f t="shared" si="65"/>
        <v>8</v>
      </c>
      <c r="BP7" s="12">
        <v>69.75</v>
      </c>
      <c r="BQ7" s="10" t="str">
        <f t="shared" si="66"/>
        <v>C+</v>
      </c>
      <c r="BR7" s="1">
        <f t="shared" si="12"/>
        <v>2.5</v>
      </c>
      <c r="BS7" s="10">
        <v>2</v>
      </c>
      <c r="BT7" s="1">
        <f t="shared" si="67"/>
        <v>5</v>
      </c>
      <c r="BU7" s="4">
        <v>73.55</v>
      </c>
      <c r="BV7" s="10" t="str">
        <f t="shared" si="68"/>
        <v>B</v>
      </c>
      <c r="BW7" s="1">
        <f t="shared" si="13"/>
        <v>3</v>
      </c>
      <c r="BX7" s="10">
        <v>3</v>
      </c>
      <c r="BY7" s="1">
        <f t="shared" si="69"/>
        <v>9</v>
      </c>
      <c r="BZ7" s="13">
        <v>71.516666666666666</v>
      </c>
      <c r="CA7" s="10" t="str">
        <f t="shared" si="70"/>
        <v>B</v>
      </c>
      <c r="CB7" s="1">
        <f t="shared" si="14"/>
        <v>3</v>
      </c>
      <c r="CC7" s="10">
        <v>2</v>
      </c>
      <c r="CD7" s="1">
        <f t="shared" si="71"/>
        <v>6</v>
      </c>
      <c r="CE7" s="19">
        <v>79.599999999999994</v>
      </c>
      <c r="CF7" s="10" t="str">
        <f t="shared" si="72"/>
        <v>B+</v>
      </c>
      <c r="CG7" s="1">
        <f t="shared" si="15"/>
        <v>3.5</v>
      </c>
      <c r="CH7" s="10">
        <v>4</v>
      </c>
      <c r="CI7" s="1">
        <f t="shared" si="73"/>
        <v>14</v>
      </c>
      <c r="CJ7" s="16">
        <v>79.199999999999989</v>
      </c>
      <c r="CK7" s="10" t="str">
        <f t="shared" si="74"/>
        <v>B+</v>
      </c>
      <c r="CL7" s="1">
        <f t="shared" si="16"/>
        <v>3.5</v>
      </c>
      <c r="CM7" s="10">
        <v>4</v>
      </c>
      <c r="CN7" s="1">
        <f t="shared" si="75"/>
        <v>14</v>
      </c>
      <c r="CO7" s="19">
        <v>76.099999999999994</v>
      </c>
      <c r="CP7" s="10" t="str">
        <f t="shared" si="76"/>
        <v>B+</v>
      </c>
      <c r="CQ7" s="1">
        <f t="shared" si="17"/>
        <v>3.5</v>
      </c>
      <c r="CR7" s="10">
        <v>3</v>
      </c>
      <c r="CS7" s="1">
        <f t="shared" si="77"/>
        <v>10.5</v>
      </c>
      <c r="CT7" s="17">
        <v>78.989714285714285</v>
      </c>
      <c r="CU7" s="10" t="str">
        <f t="shared" si="78"/>
        <v>B+</v>
      </c>
      <c r="CV7" s="1">
        <f t="shared" si="18"/>
        <v>3.5</v>
      </c>
      <c r="CW7" s="10">
        <v>2</v>
      </c>
      <c r="CX7" s="1">
        <f t="shared" si="79"/>
        <v>7</v>
      </c>
      <c r="CY7" s="18">
        <v>80.149999999999991</v>
      </c>
      <c r="CZ7" s="10" t="str">
        <f t="shared" si="80"/>
        <v>A</v>
      </c>
      <c r="DA7" s="1">
        <f t="shared" si="19"/>
        <v>4</v>
      </c>
      <c r="DB7" s="10">
        <v>2</v>
      </c>
      <c r="DC7" s="1">
        <f t="shared" si="81"/>
        <v>8</v>
      </c>
      <c r="DD7" s="19">
        <v>83.449999999999989</v>
      </c>
      <c r="DE7" s="10" t="str">
        <f t="shared" si="82"/>
        <v>A</v>
      </c>
      <c r="DF7" s="1">
        <f t="shared" si="20"/>
        <v>4</v>
      </c>
      <c r="DG7" s="10">
        <v>2</v>
      </c>
      <c r="DH7" s="1">
        <f t="shared" si="83"/>
        <v>8</v>
      </c>
      <c r="DI7" s="5">
        <v>82</v>
      </c>
      <c r="DJ7" s="10" t="str">
        <f t="shared" si="84"/>
        <v>A</v>
      </c>
      <c r="DK7" s="1">
        <f t="shared" si="21"/>
        <v>4</v>
      </c>
      <c r="DL7" s="10">
        <v>2</v>
      </c>
      <c r="DM7" s="1">
        <f t="shared" si="85"/>
        <v>8</v>
      </c>
      <c r="DN7" s="20">
        <v>80</v>
      </c>
      <c r="DO7" s="10" t="str">
        <f t="shared" si="86"/>
        <v>A</v>
      </c>
      <c r="DP7" s="1">
        <f t="shared" si="22"/>
        <v>4</v>
      </c>
      <c r="DQ7" s="10">
        <v>2</v>
      </c>
      <c r="DR7" s="1">
        <f t="shared" si="87"/>
        <v>8</v>
      </c>
      <c r="DS7" s="19">
        <v>70.099999999999994</v>
      </c>
      <c r="DT7" s="10" t="str">
        <f t="shared" si="88"/>
        <v>B</v>
      </c>
      <c r="DU7" s="1">
        <f t="shared" si="23"/>
        <v>3</v>
      </c>
      <c r="DV7" s="10">
        <v>4</v>
      </c>
      <c r="DW7" s="1">
        <f t="shared" si="89"/>
        <v>12</v>
      </c>
      <c r="DX7" s="4">
        <v>89.800000000000011</v>
      </c>
      <c r="DY7" s="10" t="str">
        <f t="shared" si="90"/>
        <v>A</v>
      </c>
      <c r="DZ7" s="1">
        <f t="shared" si="24"/>
        <v>4</v>
      </c>
      <c r="EA7" s="10">
        <v>3</v>
      </c>
      <c r="EB7" s="1">
        <f t="shared" si="91"/>
        <v>12</v>
      </c>
      <c r="EC7" s="19">
        <v>83.55</v>
      </c>
      <c r="ED7" s="10" t="str">
        <f t="shared" si="92"/>
        <v>A</v>
      </c>
      <c r="EE7" s="1">
        <f t="shared" si="25"/>
        <v>4</v>
      </c>
      <c r="EF7" s="10">
        <v>3</v>
      </c>
      <c r="EG7" s="1">
        <f t="shared" si="93"/>
        <v>12</v>
      </c>
      <c r="EH7" s="6">
        <v>80.599999999999994</v>
      </c>
      <c r="EI7" s="10" t="str">
        <f t="shared" si="94"/>
        <v>A</v>
      </c>
      <c r="EJ7" s="1">
        <f t="shared" si="26"/>
        <v>4</v>
      </c>
      <c r="EK7" s="10">
        <v>3</v>
      </c>
      <c r="EL7" s="1">
        <f t="shared" si="95"/>
        <v>12</v>
      </c>
      <c r="EM7" s="18">
        <v>76.50777777777779</v>
      </c>
      <c r="EN7" s="10" t="str">
        <f t="shared" si="96"/>
        <v>B+</v>
      </c>
      <c r="EO7" s="1">
        <f t="shared" si="27"/>
        <v>3.5</v>
      </c>
      <c r="EP7" s="10">
        <v>3</v>
      </c>
      <c r="EQ7" s="1">
        <f t="shared" si="97"/>
        <v>10.5</v>
      </c>
      <c r="ER7" s="7">
        <v>78.099999999999994</v>
      </c>
      <c r="ES7" s="10" t="str">
        <f t="shared" si="98"/>
        <v>B+</v>
      </c>
      <c r="ET7" s="1">
        <f t="shared" si="28"/>
        <v>3.5</v>
      </c>
      <c r="EU7" s="10">
        <v>2</v>
      </c>
      <c r="EV7" s="1">
        <f t="shared" si="99"/>
        <v>7</v>
      </c>
      <c r="EW7" s="5">
        <v>81</v>
      </c>
      <c r="EX7" s="10" t="str">
        <f t="shared" si="100"/>
        <v>A</v>
      </c>
      <c r="EY7" s="1">
        <f t="shared" si="29"/>
        <v>4</v>
      </c>
      <c r="EZ7" s="10">
        <v>3</v>
      </c>
      <c r="FA7" s="1">
        <f t="shared" si="101"/>
        <v>12</v>
      </c>
      <c r="FB7" s="19">
        <v>78</v>
      </c>
      <c r="FC7" s="10" t="str">
        <f t="shared" si="102"/>
        <v>B+</v>
      </c>
      <c r="FD7" s="1">
        <f t="shared" si="30"/>
        <v>3.5</v>
      </c>
      <c r="FE7" s="10">
        <v>2</v>
      </c>
      <c r="FF7" s="1">
        <f t="shared" si="103"/>
        <v>7</v>
      </c>
      <c r="FG7" s="5">
        <v>71</v>
      </c>
      <c r="FH7" s="10" t="str">
        <f t="shared" si="104"/>
        <v>B</v>
      </c>
      <c r="FI7" s="1">
        <f t="shared" si="31"/>
        <v>3</v>
      </c>
      <c r="FJ7" s="10">
        <v>3</v>
      </c>
      <c r="FK7" s="1">
        <f t="shared" si="105"/>
        <v>9</v>
      </c>
      <c r="FL7" s="19">
        <v>81.733333333333334</v>
      </c>
      <c r="FM7" s="10" t="str">
        <f t="shared" si="106"/>
        <v>A</v>
      </c>
      <c r="FN7" s="1">
        <f t="shared" si="32"/>
        <v>4</v>
      </c>
      <c r="FO7" s="10">
        <v>3</v>
      </c>
      <c r="FP7" s="1">
        <f t="shared" si="107"/>
        <v>12</v>
      </c>
      <c r="FQ7" s="6">
        <v>75.89</v>
      </c>
      <c r="FR7" s="10" t="str">
        <f t="shared" si="108"/>
        <v>B+</v>
      </c>
      <c r="FS7" s="1">
        <f t="shared" si="109"/>
        <v>3.5</v>
      </c>
      <c r="FT7" s="10">
        <v>3</v>
      </c>
      <c r="FU7" s="1">
        <f t="shared" si="110"/>
        <v>10.5</v>
      </c>
      <c r="FV7" s="18">
        <v>82</v>
      </c>
      <c r="FW7" s="10" t="str">
        <f t="shared" si="111"/>
        <v>A</v>
      </c>
      <c r="FX7" s="1">
        <f t="shared" si="33"/>
        <v>4</v>
      </c>
      <c r="FY7" s="10">
        <v>3</v>
      </c>
      <c r="FZ7" s="1">
        <f t="shared" si="112"/>
        <v>12</v>
      </c>
      <c r="GA7" s="7">
        <v>75.05</v>
      </c>
      <c r="GB7" s="10" t="str">
        <f t="shared" si="113"/>
        <v>B+</v>
      </c>
      <c r="GC7" s="1">
        <f t="shared" si="34"/>
        <v>3.5</v>
      </c>
      <c r="GD7" s="10">
        <v>2</v>
      </c>
      <c r="GE7" s="1">
        <f t="shared" si="114"/>
        <v>7</v>
      </c>
      <c r="GF7" s="5">
        <v>78</v>
      </c>
      <c r="GG7" s="10" t="str">
        <f t="shared" si="115"/>
        <v>B+</v>
      </c>
      <c r="GH7" s="1">
        <f t="shared" si="35"/>
        <v>3.5</v>
      </c>
      <c r="GI7" s="10">
        <v>3</v>
      </c>
      <c r="GJ7" s="1">
        <f t="shared" si="116"/>
        <v>10.5</v>
      </c>
      <c r="GK7" s="5">
        <v>75.599999999999994</v>
      </c>
      <c r="GL7" s="10" t="str">
        <f t="shared" si="117"/>
        <v>B+</v>
      </c>
      <c r="GM7" s="1">
        <f t="shared" si="36"/>
        <v>3.5</v>
      </c>
      <c r="GN7" s="10">
        <v>2</v>
      </c>
      <c r="GO7" s="1">
        <f t="shared" si="118"/>
        <v>7</v>
      </c>
      <c r="GP7" s="19">
        <v>76.2</v>
      </c>
      <c r="GQ7" s="10" t="str">
        <f t="shared" si="119"/>
        <v>B+</v>
      </c>
      <c r="GR7" s="1">
        <f t="shared" si="37"/>
        <v>3.5</v>
      </c>
      <c r="GS7" s="10">
        <v>3</v>
      </c>
      <c r="GT7" s="1">
        <f t="shared" si="120"/>
        <v>10.5</v>
      </c>
      <c r="GU7" s="5">
        <v>76</v>
      </c>
      <c r="GV7" s="10" t="str">
        <f t="shared" si="121"/>
        <v>B+</v>
      </c>
      <c r="GW7" s="1">
        <f t="shared" si="38"/>
        <v>3.5</v>
      </c>
      <c r="GX7" s="10">
        <v>4</v>
      </c>
      <c r="GY7" s="1">
        <f t="shared" si="122"/>
        <v>14</v>
      </c>
      <c r="GZ7" s="7">
        <v>74.25</v>
      </c>
      <c r="HA7" s="10" t="str">
        <f t="shared" si="123"/>
        <v>B</v>
      </c>
      <c r="HB7" s="1">
        <f t="shared" si="124"/>
        <v>3</v>
      </c>
      <c r="HC7" s="10">
        <v>4</v>
      </c>
      <c r="HD7" s="1">
        <f t="shared" si="125"/>
        <v>12</v>
      </c>
      <c r="HE7" s="6">
        <v>86.075000000000003</v>
      </c>
      <c r="HF7" s="10" t="str">
        <f t="shared" si="126"/>
        <v>A</v>
      </c>
      <c r="HG7" s="1">
        <f t="shared" si="39"/>
        <v>4</v>
      </c>
      <c r="HH7" s="10">
        <v>2</v>
      </c>
      <c r="HI7" s="1">
        <f t="shared" si="127"/>
        <v>8</v>
      </c>
      <c r="HJ7" s="18">
        <v>78.2</v>
      </c>
      <c r="HK7" s="10" t="str">
        <f t="shared" si="128"/>
        <v>B+</v>
      </c>
      <c r="HL7" s="1">
        <f t="shared" si="40"/>
        <v>3.5</v>
      </c>
      <c r="HM7" s="10">
        <v>3</v>
      </c>
      <c r="HN7" s="1">
        <f t="shared" si="129"/>
        <v>10.5</v>
      </c>
      <c r="HO7" s="12">
        <v>74.25</v>
      </c>
      <c r="HP7" s="10" t="str">
        <f t="shared" si="130"/>
        <v>B</v>
      </c>
      <c r="HQ7" s="1">
        <f t="shared" si="41"/>
        <v>3</v>
      </c>
      <c r="HR7" s="10">
        <v>3</v>
      </c>
      <c r="HS7" s="1">
        <f t="shared" si="131"/>
        <v>9</v>
      </c>
      <c r="HT7" s="10">
        <v>81</v>
      </c>
      <c r="HU7" s="10" t="str">
        <f t="shared" si="132"/>
        <v>A</v>
      </c>
      <c r="HV7" s="1">
        <f t="shared" si="133"/>
        <v>4</v>
      </c>
      <c r="HW7" s="10">
        <v>4</v>
      </c>
      <c r="HX7" s="1">
        <f t="shared" si="134"/>
        <v>16</v>
      </c>
      <c r="HY7" s="5">
        <v>80.95</v>
      </c>
      <c r="HZ7" s="10" t="str">
        <f t="shared" si="135"/>
        <v>A</v>
      </c>
      <c r="IA7" s="1">
        <f t="shared" si="136"/>
        <v>4</v>
      </c>
      <c r="IB7" s="10">
        <v>2</v>
      </c>
      <c r="IC7" s="1">
        <f t="shared" si="137"/>
        <v>8</v>
      </c>
      <c r="ID7" s="7">
        <v>76.05</v>
      </c>
      <c r="IE7" s="10" t="str">
        <f t="shared" si="138"/>
        <v>B+</v>
      </c>
      <c r="IF7" s="1">
        <f t="shared" si="139"/>
        <v>3.5</v>
      </c>
      <c r="IG7" s="10">
        <v>3</v>
      </c>
      <c r="IH7" s="1">
        <f t="shared" si="140"/>
        <v>10.5</v>
      </c>
      <c r="II7" s="6">
        <v>81</v>
      </c>
      <c r="IJ7" s="10" t="str">
        <f t="shared" si="141"/>
        <v>A</v>
      </c>
      <c r="IK7" s="1">
        <f t="shared" si="142"/>
        <v>4</v>
      </c>
      <c r="IL7" s="10">
        <v>2</v>
      </c>
      <c r="IM7" s="1">
        <f t="shared" si="143"/>
        <v>8</v>
      </c>
      <c r="IN7" s="18">
        <v>77.75</v>
      </c>
      <c r="IO7" s="10" t="str">
        <f t="shared" si="144"/>
        <v>B+</v>
      </c>
      <c r="IP7" s="1">
        <f t="shared" si="145"/>
        <v>3.5</v>
      </c>
      <c r="IQ7" s="10">
        <v>2</v>
      </c>
      <c r="IR7" s="1">
        <f t="shared" si="146"/>
        <v>7</v>
      </c>
      <c r="IS7" s="10">
        <v>79</v>
      </c>
      <c r="IT7" s="10" t="str">
        <f t="shared" si="147"/>
        <v>B+</v>
      </c>
      <c r="IU7" s="1">
        <f t="shared" si="148"/>
        <v>3.5</v>
      </c>
      <c r="IV7" s="10">
        <v>4</v>
      </c>
      <c r="IW7" s="1">
        <f t="shared" si="149"/>
        <v>14</v>
      </c>
      <c r="IX7" s="10">
        <v>80</v>
      </c>
      <c r="IY7" s="10" t="str">
        <f t="shared" si="150"/>
        <v>A</v>
      </c>
      <c r="IZ7" s="1">
        <f t="shared" si="151"/>
        <v>4</v>
      </c>
      <c r="JA7" s="10">
        <v>4</v>
      </c>
      <c r="JB7" s="1">
        <f t="shared" si="152"/>
        <v>16</v>
      </c>
      <c r="JC7" s="2">
        <v>77</v>
      </c>
      <c r="JD7" s="2">
        <v>22</v>
      </c>
      <c r="JE7" s="2">
        <v>65.5</v>
      </c>
      <c r="JF7" s="2">
        <v>19</v>
      </c>
      <c r="JG7" s="2">
        <v>77.5</v>
      </c>
      <c r="JH7" s="2">
        <v>21</v>
      </c>
      <c r="JI7" s="2">
        <v>77.5</v>
      </c>
      <c r="JJ7" s="2">
        <v>21</v>
      </c>
      <c r="JK7" s="2">
        <v>75</v>
      </c>
      <c r="JL7" s="2">
        <v>21</v>
      </c>
      <c r="JM7" s="2">
        <v>64</v>
      </c>
      <c r="JN7" s="2">
        <v>19</v>
      </c>
      <c r="JO7" s="2">
        <v>63.5</v>
      </c>
      <c r="JP7" s="2">
        <v>17</v>
      </c>
      <c r="JQ7" s="2">
        <v>16</v>
      </c>
      <c r="JR7" s="2">
        <v>4</v>
      </c>
      <c r="JS7" s="2">
        <f t="shared" si="153"/>
        <v>516</v>
      </c>
      <c r="JT7" s="2">
        <f t="shared" si="153"/>
        <v>144</v>
      </c>
      <c r="JU7" s="3">
        <f t="shared" si="154"/>
        <v>3.5833333333333335</v>
      </c>
      <c r="JV7" s="2" t="str">
        <f t="shared" si="155"/>
        <v>Cum Laude</v>
      </c>
      <c r="JW7" s="2" t="str">
        <f t="shared" si="156"/>
        <v>Excellent</v>
      </c>
      <c r="JX7" s="23" t="s">
        <v>204</v>
      </c>
      <c r="JY7" s="23" t="s">
        <v>260</v>
      </c>
    </row>
    <row r="8" spans="1:285" x14ac:dyDescent="0.25">
      <c r="A8" s="55">
        <v>6</v>
      </c>
      <c r="B8" s="32" t="s">
        <v>25</v>
      </c>
      <c r="C8" s="25">
        <v>152111007</v>
      </c>
      <c r="D8" s="10" t="s">
        <v>135</v>
      </c>
      <c r="E8" s="27" t="s">
        <v>139</v>
      </c>
      <c r="F8" s="27" t="s">
        <v>219</v>
      </c>
      <c r="G8" s="2" t="s">
        <v>227</v>
      </c>
      <c r="H8" s="9">
        <v>88.3</v>
      </c>
      <c r="I8" s="10" t="str">
        <f t="shared" si="42"/>
        <v>A</v>
      </c>
      <c r="J8" s="1">
        <f t="shared" si="0"/>
        <v>4</v>
      </c>
      <c r="K8" s="10">
        <v>2</v>
      </c>
      <c r="L8" s="1">
        <f t="shared" si="43"/>
        <v>8</v>
      </c>
      <c r="M8" s="11">
        <v>78.25</v>
      </c>
      <c r="N8" s="10" t="str">
        <f t="shared" si="44"/>
        <v>B+</v>
      </c>
      <c r="O8" s="1">
        <f t="shared" si="1"/>
        <v>3.5</v>
      </c>
      <c r="P8" s="10">
        <v>3</v>
      </c>
      <c r="Q8" s="1">
        <f t="shared" si="45"/>
        <v>10.5</v>
      </c>
      <c r="R8" s="31">
        <v>76.075000000000003</v>
      </c>
      <c r="S8" s="10" t="str">
        <f t="shared" si="46"/>
        <v>B+</v>
      </c>
      <c r="T8" s="1">
        <f t="shared" si="2"/>
        <v>3.5</v>
      </c>
      <c r="U8" s="10">
        <v>4</v>
      </c>
      <c r="V8" s="1">
        <f t="shared" si="47"/>
        <v>14</v>
      </c>
      <c r="W8" s="12">
        <v>84.75</v>
      </c>
      <c r="X8" s="10" t="str">
        <f t="shared" si="48"/>
        <v>A</v>
      </c>
      <c r="Y8" s="1">
        <f t="shared" si="3"/>
        <v>4</v>
      </c>
      <c r="Z8" s="10">
        <v>2</v>
      </c>
      <c r="AA8" s="1">
        <f t="shared" si="49"/>
        <v>8</v>
      </c>
      <c r="AB8" s="12">
        <v>81.7</v>
      </c>
      <c r="AC8" s="10" t="str">
        <f t="shared" si="50"/>
        <v>A</v>
      </c>
      <c r="AD8" s="1">
        <f t="shared" si="4"/>
        <v>4</v>
      </c>
      <c r="AE8" s="10">
        <v>4</v>
      </c>
      <c r="AF8" s="1">
        <f t="shared" si="51"/>
        <v>16</v>
      </c>
      <c r="AG8" s="12">
        <v>71</v>
      </c>
      <c r="AH8" s="10" t="str">
        <f t="shared" si="52"/>
        <v>B</v>
      </c>
      <c r="AI8" s="1">
        <f t="shared" si="5"/>
        <v>3</v>
      </c>
      <c r="AJ8" s="10">
        <v>4</v>
      </c>
      <c r="AK8" s="1">
        <f t="shared" si="53"/>
        <v>12</v>
      </c>
      <c r="AL8" s="13">
        <v>80.3</v>
      </c>
      <c r="AM8" s="10" t="str">
        <f t="shared" si="54"/>
        <v>A</v>
      </c>
      <c r="AN8" s="1">
        <f t="shared" si="6"/>
        <v>4</v>
      </c>
      <c r="AO8" s="10">
        <v>3</v>
      </c>
      <c r="AP8" s="1">
        <f t="shared" si="55"/>
        <v>12</v>
      </c>
      <c r="AQ8" s="12">
        <v>90.2</v>
      </c>
      <c r="AR8" s="10" t="str">
        <f t="shared" si="56"/>
        <v>A</v>
      </c>
      <c r="AS8" s="1">
        <f t="shared" si="7"/>
        <v>4</v>
      </c>
      <c r="AT8" s="10">
        <v>3</v>
      </c>
      <c r="AU8" s="1">
        <f t="shared" si="57"/>
        <v>12</v>
      </c>
      <c r="AV8" s="11">
        <v>70</v>
      </c>
      <c r="AW8" s="10" t="str">
        <f t="shared" si="58"/>
        <v>B</v>
      </c>
      <c r="AX8" s="1">
        <f t="shared" si="8"/>
        <v>3</v>
      </c>
      <c r="AY8" s="10">
        <v>2</v>
      </c>
      <c r="AZ8" s="1">
        <f t="shared" si="59"/>
        <v>6</v>
      </c>
      <c r="BA8" s="12">
        <v>80.099999999999994</v>
      </c>
      <c r="BB8" s="10" t="str">
        <f t="shared" si="60"/>
        <v>A</v>
      </c>
      <c r="BC8" s="1">
        <f t="shared" si="9"/>
        <v>4</v>
      </c>
      <c r="BD8" s="10">
        <v>2</v>
      </c>
      <c r="BE8" s="1">
        <f t="shared" si="61"/>
        <v>8</v>
      </c>
      <c r="BF8" s="14">
        <v>77.8</v>
      </c>
      <c r="BG8" s="10" t="str">
        <f t="shared" si="62"/>
        <v>B+</v>
      </c>
      <c r="BH8" s="1">
        <f t="shared" si="10"/>
        <v>3.5</v>
      </c>
      <c r="BI8" s="10">
        <v>3</v>
      </c>
      <c r="BJ8" s="1">
        <f t="shared" si="63"/>
        <v>10.5</v>
      </c>
      <c r="BK8" s="15">
        <v>80</v>
      </c>
      <c r="BL8" s="10" t="str">
        <f t="shared" si="64"/>
        <v>A</v>
      </c>
      <c r="BM8" s="1">
        <f t="shared" si="11"/>
        <v>4</v>
      </c>
      <c r="BN8" s="10">
        <v>2</v>
      </c>
      <c r="BO8" s="1">
        <f t="shared" si="65"/>
        <v>8</v>
      </c>
      <c r="BP8" s="12">
        <v>77.95</v>
      </c>
      <c r="BQ8" s="10" t="str">
        <f t="shared" si="66"/>
        <v>B+</v>
      </c>
      <c r="BR8" s="1">
        <f t="shared" si="12"/>
        <v>3.5</v>
      </c>
      <c r="BS8" s="10">
        <v>2</v>
      </c>
      <c r="BT8" s="1">
        <f t="shared" si="67"/>
        <v>7</v>
      </c>
      <c r="BU8" s="4">
        <v>77.8</v>
      </c>
      <c r="BV8" s="10" t="str">
        <f t="shared" si="68"/>
        <v>B+</v>
      </c>
      <c r="BW8" s="1">
        <f t="shared" si="13"/>
        <v>3.5</v>
      </c>
      <c r="BX8" s="10">
        <v>3</v>
      </c>
      <c r="BY8" s="1">
        <f t="shared" si="69"/>
        <v>10.5</v>
      </c>
      <c r="BZ8" s="13">
        <v>76.103333333333339</v>
      </c>
      <c r="CA8" s="10" t="str">
        <f t="shared" si="70"/>
        <v>B+</v>
      </c>
      <c r="CB8" s="1">
        <f t="shared" si="14"/>
        <v>3.5</v>
      </c>
      <c r="CC8" s="10">
        <v>2</v>
      </c>
      <c r="CD8" s="1">
        <f t="shared" si="71"/>
        <v>7</v>
      </c>
      <c r="CE8" s="19">
        <v>79.5</v>
      </c>
      <c r="CF8" s="10" t="str">
        <f t="shared" si="72"/>
        <v>B+</v>
      </c>
      <c r="CG8" s="1">
        <f t="shared" si="15"/>
        <v>3.5</v>
      </c>
      <c r="CH8" s="10">
        <v>4</v>
      </c>
      <c r="CI8" s="1">
        <f t="shared" si="73"/>
        <v>14</v>
      </c>
      <c r="CJ8" s="16">
        <v>79.2</v>
      </c>
      <c r="CK8" s="10" t="str">
        <f t="shared" si="74"/>
        <v>B+</v>
      </c>
      <c r="CL8" s="1">
        <f t="shared" si="16"/>
        <v>3.5</v>
      </c>
      <c r="CM8" s="10">
        <v>4</v>
      </c>
      <c r="CN8" s="1">
        <f t="shared" si="75"/>
        <v>14</v>
      </c>
      <c r="CO8" s="19">
        <v>79.825000000000003</v>
      </c>
      <c r="CP8" s="10" t="str">
        <f t="shared" si="76"/>
        <v>B+</v>
      </c>
      <c r="CQ8" s="1">
        <f t="shared" si="17"/>
        <v>3.5</v>
      </c>
      <c r="CR8" s="10">
        <v>3</v>
      </c>
      <c r="CS8" s="1">
        <f t="shared" si="77"/>
        <v>10.5</v>
      </c>
      <c r="CT8" s="17">
        <v>82.420285714285725</v>
      </c>
      <c r="CU8" s="10" t="str">
        <f t="shared" si="78"/>
        <v>A</v>
      </c>
      <c r="CV8" s="1">
        <f t="shared" si="18"/>
        <v>4</v>
      </c>
      <c r="CW8" s="10">
        <v>2</v>
      </c>
      <c r="CX8" s="1">
        <f t="shared" si="79"/>
        <v>8</v>
      </c>
      <c r="CY8" s="18">
        <v>79.375</v>
      </c>
      <c r="CZ8" s="10" t="str">
        <f t="shared" si="80"/>
        <v>B+</v>
      </c>
      <c r="DA8" s="1">
        <f t="shared" si="19"/>
        <v>3.5</v>
      </c>
      <c r="DB8" s="10">
        <v>2</v>
      </c>
      <c r="DC8" s="1">
        <f t="shared" si="81"/>
        <v>7</v>
      </c>
      <c r="DD8" s="19">
        <v>86.550000000000011</v>
      </c>
      <c r="DE8" s="10" t="str">
        <f t="shared" si="82"/>
        <v>A</v>
      </c>
      <c r="DF8" s="1">
        <f t="shared" si="20"/>
        <v>4</v>
      </c>
      <c r="DG8" s="10">
        <v>2</v>
      </c>
      <c r="DH8" s="1">
        <f t="shared" si="83"/>
        <v>8</v>
      </c>
      <c r="DI8" s="5">
        <v>87.5</v>
      </c>
      <c r="DJ8" s="10" t="str">
        <f t="shared" si="84"/>
        <v>A</v>
      </c>
      <c r="DK8" s="1">
        <f t="shared" si="21"/>
        <v>4</v>
      </c>
      <c r="DL8" s="10">
        <v>2</v>
      </c>
      <c r="DM8" s="1">
        <f t="shared" si="85"/>
        <v>8</v>
      </c>
      <c r="DN8" s="20">
        <v>80</v>
      </c>
      <c r="DO8" s="10" t="str">
        <f t="shared" si="86"/>
        <v>A</v>
      </c>
      <c r="DP8" s="1">
        <f t="shared" si="22"/>
        <v>4</v>
      </c>
      <c r="DQ8" s="10">
        <v>2</v>
      </c>
      <c r="DR8" s="1">
        <f t="shared" si="87"/>
        <v>8</v>
      </c>
      <c r="DS8" s="19">
        <v>80.55</v>
      </c>
      <c r="DT8" s="10" t="str">
        <f t="shared" si="88"/>
        <v>A</v>
      </c>
      <c r="DU8" s="1">
        <f t="shared" si="23"/>
        <v>4</v>
      </c>
      <c r="DV8" s="10">
        <v>4</v>
      </c>
      <c r="DW8" s="1">
        <f t="shared" si="89"/>
        <v>16</v>
      </c>
      <c r="DX8" s="4">
        <v>81</v>
      </c>
      <c r="DY8" s="10" t="str">
        <f t="shared" si="90"/>
        <v>A</v>
      </c>
      <c r="DZ8" s="1">
        <f t="shared" si="24"/>
        <v>4</v>
      </c>
      <c r="EA8" s="10">
        <v>3</v>
      </c>
      <c r="EB8" s="1">
        <f t="shared" si="91"/>
        <v>12</v>
      </c>
      <c r="EC8" s="19">
        <v>79.349999999999994</v>
      </c>
      <c r="ED8" s="10" t="str">
        <f t="shared" si="92"/>
        <v>B+</v>
      </c>
      <c r="EE8" s="1">
        <f t="shared" si="25"/>
        <v>3.5</v>
      </c>
      <c r="EF8" s="10">
        <v>3</v>
      </c>
      <c r="EG8" s="1">
        <f t="shared" si="93"/>
        <v>10.5</v>
      </c>
      <c r="EH8" s="6">
        <v>80.5</v>
      </c>
      <c r="EI8" s="10" t="str">
        <f t="shared" si="94"/>
        <v>A</v>
      </c>
      <c r="EJ8" s="1">
        <f t="shared" si="26"/>
        <v>4</v>
      </c>
      <c r="EK8" s="10">
        <v>3</v>
      </c>
      <c r="EL8" s="1">
        <f t="shared" si="95"/>
        <v>12</v>
      </c>
      <c r="EM8" s="18">
        <v>82.503822222222226</v>
      </c>
      <c r="EN8" s="10" t="str">
        <f t="shared" si="96"/>
        <v>A</v>
      </c>
      <c r="EO8" s="1">
        <f t="shared" si="27"/>
        <v>4</v>
      </c>
      <c r="EP8" s="10">
        <v>3</v>
      </c>
      <c r="EQ8" s="1">
        <f t="shared" si="97"/>
        <v>12</v>
      </c>
      <c r="ER8" s="7">
        <v>80</v>
      </c>
      <c r="ES8" s="10" t="str">
        <f t="shared" si="98"/>
        <v>A</v>
      </c>
      <c r="ET8" s="1">
        <f t="shared" si="28"/>
        <v>4</v>
      </c>
      <c r="EU8" s="10">
        <v>2</v>
      </c>
      <c r="EV8" s="1">
        <f t="shared" si="99"/>
        <v>8</v>
      </c>
      <c r="EW8" s="5">
        <v>80.8</v>
      </c>
      <c r="EX8" s="10" t="str">
        <f t="shared" si="100"/>
        <v>A</v>
      </c>
      <c r="EY8" s="1">
        <f t="shared" si="29"/>
        <v>4</v>
      </c>
      <c r="EZ8" s="10">
        <v>3</v>
      </c>
      <c r="FA8" s="1">
        <f t="shared" si="101"/>
        <v>12</v>
      </c>
      <c r="FB8" s="19">
        <v>82</v>
      </c>
      <c r="FC8" s="10" t="str">
        <f t="shared" si="102"/>
        <v>A</v>
      </c>
      <c r="FD8" s="1">
        <f t="shared" si="30"/>
        <v>4</v>
      </c>
      <c r="FE8" s="10">
        <v>2</v>
      </c>
      <c r="FF8" s="1">
        <f t="shared" si="103"/>
        <v>8</v>
      </c>
      <c r="FG8" s="5">
        <v>80.599999999999994</v>
      </c>
      <c r="FH8" s="10" t="str">
        <f t="shared" si="104"/>
        <v>A</v>
      </c>
      <c r="FI8" s="1">
        <f t="shared" si="31"/>
        <v>4</v>
      </c>
      <c r="FJ8" s="10">
        <v>3</v>
      </c>
      <c r="FK8" s="1">
        <f t="shared" si="105"/>
        <v>12</v>
      </c>
      <c r="FL8" s="19">
        <v>78.933333333333337</v>
      </c>
      <c r="FM8" s="10" t="str">
        <f t="shared" si="106"/>
        <v>B+</v>
      </c>
      <c r="FN8" s="1">
        <f t="shared" si="32"/>
        <v>3.5</v>
      </c>
      <c r="FO8" s="10">
        <v>3</v>
      </c>
      <c r="FP8" s="1">
        <f t="shared" si="107"/>
        <v>10.5</v>
      </c>
      <c r="FQ8" s="6">
        <v>83.64</v>
      </c>
      <c r="FR8" s="10" t="str">
        <f t="shared" si="108"/>
        <v>A</v>
      </c>
      <c r="FS8" s="1">
        <f t="shared" si="109"/>
        <v>4</v>
      </c>
      <c r="FT8" s="10">
        <v>3</v>
      </c>
      <c r="FU8" s="1">
        <f t="shared" si="110"/>
        <v>12</v>
      </c>
      <c r="FV8" s="18">
        <v>80</v>
      </c>
      <c r="FW8" s="10" t="str">
        <f t="shared" si="111"/>
        <v>A</v>
      </c>
      <c r="FX8" s="1">
        <f t="shared" si="33"/>
        <v>4</v>
      </c>
      <c r="FY8" s="10">
        <v>3</v>
      </c>
      <c r="FZ8" s="1">
        <f t="shared" si="112"/>
        <v>12</v>
      </c>
      <c r="GA8" s="7">
        <v>80</v>
      </c>
      <c r="GB8" s="10" t="str">
        <f t="shared" si="113"/>
        <v>A</v>
      </c>
      <c r="GC8" s="1">
        <f t="shared" si="34"/>
        <v>4</v>
      </c>
      <c r="GD8" s="10">
        <v>2</v>
      </c>
      <c r="GE8" s="1">
        <f t="shared" si="114"/>
        <v>8</v>
      </c>
      <c r="GF8" s="5">
        <v>81</v>
      </c>
      <c r="GG8" s="10" t="str">
        <f t="shared" si="115"/>
        <v>A</v>
      </c>
      <c r="GH8" s="1">
        <f t="shared" si="35"/>
        <v>4</v>
      </c>
      <c r="GI8" s="10">
        <v>3</v>
      </c>
      <c r="GJ8" s="1">
        <f t="shared" si="116"/>
        <v>12</v>
      </c>
      <c r="GK8" s="5">
        <v>78.8</v>
      </c>
      <c r="GL8" s="10" t="str">
        <f t="shared" si="117"/>
        <v>B+</v>
      </c>
      <c r="GM8" s="1">
        <f t="shared" si="36"/>
        <v>3.5</v>
      </c>
      <c r="GN8" s="10">
        <v>2</v>
      </c>
      <c r="GO8" s="1">
        <f t="shared" si="118"/>
        <v>7</v>
      </c>
      <c r="GP8" s="19">
        <v>80.2</v>
      </c>
      <c r="GQ8" s="10" t="str">
        <f t="shared" si="119"/>
        <v>A</v>
      </c>
      <c r="GR8" s="1">
        <f t="shared" si="37"/>
        <v>4</v>
      </c>
      <c r="GS8" s="10">
        <v>3</v>
      </c>
      <c r="GT8" s="1">
        <f t="shared" si="120"/>
        <v>12</v>
      </c>
      <c r="GU8" s="5">
        <v>81.760000000000005</v>
      </c>
      <c r="GV8" s="10" t="str">
        <f t="shared" si="121"/>
        <v>A</v>
      </c>
      <c r="GW8" s="1">
        <f t="shared" si="38"/>
        <v>4</v>
      </c>
      <c r="GX8" s="10">
        <v>4</v>
      </c>
      <c r="GY8" s="1">
        <f t="shared" si="122"/>
        <v>16</v>
      </c>
      <c r="GZ8" s="7">
        <v>76</v>
      </c>
      <c r="HA8" s="10" t="str">
        <f t="shared" si="123"/>
        <v>B+</v>
      </c>
      <c r="HB8" s="1">
        <f t="shared" si="124"/>
        <v>3.5</v>
      </c>
      <c r="HC8" s="10">
        <v>4</v>
      </c>
      <c r="HD8" s="1">
        <f t="shared" si="125"/>
        <v>14</v>
      </c>
      <c r="HE8" s="6">
        <v>80.5</v>
      </c>
      <c r="HF8" s="10" t="str">
        <f t="shared" si="126"/>
        <v>A</v>
      </c>
      <c r="HG8" s="1">
        <f t="shared" si="39"/>
        <v>4</v>
      </c>
      <c r="HH8" s="10">
        <v>2</v>
      </c>
      <c r="HI8" s="1">
        <f t="shared" si="127"/>
        <v>8</v>
      </c>
      <c r="HJ8" s="18">
        <v>77.033333333333331</v>
      </c>
      <c r="HK8" s="10" t="str">
        <f t="shared" si="128"/>
        <v>B+</v>
      </c>
      <c r="HL8" s="1">
        <f t="shared" si="40"/>
        <v>3.5</v>
      </c>
      <c r="HM8" s="10">
        <v>3</v>
      </c>
      <c r="HN8" s="1">
        <f t="shared" si="129"/>
        <v>10.5</v>
      </c>
      <c r="HO8" s="12">
        <v>80.075000000000003</v>
      </c>
      <c r="HP8" s="10" t="str">
        <f t="shared" si="130"/>
        <v>A</v>
      </c>
      <c r="HQ8" s="1">
        <f t="shared" si="41"/>
        <v>4</v>
      </c>
      <c r="HR8" s="10">
        <v>3</v>
      </c>
      <c r="HS8" s="1">
        <f t="shared" si="131"/>
        <v>12</v>
      </c>
      <c r="HT8" s="10">
        <v>78.2</v>
      </c>
      <c r="HU8" s="10" t="str">
        <f t="shared" si="132"/>
        <v>B+</v>
      </c>
      <c r="HV8" s="1">
        <f t="shared" si="133"/>
        <v>3.5</v>
      </c>
      <c r="HW8" s="10">
        <v>4</v>
      </c>
      <c r="HX8" s="1">
        <f t="shared" si="134"/>
        <v>14</v>
      </c>
      <c r="HY8" s="5">
        <v>83.55</v>
      </c>
      <c r="HZ8" s="10" t="str">
        <f t="shared" si="135"/>
        <v>A</v>
      </c>
      <c r="IA8" s="1">
        <f t="shared" si="136"/>
        <v>4</v>
      </c>
      <c r="IB8" s="10">
        <v>2</v>
      </c>
      <c r="IC8" s="1">
        <f t="shared" si="137"/>
        <v>8</v>
      </c>
      <c r="ID8" s="7">
        <v>80.38</v>
      </c>
      <c r="IE8" s="10" t="str">
        <f t="shared" si="138"/>
        <v>A</v>
      </c>
      <c r="IF8" s="1">
        <f t="shared" si="139"/>
        <v>4</v>
      </c>
      <c r="IG8" s="10">
        <v>3</v>
      </c>
      <c r="IH8" s="1">
        <f t="shared" si="140"/>
        <v>12</v>
      </c>
      <c r="II8" s="6">
        <v>78.2</v>
      </c>
      <c r="IJ8" s="10" t="str">
        <f t="shared" si="141"/>
        <v>B+</v>
      </c>
      <c r="IK8" s="1">
        <f t="shared" si="142"/>
        <v>3.5</v>
      </c>
      <c r="IL8" s="10">
        <v>2</v>
      </c>
      <c r="IM8" s="1">
        <f t="shared" si="143"/>
        <v>7</v>
      </c>
      <c r="IN8" s="18">
        <v>77.08</v>
      </c>
      <c r="IO8" s="10" t="str">
        <f t="shared" si="144"/>
        <v>B+</v>
      </c>
      <c r="IP8" s="1">
        <f t="shared" si="145"/>
        <v>3.5</v>
      </c>
      <c r="IQ8" s="10">
        <v>2</v>
      </c>
      <c r="IR8" s="1">
        <f t="shared" si="146"/>
        <v>7</v>
      </c>
      <c r="IS8" s="10">
        <v>77.8</v>
      </c>
      <c r="IT8" s="10" t="str">
        <f t="shared" si="147"/>
        <v>B+</v>
      </c>
      <c r="IU8" s="1">
        <f t="shared" si="148"/>
        <v>3.5</v>
      </c>
      <c r="IV8" s="10">
        <v>4</v>
      </c>
      <c r="IW8" s="1">
        <f t="shared" si="149"/>
        <v>14</v>
      </c>
      <c r="IX8" s="10">
        <v>82.9</v>
      </c>
      <c r="IY8" s="10" t="str">
        <f t="shared" si="150"/>
        <v>A</v>
      </c>
      <c r="IZ8" s="1">
        <f t="shared" si="151"/>
        <v>4</v>
      </c>
      <c r="JA8" s="10">
        <v>4</v>
      </c>
      <c r="JB8" s="1">
        <f t="shared" si="152"/>
        <v>16</v>
      </c>
      <c r="JC8" s="2">
        <v>80.5</v>
      </c>
      <c r="JD8" s="2">
        <v>22</v>
      </c>
      <c r="JE8" s="2">
        <v>69</v>
      </c>
      <c r="JF8" s="2">
        <v>19</v>
      </c>
      <c r="JG8" s="2">
        <v>77.5</v>
      </c>
      <c r="JH8" s="2">
        <v>21</v>
      </c>
      <c r="JI8" s="2">
        <v>82.5</v>
      </c>
      <c r="JJ8" s="2">
        <v>21</v>
      </c>
      <c r="JK8" s="2">
        <v>81.5</v>
      </c>
      <c r="JL8" s="2">
        <v>21</v>
      </c>
      <c r="JM8" s="2">
        <v>72.5</v>
      </c>
      <c r="JN8" s="2">
        <v>19</v>
      </c>
      <c r="JO8" s="2">
        <v>62</v>
      </c>
      <c r="JP8" s="2">
        <v>17</v>
      </c>
      <c r="JQ8" s="2">
        <v>16</v>
      </c>
      <c r="JR8" s="2">
        <v>4</v>
      </c>
      <c r="JS8" s="2">
        <f t="shared" si="153"/>
        <v>541.5</v>
      </c>
      <c r="JT8" s="2">
        <f t="shared" si="153"/>
        <v>144</v>
      </c>
      <c r="JU8" s="3">
        <f t="shared" si="154"/>
        <v>3.7604166666666665</v>
      </c>
      <c r="JV8" s="2" t="str">
        <f t="shared" si="155"/>
        <v>Cum Laude</v>
      </c>
      <c r="JW8" s="2" t="str">
        <f t="shared" si="156"/>
        <v>Excellent</v>
      </c>
      <c r="JX8" s="23" t="s">
        <v>190</v>
      </c>
      <c r="JY8" s="23" t="s">
        <v>261</v>
      </c>
    </row>
    <row r="9" spans="1:285" x14ac:dyDescent="0.25">
      <c r="A9" s="55">
        <v>7</v>
      </c>
      <c r="B9" s="32" t="s">
        <v>26</v>
      </c>
      <c r="C9" s="25">
        <v>152111010</v>
      </c>
      <c r="D9" s="10" t="s">
        <v>140</v>
      </c>
      <c r="E9" s="27" t="s">
        <v>141</v>
      </c>
      <c r="F9" s="27" t="s">
        <v>219</v>
      </c>
      <c r="G9" s="2" t="s">
        <v>228</v>
      </c>
      <c r="H9" s="9">
        <v>76.45</v>
      </c>
      <c r="I9" s="10" t="str">
        <f t="shared" si="42"/>
        <v>B+</v>
      </c>
      <c r="J9" s="1">
        <f t="shared" si="0"/>
        <v>3.5</v>
      </c>
      <c r="K9" s="10">
        <v>2</v>
      </c>
      <c r="L9" s="1">
        <f t="shared" si="43"/>
        <v>7</v>
      </c>
      <c r="M9" s="11">
        <v>73.25</v>
      </c>
      <c r="N9" s="10" t="str">
        <f t="shared" si="44"/>
        <v>B</v>
      </c>
      <c r="O9" s="1">
        <f t="shared" si="1"/>
        <v>3</v>
      </c>
      <c r="P9" s="10">
        <v>3</v>
      </c>
      <c r="Q9" s="1">
        <f t="shared" si="45"/>
        <v>9</v>
      </c>
      <c r="R9" s="31">
        <v>73</v>
      </c>
      <c r="S9" s="10" t="str">
        <f t="shared" si="46"/>
        <v>B</v>
      </c>
      <c r="T9" s="1">
        <f t="shared" si="2"/>
        <v>3</v>
      </c>
      <c r="U9" s="10">
        <v>4</v>
      </c>
      <c r="V9" s="1">
        <f t="shared" si="47"/>
        <v>12</v>
      </c>
      <c r="W9" s="12">
        <v>82.25</v>
      </c>
      <c r="X9" s="10" t="str">
        <f t="shared" si="48"/>
        <v>A</v>
      </c>
      <c r="Y9" s="1">
        <f t="shared" si="3"/>
        <v>4</v>
      </c>
      <c r="Z9" s="10">
        <v>2</v>
      </c>
      <c r="AA9" s="1">
        <f t="shared" si="49"/>
        <v>8</v>
      </c>
      <c r="AB9" s="12">
        <v>62.349999999999994</v>
      </c>
      <c r="AC9" s="10" t="str">
        <f t="shared" si="50"/>
        <v>C</v>
      </c>
      <c r="AD9" s="1">
        <f t="shared" si="4"/>
        <v>2</v>
      </c>
      <c r="AE9" s="10">
        <v>4</v>
      </c>
      <c r="AF9" s="1">
        <f t="shared" si="51"/>
        <v>8</v>
      </c>
      <c r="AG9" s="12">
        <v>67</v>
      </c>
      <c r="AH9" s="10" t="str">
        <f t="shared" si="52"/>
        <v>C+</v>
      </c>
      <c r="AI9" s="1">
        <f t="shared" si="5"/>
        <v>2.5</v>
      </c>
      <c r="AJ9" s="10">
        <v>4</v>
      </c>
      <c r="AK9" s="1">
        <f t="shared" si="53"/>
        <v>10</v>
      </c>
      <c r="AL9" s="13">
        <v>77.899999999999991</v>
      </c>
      <c r="AM9" s="10" t="str">
        <f t="shared" si="54"/>
        <v>B+</v>
      </c>
      <c r="AN9" s="1">
        <f t="shared" si="6"/>
        <v>3.5</v>
      </c>
      <c r="AO9" s="10">
        <v>3</v>
      </c>
      <c r="AP9" s="1">
        <f t="shared" si="55"/>
        <v>10.5</v>
      </c>
      <c r="AQ9" s="12">
        <v>88.4</v>
      </c>
      <c r="AR9" s="10" t="str">
        <f t="shared" si="56"/>
        <v>A</v>
      </c>
      <c r="AS9" s="1">
        <f t="shared" si="7"/>
        <v>4</v>
      </c>
      <c r="AT9" s="10">
        <v>3</v>
      </c>
      <c r="AU9" s="1">
        <f t="shared" si="57"/>
        <v>12</v>
      </c>
      <c r="AV9" s="11">
        <v>75</v>
      </c>
      <c r="AW9" s="10" t="str">
        <f t="shared" si="58"/>
        <v>B+</v>
      </c>
      <c r="AX9" s="1">
        <f t="shared" si="8"/>
        <v>3.5</v>
      </c>
      <c r="AY9" s="10">
        <v>2</v>
      </c>
      <c r="AZ9" s="1">
        <f t="shared" si="59"/>
        <v>7</v>
      </c>
      <c r="BA9" s="12">
        <v>80.099999999999994</v>
      </c>
      <c r="BB9" s="10" t="str">
        <f t="shared" si="60"/>
        <v>A</v>
      </c>
      <c r="BC9" s="1">
        <f t="shared" si="9"/>
        <v>4</v>
      </c>
      <c r="BD9" s="10">
        <v>2</v>
      </c>
      <c r="BE9" s="1">
        <f t="shared" si="61"/>
        <v>8</v>
      </c>
      <c r="BF9" s="14">
        <v>73.400000000000006</v>
      </c>
      <c r="BG9" s="10" t="str">
        <f t="shared" si="62"/>
        <v>B</v>
      </c>
      <c r="BH9" s="1">
        <f t="shared" si="10"/>
        <v>3</v>
      </c>
      <c r="BI9" s="10">
        <v>3</v>
      </c>
      <c r="BJ9" s="1">
        <f t="shared" si="63"/>
        <v>9</v>
      </c>
      <c r="BK9" s="15">
        <v>77.25</v>
      </c>
      <c r="BL9" s="10" t="str">
        <f t="shared" si="64"/>
        <v>B+</v>
      </c>
      <c r="BM9" s="1">
        <f t="shared" si="11"/>
        <v>3.5</v>
      </c>
      <c r="BN9" s="10">
        <v>2</v>
      </c>
      <c r="BO9" s="1">
        <f t="shared" si="65"/>
        <v>7</v>
      </c>
      <c r="BP9" s="12">
        <v>73.400000000000006</v>
      </c>
      <c r="BQ9" s="10" t="str">
        <f t="shared" si="66"/>
        <v>B</v>
      </c>
      <c r="BR9" s="1">
        <f t="shared" si="12"/>
        <v>3</v>
      </c>
      <c r="BS9" s="10">
        <v>2</v>
      </c>
      <c r="BT9" s="1">
        <f t="shared" si="67"/>
        <v>6</v>
      </c>
      <c r="BU9" s="4">
        <v>70.8</v>
      </c>
      <c r="BV9" s="10" t="str">
        <f t="shared" si="68"/>
        <v>B</v>
      </c>
      <c r="BW9" s="1">
        <f t="shared" si="13"/>
        <v>3</v>
      </c>
      <c r="BX9" s="10">
        <v>3</v>
      </c>
      <c r="BY9" s="1">
        <f t="shared" si="69"/>
        <v>9</v>
      </c>
      <c r="BZ9" s="13">
        <v>72.849999999999994</v>
      </c>
      <c r="CA9" s="10" t="str">
        <f t="shared" si="70"/>
        <v>B</v>
      </c>
      <c r="CB9" s="1">
        <f t="shared" si="14"/>
        <v>3</v>
      </c>
      <c r="CC9" s="10">
        <v>2</v>
      </c>
      <c r="CD9" s="1">
        <f t="shared" si="71"/>
        <v>6</v>
      </c>
      <c r="CE9" s="19">
        <v>77.789999999999992</v>
      </c>
      <c r="CF9" s="10" t="str">
        <f t="shared" si="72"/>
        <v>B+</v>
      </c>
      <c r="CG9" s="1">
        <f t="shared" si="15"/>
        <v>3.5</v>
      </c>
      <c r="CH9" s="10">
        <v>4</v>
      </c>
      <c r="CI9" s="1">
        <f t="shared" si="73"/>
        <v>14</v>
      </c>
      <c r="CJ9" s="16">
        <v>78.5</v>
      </c>
      <c r="CK9" s="10" t="str">
        <f t="shared" si="74"/>
        <v>B+</v>
      </c>
      <c r="CL9" s="1">
        <f t="shared" si="16"/>
        <v>3.5</v>
      </c>
      <c r="CM9" s="10">
        <v>4</v>
      </c>
      <c r="CN9" s="1">
        <f t="shared" si="75"/>
        <v>14</v>
      </c>
      <c r="CO9" s="19">
        <v>76.375</v>
      </c>
      <c r="CP9" s="10" t="str">
        <f t="shared" si="76"/>
        <v>B+</v>
      </c>
      <c r="CQ9" s="1">
        <f t="shared" si="17"/>
        <v>3.5</v>
      </c>
      <c r="CR9" s="10">
        <v>3</v>
      </c>
      <c r="CS9" s="1">
        <f t="shared" si="77"/>
        <v>10.5</v>
      </c>
      <c r="CT9" s="17">
        <v>76.960285714285718</v>
      </c>
      <c r="CU9" s="10" t="str">
        <f t="shared" si="78"/>
        <v>B+</v>
      </c>
      <c r="CV9" s="1">
        <f t="shared" si="18"/>
        <v>3.5</v>
      </c>
      <c r="CW9" s="10">
        <v>2</v>
      </c>
      <c r="CX9" s="1">
        <f t="shared" si="79"/>
        <v>7</v>
      </c>
      <c r="CY9" s="18">
        <v>81.325000000000003</v>
      </c>
      <c r="CZ9" s="10" t="str">
        <f t="shared" si="80"/>
        <v>A</v>
      </c>
      <c r="DA9" s="1">
        <f t="shared" si="19"/>
        <v>4</v>
      </c>
      <c r="DB9" s="10">
        <v>2</v>
      </c>
      <c r="DC9" s="1">
        <f t="shared" si="81"/>
        <v>8</v>
      </c>
      <c r="DD9" s="19">
        <v>83.449999999999989</v>
      </c>
      <c r="DE9" s="10" t="str">
        <f t="shared" si="82"/>
        <v>A</v>
      </c>
      <c r="DF9" s="1">
        <f t="shared" si="20"/>
        <v>4</v>
      </c>
      <c r="DG9" s="10">
        <v>2</v>
      </c>
      <c r="DH9" s="1">
        <f t="shared" si="83"/>
        <v>8</v>
      </c>
      <c r="DI9" s="5">
        <v>70</v>
      </c>
      <c r="DJ9" s="10" t="str">
        <f t="shared" si="84"/>
        <v>B</v>
      </c>
      <c r="DK9" s="1">
        <f t="shared" si="21"/>
        <v>3</v>
      </c>
      <c r="DL9" s="10">
        <v>2</v>
      </c>
      <c r="DM9" s="1">
        <f t="shared" si="85"/>
        <v>6</v>
      </c>
      <c r="DN9" s="20">
        <v>77</v>
      </c>
      <c r="DO9" s="10" t="str">
        <f t="shared" si="86"/>
        <v>B+</v>
      </c>
      <c r="DP9" s="1">
        <f t="shared" si="22"/>
        <v>3.5</v>
      </c>
      <c r="DQ9" s="10">
        <v>2</v>
      </c>
      <c r="DR9" s="1">
        <f t="shared" si="87"/>
        <v>7</v>
      </c>
      <c r="DS9" s="19">
        <v>71.199999999999989</v>
      </c>
      <c r="DT9" s="10" t="str">
        <f t="shared" si="88"/>
        <v>B</v>
      </c>
      <c r="DU9" s="1">
        <f t="shared" si="23"/>
        <v>3</v>
      </c>
      <c r="DV9" s="10">
        <v>4</v>
      </c>
      <c r="DW9" s="1">
        <f t="shared" si="89"/>
        <v>12</v>
      </c>
      <c r="DX9" s="16">
        <v>75.8</v>
      </c>
      <c r="DY9" s="10" t="str">
        <f t="shared" si="90"/>
        <v>B+</v>
      </c>
      <c r="DZ9" s="1">
        <f t="shared" si="24"/>
        <v>3.5</v>
      </c>
      <c r="EA9" s="10">
        <v>3</v>
      </c>
      <c r="EB9" s="1">
        <f t="shared" si="91"/>
        <v>10.5</v>
      </c>
      <c r="EC9" s="19">
        <v>73.95</v>
      </c>
      <c r="ED9" s="10" t="str">
        <f t="shared" si="92"/>
        <v>B</v>
      </c>
      <c r="EE9" s="1">
        <f t="shared" si="25"/>
        <v>3</v>
      </c>
      <c r="EF9" s="10">
        <v>3</v>
      </c>
      <c r="EG9" s="1">
        <f t="shared" si="93"/>
        <v>9</v>
      </c>
      <c r="EH9" s="6">
        <v>78.400000000000006</v>
      </c>
      <c r="EI9" s="10" t="str">
        <f t="shared" si="94"/>
        <v>B+</v>
      </c>
      <c r="EJ9" s="1">
        <f t="shared" si="26"/>
        <v>3.5</v>
      </c>
      <c r="EK9" s="10">
        <v>3</v>
      </c>
      <c r="EL9" s="1">
        <f t="shared" si="95"/>
        <v>10.5</v>
      </c>
      <c r="EM9" s="18">
        <v>68.091333333333338</v>
      </c>
      <c r="EN9" s="10" t="str">
        <f t="shared" si="96"/>
        <v>C+</v>
      </c>
      <c r="EO9" s="1">
        <f t="shared" si="27"/>
        <v>2.5</v>
      </c>
      <c r="EP9" s="10">
        <v>3</v>
      </c>
      <c r="EQ9" s="1">
        <f t="shared" si="97"/>
        <v>7.5</v>
      </c>
      <c r="ER9" s="7">
        <v>76.900000000000006</v>
      </c>
      <c r="ES9" s="10" t="str">
        <f t="shared" si="98"/>
        <v>B+</v>
      </c>
      <c r="ET9" s="1">
        <f t="shared" si="28"/>
        <v>3.5</v>
      </c>
      <c r="EU9" s="10">
        <v>2</v>
      </c>
      <c r="EV9" s="1">
        <f t="shared" si="99"/>
        <v>7</v>
      </c>
      <c r="EW9" s="5">
        <v>80.2</v>
      </c>
      <c r="EX9" s="10" t="str">
        <f t="shared" si="100"/>
        <v>A</v>
      </c>
      <c r="EY9" s="1">
        <f t="shared" si="29"/>
        <v>4</v>
      </c>
      <c r="EZ9" s="10">
        <v>3</v>
      </c>
      <c r="FA9" s="1">
        <f t="shared" si="101"/>
        <v>12</v>
      </c>
      <c r="FB9" s="19">
        <v>73</v>
      </c>
      <c r="FC9" s="10" t="str">
        <f t="shared" si="102"/>
        <v>B</v>
      </c>
      <c r="FD9" s="1">
        <f t="shared" si="30"/>
        <v>3</v>
      </c>
      <c r="FE9" s="10">
        <v>2</v>
      </c>
      <c r="FF9" s="1">
        <f t="shared" si="103"/>
        <v>6</v>
      </c>
      <c r="FG9" s="16">
        <v>73</v>
      </c>
      <c r="FH9" s="10" t="str">
        <f t="shared" si="104"/>
        <v>B</v>
      </c>
      <c r="FI9" s="1">
        <f t="shared" si="31"/>
        <v>3</v>
      </c>
      <c r="FJ9" s="10">
        <v>3</v>
      </c>
      <c r="FK9" s="1">
        <f t="shared" si="105"/>
        <v>9</v>
      </c>
      <c r="FL9" s="19">
        <v>77.733333333333334</v>
      </c>
      <c r="FM9" s="10" t="str">
        <f t="shared" si="106"/>
        <v>B+</v>
      </c>
      <c r="FN9" s="1">
        <f t="shared" si="32"/>
        <v>3.5</v>
      </c>
      <c r="FO9" s="10">
        <v>3</v>
      </c>
      <c r="FP9" s="1">
        <f t="shared" si="107"/>
        <v>10.5</v>
      </c>
      <c r="FQ9" s="6">
        <v>72.89</v>
      </c>
      <c r="FR9" s="10" t="str">
        <f t="shared" si="108"/>
        <v>B</v>
      </c>
      <c r="FS9" s="1">
        <f t="shared" si="109"/>
        <v>3</v>
      </c>
      <c r="FT9" s="10">
        <v>3</v>
      </c>
      <c r="FU9" s="1">
        <f t="shared" si="110"/>
        <v>9</v>
      </c>
      <c r="FV9" s="18">
        <v>77.900000000000006</v>
      </c>
      <c r="FW9" s="10" t="str">
        <f t="shared" si="111"/>
        <v>B+</v>
      </c>
      <c r="FX9" s="1">
        <f t="shared" si="33"/>
        <v>3.5</v>
      </c>
      <c r="FY9" s="10">
        <v>3</v>
      </c>
      <c r="FZ9" s="1">
        <f t="shared" si="112"/>
        <v>10.5</v>
      </c>
      <c r="GA9" s="7">
        <v>75.05</v>
      </c>
      <c r="GB9" s="10" t="str">
        <f t="shared" si="113"/>
        <v>B+</v>
      </c>
      <c r="GC9" s="1">
        <f t="shared" si="34"/>
        <v>3.5</v>
      </c>
      <c r="GD9" s="10">
        <v>2</v>
      </c>
      <c r="GE9" s="1">
        <f t="shared" si="114"/>
        <v>7</v>
      </c>
      <c r="GF9" s="5">
        <v>77.3</v>
      </c>
      <c r="GG9" s="10" t="str">
        <f t="shared" si="115"/>
        <v>B+</v>
      </c>
      <c r="GH9" s="1">
        <f t="shared" si="35"/>
        <v>3.5</v>
      </c>
      <c r="GI9" s="10">
        <v>3</v>
      </c>
      <c r="GJ9" s="1">
        <f t="shared" si="116"/>
        <v>10.5</v>
      </c>
      <c r="GK9" s="5">
        <v>71.84</v>
      </c>
      <c r="GL9" s="10" t="str">
        <f t="shared" si="117"/>
        <v>B</v>
      </c>
      <c r="GM9" s="1">
        <f t="shared" si="36"/>
        <v>3</v>
      </c>
      <c r="GN9" s="10">
        <v>2</v>
      </c>
      <c r="GO9" s="1">
        <f t="shared" si="118"/>
        <v>6</v>
      </c>
      <c r="GP9" s="19">
        <v>75</v>
      </c>
      <c r="GQ9" s="10" t="str">
        <f t="shared" si="119"/>
        <v>B+</v>
      </c>
      <c r="GR9" s="1">
        <f>IF(GQ9="A",4,IF(GQ9="B+",3.5,IF(GQ9="B",3,IF(GQ9="C+",2.5,IF(GQ9="C",2,IF(GQ9="D",1,0))))))</f>
        <v>3.5</v>
      </c>
      <c r="GS9" s="10">
        <v>3</v>
      </c>
      <c r="GT9" s="1">
        <f t="shared" si="120"/>
        <v>10.5</v>
      </c>
      <c r="GU9" s="16">
        <v>71.86</v>
      </c>
      <c r="GV9" s="10" t="str">
        <f t="shared" si="121"/>
        <v>B</v>
      </c>
      <c r="GW9" s="1">
        <f t="shared" si="38"/>
        <v>3</v>
      </c>
      <c r="GX9" s="10">
        <v>4</v>
      </c>
      <c r="GY9" s="1">
        <f t="shared" si="122"/>
        <v>12</v>
      </c>
      <c r="GZ9" s="7">
        <v>74.25</v>
      </c>
      <c r="HA9" s="10" t="str">
        <f t="shared" si="123"/>
        <v>B</v>
      </c>
      <c r="HB9" s="1">
        <f t="shared" si="124"/>
        <v>3</v>
      </c>
      <c r="HC9" s="10">
        <v>4</v>
      </c>
      <c r="HD9" s="1">
        <f t="shared" si="125"/>
        <v>12</v>
      </c>
      <c r="HE9" s="6">
        <v>68.228571428571428</v>
      </c>
      <c r="HF9" s="10" t="str">
        <f t="shared" si="126"/>
        <v>C+</v>
      </c>
      <c r="HG9" s="1">
        <f t="shared" si="39"/>
        <v>2.5</v>
      </c>
      <c r="HH9" s="10">
        <v>2</v>
      </c>
      <c r="HI9" s="1">
        <f t="shared" si="127"/>
        <v>5</v>
      </c>
      <c r="HJ9" s="18">
        <v>71.045238095238105</v>
      </c>
      <c r="HK9" s="10" t="str">
        <f t="shared" si="128"/>
        <v>B</v>
      </c>
      <c r="HL9" s="1">
        <f t="shared" si="40"/>
        <v>3</v>
      </c>
      <c r="HM9" s="10">
        <v>3</v>
      </c>
      <c r="HN9" s="1">
        <f t="shared" si="129"/>
        <v>9</v>
      </c>
      <c r="HO9" s="12">
        <v>68.575000000000003</v>
      </c>
      <c r="HP9" s="10" t="str">
        <f t="shared" si="130"/>
        <v>C+</v>
      </c>
      <c r="HQ9" s="1">
        <f t="shared" si="41"/>
        <v>2.5</v>
      </c>
      <c r="HR9" s="10">
        <v>3</v>
      </c>
      <c r="HS9" s="1">
        <f t="shared" si="131"/>
        <v>7.5</v>
      </c>
      <c r="HT9" s="10">
        <v>81.2</v>
      </c>
      <c r="HU9" s="10" t="str">
        <f t="shared" si="132"/>
        <v>A</v>
      </c>
      <c r="HV9" s="1">
        <f t="shared" si="133"/>
        <v>4</v>
      </c>
      <c r="HW9" s="10">
        <v>4</v>
      </c>
      <c r="HX9" s="1">
        <f t="shared" si="134"/>
        <v>16</v>
      </c>
      <c r="HY9" s="16">
        <v>77.95</v>
      </c>
      <c r="HZ9" s="10" t="str">
        <f t="shared" si="135"/>
        <v>B+</v>
      </c>
      <c r="IA9" s="1">
        <f t="shared" si="136"/>
        <v>3.5</v>
      </c>
      <c r="IB9" s="10">
        <v>2</v>
      </c>
      <c r="IC9" s="1">
        <f t="shared" si="137"/>
        <v>7</v>
      </c>
      <c r="ID9" s="7">
        <v>78</v>
      </c>
      <c r="IE9" s="10" t="str">
        <f t="shared" si="138"/>
        <v>B+</v>
      </c>
      <c r="IF9" s="1">
        <f t="shared" si="139"/>
        <v>3.5</v>
      </c>
      <c r="IG9" s="10">
        <v>3</v>
      </c>
      <c r="IH9" s="1">
        <f t="shared" si="140"/>
        <v>10.5</v>
      </c>
      <c r="II9" s="6">
        <v>81.2</v>
      </c>
      <c r="IJ9" s="10" t="str">
        <f t="shared" si="141"/>
        <v>A</v>
      </c>
      <c r="IK9" s="1">
        <f t="shared" si="142"/>
        <v>4</v>
      </c>
      <c r="IL9" s="10">
        <v>2</v>
      </c>
      <c r="IM9" s="1">
        <f t="shared" si="143"/>
        <v>8</v>
      </c>
      <c r="IN9" s="18">
        <v>73.150000000000006</v>
      </c>
      <c r="IO9" s="10" t="str">
        <f t="shared" si="144"/>
        <v>B</v>
      </c>
      <c r="IP9" s="1">
        <f t="shared" si="145"/>
        <v>3</v>
      </c>
      <c r="IQ9" s="10">
        <v>2</v>
      </c>
      <c r="IR9" s="1">
        <f t="shared" si="146"/>
        <v>6</v>
      </c>
      <c r="IS9" s="10">
        <v>76.099999999999994</v>
      </c>
      <c r="IT9" s="10" t="str">
        <f t="shared" si="147"/>
        <v>B+</v>
      </c>
      <c r="IU9" s="1">
        <f t="shared" si="148"/>
        <v>3.5</v>
      </c>
      <c r="IV9" s="10">
        <v>4</v>
      </c>
      <c r="IW9" s="1">
        <f t="shared" si="149"/>
        <v>14</v>
      </c>
      <c r="IX9" s="10">
        <v>80.3</v>
      </c>
      <c r="IY9" s="10" t="str">
        <f t="shared" si="150"/>
        <v>A</v>
      </c>
      <c r="IZ9" s="1">
        <f t="shared" si="151"/>
        <v>4</v>
      </c>
      <c r="JA9" s="10">
        <v>4</v>
      </c>
      <c r="JB9" s="1">
        <f t="shared" si="152"/>
        <v>16</v>
      </c>
      <c r="JC9" s="2">
        <v>64.5</v>
      </c>
      <c r="JD9" s="2">
        <v>22</v>
      </c>
      <c r="JE9" s="2">
        <v>64</v>
      </c>
      <c r="JF9" s="2">
        <v>19</v>
      </c>
      <c r="JG9" s="2">
        <v>74.5</v>
      </c>
      <c r="JH9" s="2">
        <v>21</v>
      </c>
      <c r="JI9" s="2">
        <v>68.5</v>
      </c>
      <c r="JJ9" s="2">
        <v>21</v>
      </c>
      <c r="JK9" s="2">
        <v>68.5</v>
      </c>
      <c r="JL9" s="2">
        <v>21</v>
      </c>
      <c r="JM9" s="2">
        <v>56</v>
      </c>
      <c r="JN9" s="2">
        <v>19</v>
      </c>
      <c r="JO9" s="2">
        <v>61.5</v>
      </c>
      <c r="JP9" s="2">
        <v>17</v>
      </c>
      <c r="JQ9" s="2">
        <v>16</v>
      </c>
      <c r="JR9" s="2">
        <v>4</v>
      </c>
      <c r="JS9" s="2">
        <f t="shared" si="153"/>
        <v>473.5</v>
      </c>
      <c r="JT9" s="2">
        <f t="shared" si="153"/>
        <v>144</v>
      </c>
      <c r="JU9" s="3">
        <f t="shared" si="154"/>
        <v>3.2881944444444446</v>
      </c>
      <c r="JV9" s="2" t="str">
        <f t="shared" si="155"/>
        <v>Sangat Memuaskan</v>
      </c>
      <c r="JW9" s="2" t="str">
        <f t="shared" si="156"/>
        <v>Highly Satisfactory</v>
      </c>
      <c r="JX9" s="23" t="s">
        <v>191</v>
      </c>
      <c r="JY9" s="23" t="s">
        <v>262</v>
      </c>
    </row>
    <row r="10" spans="1:285" x14ac:dyDescent="0.25">
      <c r="A10" s="55">
        <v>8</v>
      </c>
      <c r="B10" s="32" t="s">
        <v>27</v>
      </c>
      <c r="C10" s="25">
        <v>152111013</v>
      </c>
      <c r="D10" s="10" t="s">
        <v>135</v>
      </c>
      <c r="E10" s="27" t="s">
        <v>142</v>
      </c>
      <c r="F10" s="27" t="s">
        <v>219</v>
      </c>
      <c r="G10" s="2" t="s">
        <v>229</v>
      </c>
      <c r="H10" s="9">
        <v>78.650000000000006</v>
      </c>
      <c r="I10" s="10" t="str">
        <f t="shared" si="42"/>
        <v>B+</v>
      </c>
      <c r="J10" s="1">
        <f t="shared" si="0"/>
        <v>3.5</v>
      </c>
      <c r="K10" s="10">
        <v>2</v>
      </c>
      <c r="L10" s="1">
        <f t="shared" si="43"/>
        <v>7</v>
      </c>
      <c r="M10" s="11">
        <v>76.625</v>
      </c>
      <c r="N10" s="10" t="str">
        <f t="shared" si="44"/>
        <v>B+</v>
      </c>
      <c r="O10" s="1">
        <f t="shared" si="1"/>
        <v>3.5</v>
      </c>
      <c r="P10" s="10">
        <v>3</v>
      </c>
      <c r="Q10" s="1">
        <f t="shared" si="45"/>
        <v>10.5</v>
      </c>
      <c r="R10" s="31">
        <v>75.400000000000006</v>
      </c>
      <c r="S10" s="10" t="str">
        <f t="shared" si="46"/>
        <v>B+</v>
      </c>
      <c r="T10" s="1">
        <f t="shared" si="2"/>
        <v>3.5</v>
      </c>
      <c r="U10" s="10">
        <v>4</v>
      </c>
      <c r="V10" s="1">
        <f t="shared" si="47"/>
        <v>14</v>
      </c>
      <c r="W10" s="12">
        <v>83.75</v>
      </c>
      <c r="X10" s="10" t="str">
        <f t="shared" si="48"/>
        <v>A</v>
      </c>
      <c r="Y10" s="1">
        <f t="shared" si="3"/>
        <v>4</v>
      </c>
      <c r="Z10" s="10">
        <v>2</v>
      </c>
      <c r="AA10" s="1">
        <f t="shared" si="49"/>
        <v>8</v>
      </c>
      <c r="AB10" s="12">
        <v>79.900000000000006</v>
      </c>
      <c r="AC10" s="10" t="str">
        <f t="shared" si="50"/>
        <v>B+</v>
      </c>
      <c r="AD10" s="1">
        <f t="shared" si="4"/>
        <v>3.5</v>
      </c>
      <c r="AE10" s="10">
        <v>4</v>
      </c>
      <c r="AF10" s="1">
        <f t="shared" si="51"/>
        <v>14</v>
      </c>
      <c r="AG10" s="12">
        <v>74.650000000000006</v>
      </c>
      <c r="AH10" s="10" t="str">
        <f t="shared" si="52"/>
        <v>B</v>
      </c>
      <c r="AI10" s="1">
        <f t="shared" si="5"/>
        <v>3</v>
      </c>
      <c r="AJ10" s="10">
        <v>4</v>
      </c>
      <c r="AK10" s="1">
        <f t="shared" si="53"/>
        <v>12</v>
      </c>
      <c r="AL10" s="13">
        <v>79.7</v>
      </c>
      <c r="AM10" s="10" t="str">
        <f t="shared" si="54"/>
        <v>B+</v>
      </c>
      <c r="AN10" s="1">
        <f t="shared" si="6"/>
        <v>3.5</v>
      </c>
      <c r="AO10" s="10">
        <v>3</v>
      </c>
      <c r="AP10" s="1">
        <f t="shared" si="55"/>
        <v>10.5</v>
      </c>
      <c r="AQ10" s="12">
        <v>86.2</v>
      </c>
      <c r="AR10" s="10" t="str">
        <f t="shared" si="56"/>
        <v>A</v>
      </c>
      <c r="AS10" s="1">
        <f t="shared" si="7"/>
        <v>4</v>
      </c>
      <c r="AT10" s="10">
        <v>3</v>
      </c>
      <c r="AU10" s="1">
        <f t="shared" si="57"/>
        <v>12</v>
      </c>
      <c r="AV10" s="11">
        <v>70</v>
      </c>
      <c r="AW10" s="10" t="str">
        <f t="shared" si="58"/>
        <v>B</v>
      </c>
      <c r="AX10" s="1">
        <f t="shared" si="8"/>
        <v>3</v>
      </c>
      <c r="AY10" s="10">
        <v>2</v>
      </c>
      <c r="AZ10" s="1">
        <f t="shared" si="59"/>
        <v>6</v>
      </c>
      <c r="BA10" s="12">
        <v>80.099999999999994</v>
      </c>
      <c r="BB10" s="10" t="str">
        <f t="shared" si="60"/>
        <v>A</v>
      </c>
      <c r="BC10" s="1">
        <f t="shared" si="9"/>
        <v>4</v>
      </c>
      <c r="BD10" s="10">
        <v>2</v>
      </c>
      <c r="BE10" s="1">
        <f t="shared" si="61"/>
        <v>8</v>
      </c>
      <c r="BF10" s="14">
        <v>80</v>
      </c>
      <c r="BG10" s="10" t="str">
        <f t="shared" si="62"/>
        <v>A</v>
      </c>
      <c r="BH10" s="1">
        <f t="shared" si="10"/>
        <v>4</v>
      </c>
      <c r="BI10" s="10">
        <v>3</v>
      </c>
      <c r="BJ10" s="1">
        <f t="shared" si="63"/>
        <v>12</v>
      </c>
      <c r="BK10" s="15">
        <v>85.5</v>
      </c>
      <c r="BL10" s="10" t="str">
        <f t="shared" si="64"/>
        <v>A</v>
      </c>
      <c r="BM10" s="1">
        <f t="shared" si="11"/>
        <v>4</v>
      </c>
      <c r="BN10" s="10">
        <v>2</v>
      </c>
      <c r="BO10" s="1">
        <f t="shared" si="65"/>
        <v>8</v>
      </c>
      <c r="BP10" s="12">
        <v>70.55</v>
      </c>
      <c r="BQ10" s="10" t="str">
        <f t="shared" si="66"/>
        <v>B</v>
      </c>
      <c r="BR10" s="1">
        <f t="shared" si="12"/>
        <v>3</v>
      </c>
      <c r="BS10" s="10">
        <v>2</v>
      </c>
      <c r="BT10" s="1">
        <f t="shared" si="67"/>
        <v>6</v>
      </c>
      <c r="BU10" s="4">
        <v>72.849999999999994</v>
      </c>
      <c r="BV10" s="10" t="str">
        <f t="shared" si="68"/>
        <v>B</v>
      </c>
      <c r="BW10" s="1">
        <f t="shared" si="13"/>
        <v>3</v>
      </c>
      <c r="BX10" s="10">
        <v>3</v>
      </c>
      <c r="BY10" s="1">
        <f t="shared" si="69"/>
        <v>9</v>
      </c>
      <c r="BZ10" s="13">
        <v>72.183333333333337</v>
      </c>
      <c r="CA10" s="10" t="str">
        <f t="shared" si="70"/>
        <v>B</v>
      </c>
      <c r="CB10" s="1">
        <f t="shared" si="14"/>
        <v>3</v>
      </c>
      <c r="CC10" s="10">
        <v>2</v>
      </c>
      <c r="CD10" s="1">
        <f t="shared" si="71"/>
        <v>6</v>
      </c>
      <c r="CE10" s="19">
        <v>77.240000000000009</v>
      </c>
      <c r="CF10" s="10" t="str">
        <f t="shared" si="72"/>
        <v>B+</v>
      </c>
      <c r="CG10" s="1">
        <f t="shared" si="15"/>
        <v>3.5</v>
      </c>
      <c r="CH10" s="10">
        <v>4</v>
      </c>
      <c r="CI10" s="1">
        <f t="shared" si="73"/>
        <v>14</v>
      </c>
      <c r="CJ10" s="16">
        <v>79.2</v>
      </c>
      <c r="CK10" s="10" t="str">
        <f t="shared" si="74"/>
        <v>B+</v>
      </c>
      <c r="CL10" s="1">
        <f t="shared" si="16"/>
        <v>3.5</v>
      </c>
      <c r="CM10" s="10">
        <v>4</v>
      </c>
      <c r="CN10" s="1">
        <f t="shared" si="75"/>
        <v>14</v>
      </c>
      <c r="CO10" s="19">
        <v>76.2</v>
      </c>
      <c r="CP10" s="10" t="str">
        <f t="shared" si="76"/>
        <v>B+</v>
      </c>
      <c r="CQ10" s="1">
        <f t="shared" si="17"/>
        <v>3.5</v>
      </c>
      <c r="CR10" s="10">
        <v>3</v>
      </c>
      <c r="CS10" s="1">
        <f t="shared" si="77"/>
        <v>10.5</v>
      </c>
      <c r="CT10" s="17">
        <v>76.621428571428567</v>
      </c>
      <c r="CU10" s="10" t="str">
        <f t="shared" si="78"/>
        <v>B+</v>
      </c>
      <c r="CV10" s="1">
        <f t="shared" si="18"/>
        <v>3.5</v>
      </c>
      <c r="CW10" s="10">
        <v>2</v>
      </c>
      <c r="CX10" s="1">
        <f t="shared" si="79"/>
        <v>7</v>
      </c>
      <c r="CY10" s="18">
        <v>80.550000000000011</v>
      </c>
      <c r="CZ10" s="10" t="str">
        <f t="shared" si="80"/>
        <v>A</v>
      </c>
      <c r="DA10" s="1">
        <f t="shared" si="19"/>
        <v>4</v>
      </c>
      <c r="DB10" s="10">
        <v>2</v>
      </c>
      <c r="DC10" s="1">
        <f t="shared" si="81"/>
        <v>8</v>
      </c>
      <c r="DD10" s="19">
        <v>87.25</v>
      </c>
      <c r="DE10" s="10" t="str">
        <f t="shared" si="82"/>
        <v>A</v>
      </c>
      <c r="DF10" s="1">
        <f t="shared" si="20"/>
        <v>4</v>
      </c>
      <c r="DG10" s="10">
        <v>2</v>
      </c>
      <c r="DH10" s="1">
        <f t="shared" si="83"/>
        <v>8</v>
      </c>
      <c r="DI10" s="5">
        <v>87.5</v>
      </c>
      <c r="DJ10" s="10" t="str">
        <f t="shared" si="84"/>
        <v>A</v>
      </c>
      <c r="DK10" s="1">
        <f t="shared" si="21"/>
        <v>4</v>
      </c>
      <c r="DL10" s="10">
        <v>2</v>
      </c>
      <c r="DM10" s="1">
        <f t="shared" si="85"/>
        <v>8</v>
      </c>
      <c r="DN10" s="20">
        <v>77</v>
      </c>
      <c r="DO10" s="10" t="str">
        <f t="shared" si="86"/>
        <v>B+</v>
      </c>
      <c r="DP10" s="1">
        <f t="shared" si="22"/>
        <v>3.5</v>
      </c>
      <c r="DQ10" s="10">
        <v>2</v>
      </c>
      <c r="DR10" s="1">
        <f t="shared" si="87"/>
        <v>7</v>
      </c>
      <c r="DS10" s="19">
        <v>80</v>
      </c>
      <c r="DT10" s="10" t="str">
        <f t="shared" si="88"/>
        <v>A</v>
      </c>
      <c r="DU10" s="1">
        <f t="shared" si="23"/>
        <v>4</v>
      </c>
      <c r="DV10" s="10">
        <v>4</v>
      </c>
      <c r="DW10" s="1">
        <f t="shared" si="89"/>
        <v>16</v>
      </c>
      <c r="DX10" s="16">
        <v>72.849999999999994</v>
      </c>
      <c r="DY10" s="10" t="str">
        <f t="shared" si="90"/>
        <v>B</v>
      </c>
      <c r="DZ10" s="1">
        <f t="shared" si="24"/>
        <v>3</v>
      </c>
      <c r="EA10" s="10">
        <v>3</v>
      </c>
      <c r="EB10" s="1">
        <f t="shared" si="91"/>
        <v>9</v>
      </c>
      <c r="EC10" s="19">
        <v>72.650000000000006</v>
      </c>
      <c r="ED10" s="10" t="str">
        <f t="shared" si="92"/>
        <v>B</v>
      </c>
      <c r="EE10" s="1">
        <f t="shared" si="25"/>
        <v>3</v>
      </c>
      <c r="EF10" s="10">
        <v>3</v>
      </c>
      <c r="EG10" s="1">
        <f t="shared" si="93"/>
        <v>9</v>
      </c>
      <c r="EH10" s="6">
        <v>78.400000000000006</v>
      </c>
      <c r="EI10" s="10" t="str">
        <f t="shared" si="94"/>
        <v>B+</v>
      </c>
      <c r="EJ10" s="1">
        <f t="shared" si="26"/>
        <v>3.5</v>
      </c>
      <c r="EK10" s="10">
        <v>3</v>
      </c>
      <c r="EL10" s="1">
        <f t="shared" si="95"/>
        <v>10.5</v>
      </c>
      <c r="EM10" s="18">
        <v>76.538888888888891</v>
      </c>
      <c r="EN10" s="10" t="str">
        <f t="shared" si="96"/>
        <v>B+</v>
      </c>
      <c r="EO10" s="1">
        <f t="shared" si="27"/>
        <v>3.5</v>
      </c>
      <c r="EP10" s="10">
        <v>3</v>
      </c>
      <c r="EQ10" s="1">
        <f t="shared" si="97"/>
        <v>10.5</v>
      </c>
      <c r="ER10" s="7">
        <v>77.099999999999994</v>
      </c>
      <c r="ES10" s="10" t="str">
        <f t="shared" si="98"/>
        <v>B+</v>
      </c>
      <c r="ET10" s="1">
        <f t="shared" si="28"/>
        <v>3.5</v>
      </c>
      <c r="EU10" s="10">
        <v>2</v>
      </c>
      <c r="EV10" s="1">
        <f t="shared" si="99"/>
        <v>7</v>
      </c>
      <c r="EW10" s="5">
        <v>80.3</v>
      </c>
      <c r="EX10" s="10" t="str">
        <f t="shared" si="100"/>
        <v>A</v>
      </c>
      <c r="EY10" s="1">
        <f t="shared" si="29"/>
        <v>4</v>
      </c>
      <c r="EZ10" s="10">
        <v>3</v>
      </c>
      <c r="FA10" s="1">
        <f t="shared" si="101"/>
        <v>12</v>
      </c>
      <c r="FB10" s="19">
        <v>76</v>
      </c>
      <c r="FC10" s="10" t="str">
        <f t="shared" si="102"/>
        <v>B+</v>
      </c>
      <c r="FD10" s="1">
        <f t="shared" si="30"/>
        <v>3.5</v>
      </c>
      <c r="FE10" s="10">
        <v>2</v>
      </c>
      <c r="FF10" s="1">
        <f t="shared" si="103"/>
        <v>7</v>
      </c>
      <c r="FG10" s="16">
        <v>72</v>
      </c>
      <c r="FH10" s="10" t="str">
        <f t="shared" si="104"/>
        <v>B</v>
      </c>
      <c r="FI10" s="1">
        <f t="shared" si="31"/>
        <v>3</v>
      </c>
      <c r="FJ10" s="10">
        <v>3</v>
      </c>
      <c r="FK10" s="1">
        <f t="shared" si="105"/>
        <v>9</v>
      </c>
      <c r="FL10" s="19">
        <v>79.466666666666669</v>
      </c>
      <c r="FM10" s="10" t="str">
        <f t="shared" si="106"/>
        <v>B+</v>
      </c>
      <c r="FN10" s="1">
        <f t="shared" si="32"/>
        <v>3.5</v>
      </c>
      <c r="FO10" s="10">
        <v>3</v>
      </c>
      <c r="FP10" s="1">
        <f t="shared" si="107"/>
        <v>10.5</v>
      </c>
      <c r="FQ10" s="6">
        <v>76.89</v>
      </c>
      <c r="FR10" s="10" t="str">
        <f t="shared" si="108"/>
        <v>B+</v>
      </c>
      <c r="FS10" s="1">
        <f t="shared" si="109"/>
        <v>3.5</v>
      </c>
      <c r="FT10" s="10">
        <v>3</v>
      </c>
      <c r="FU10" s="1">
        <f t="shared" si="110"/>
        <v>10.5</v>
      </c>
      <c r="FV10" s="18">
        <v>78.7</v>
      </c>
      <c r="FW10" s="10" t="str">
        <f t="shared" si="111"/>
        <v>B+</v>
      </c>
      <c r="FX10" s="1">
        <f t="shared" si="33"/>
        <v>3.5</v>
      </c>
      <c r="FY10" s="10">
        <v>3</v>
      </c>
      <c r="FZ10" s="1">
        <f t="shared" si="112"/>
        <v>10.5</v>
      </c>
      <c r="GA10" s="7">
        <v>71</v>
      </c>
      <c r="GB10" s="10" t="str">
        <f t="shared" si="113"/>
        <v>B</v>
      </c>
      <c r="GC10" s="1">
        <f t="shared" si="34"/>
        <v>3</v>
      </c>
      <c r="GD10" s="10">
        <v>2</v>
      </c>
      <c r="GE10" s="1">
        <f t="shared" si="114"/>
        <v>6</v>
      </c>
      <c r="GF10" s="5">
        <v>81.2</v>
      </c>
      <c r="GG10" s="10" t="str">
        <f t="shared" si="115"/>
        <v>A</v>
      </c>
      <c r="GH10" s="1">
        <f t="shared" si="35"/>
        <v>4</v>
      </c>
      <c r="GI10" s="10">
        <v>3</v>
      </c>
      <c r="GJ10" s="1">
        <f t="shared" si="116"/>
        <v>12</v>
      </c>
      <c r="GK10" s="5">
        <v>75.2</v>
      </c>
      <c r="GL10" s="10" t="str">
        <f t="shared" si="117"/>
        <v>B+</v>
      </c>
      <c r="GM10" s="1">
        <f t="shared" si="36"/>
        <v>3.5</v>
      </c>
      <c r="GN10" s="10">
        <v>2</v>
      </c>
      <c r="GO10" s="1">
        <f t="shared" si="118"/>
        <v>7</v>
      </c>
      <c r="GP10" s="19">
        <v>75</v>
      </c>
      <c r="GQ10" s="10" t="str">
        <f t="shared" si="119"/>
        <v>B+</v>
      </c>
      <c r="GR10" s="1">
        <f t="shared" si="37"/>
        <v>3.5</v>
      </c>
      <c r="GS10" s="10">
        <v>3</v>
      </c>
      <c r="GT10" s="1">
        <f t="shared" si="120"/>
        <v>10.5</v>
      </c>
      <c r="GU10" s="16">
        <v>74.599999999999994</v>
      </c>
      <c r="GV10" s="10" t="str">
        <f t="shared" si="121"/>
        <v>B</v>
      </c>
      <c r="GW10" s="1">
        <f t="shared" si="38"/>
        <v>3</v>
      </c>
      <c r="GX10" s="10">
        <v>4</v>
      </c>
      <c r="GY10" s="1">
        <f t="shared" si="122"/>
        <v>12</v>
      </c>
      <c r="GZ10" s="7">
        <v>75.5</v>
      </c>
      <c r="HA10" s="10" t="str">
        <f t="shared" si="123"/>
        <v>B+</v>
      </c>
      <c r="HB10" s="1">
        <f t="shared" si="124"/>
        <v>3.5</v>
      </c>
      <c r="HC10" s="10">
        <v>4</v>
      </c>
      <c r="HD10" s="1">
        <f t="shared" si="125"/>
        <v>14</v>
      </c>
      <c r="HE10" s="6">
        <v>75.074999999999989</v>
      </c>
      <c r="HF10" s="10" t="str">
        <f t="shared" si="126"/>
        <v>B+</v>
      </c>
      <c r="HG10" s="1">
        <f t="shared" si="39"/>
        <v>3.5</v>
      </c>
      <c r="HH10" s="10">
        <v>2</v>
      </c>
      <c r="HI10" s="1">
        <f t="shared" si="127"/>
        <v>7</v>
      </c>
      <c r="HJ10" s="18">
        <v>77.416666666666671</v>
      </c>
      <c r="HK10" s="10" t="str">
        <f t="shared" si="128"/>
        <v>B+</v>
      </c>
      <c r="HL10" s="1">
        <f t="shared" si="40"/>
        <v>3.5</v>
      </c>
      <c r="HM10" s="10">
        <v>3</v>
      </c>
      <c r="HN10" s="1">
        <f t="shared" si="129"/>
        <v>10.5</v>
      </c>
      <c r="HO10" s="12">
        <v>74.525000000000006</v>
      </c>
      <c r="HP10" s="10" t="str">
        <f t="shared" si="130"/>
        <v>B</v>
      </c>
      <c r="HQ10" s="1">
        <f t="shared" si="41"/>
        <v>3</v>
      </c>
      <c r="HR10" s="10">
        <v>3</v>
      </c>
      <c r="HS10" s="1">
        <f t="shared" si="131"/>
        <v>9</v>
      </c>
      <c r="HT10" s="10">
        <v>82</v>
      </c>
      <c r="HU10" s="10" t="str">
        <f t="shared" si="132"/>
        <v>A</v>
      </c>
      <c r="HV10" s="1">
        <f t="shared" si="133"/>
        <v>4</v>
      </c>
      <c r="HW10" s="10">
        <v>4</v>
      </c>
      <c r="HX10" s="1">
        <f t="shared" si="134"/>
        <v>16</v>
      </c>
      <c r="HY10" s="16">
        <v>81.95</v>
      </c>
      <c r="HZ10" s="10" t="str">
        <f t="shared" si="135"/>
        <v>A</v>
      </c>
      <c r="IA10" s="1">
        <f t="shared" si="136"/>
        <v>4</v>
      </c>
      <c r="IB10" s="10">
        <v>2</v>
      </c>
      <c r="IC10" s="1">
        <f t="shared" si="137"/>
        <v>8</v>
      </c>
      <c r="ID10" s="7">
        <v>75.38</v>
      </c>
      <c r="IE10" s="10" t="str">
        <f t="shared" si="138"/>
        <v>B+</v>
      </c>
      <c r="IF10" s="1">
        <f t="shared" si="139"/>
        <v>3.5</v>
      </c>
      <c r="IG10" s="10">
        <v>3</v>
      </c>
      <c r="IH10" s="1">
        <f t="shared" si="140"/>
        <v>10.5</v>
      </c>
      <c r="II10" s="6">
        <v>82</v>
      </c>
      <c r="IJ10" s="10" t="str">
        <f t="shared" si="141"/>
        <v>A</v>
      </c>
      <c r="IK10" s="1">
        <f t="shared" si="142"/>
        <v>4</v>
      </c>
      <c r="IL10" s="10">
        <v>2</v>
      </c>
      <c r="IM10" s="1">
        <f t="shared" si="143"/>
        <v>8</v>
      </c>
      <c r="IN10" s="18">
        <v>77.58</v>
      </c>
      <c r="IO10" s="10" t="str">
        <f t="shared" si="144"/>
        <v>B+</v>
      </c>
      <c r="IP10" s="1">
        <f t="shared" si="145"/>
        <v>3.5</v>
      </c>
      <c r="IQ10" s="10">
        <v>2</v>
      </c>
      <c r="IR10" s="1">
        <f t="shared" si="146"/>
        <v>7</v>
      </c>
      <c r="IS10" s="10">
        <v>80</v>
      </c>
      <c r="IT10" s="10" t="str">
        <f t="shared" si="147"/>
        <v>A</v>
      </c>
      <c r="IU10" s="1">
        <f t="shared" si="148"/>
        <v>4</v>
      </c>
      <c r="IV10" s="10">
        <v>4</v>
      </c>
      <c r="IW10" s="1">
        <f t="shared" si="149"/>
        <v>16</v>
      </c>
      <c r="IX10" s="10">
        <v>0</v>
      </c>
      <c r="IY10" s="10" t="str">
        <f t="shared" si="150"/>
        <v>E</v>
      </c>
      <c r="IZ10" s="1">
        <f t="shared" si="151"/>
        <v>0</v>
      </c>
      <c r="JA10" s="10">
        <v>4</v>
      </c>
      <c r="JB10" s="1">
        <f t="shared" si="152"/>
        <v>0</v>
      </c>
      <c r="JC10" s="2">
        <v>76</v>
      </c>
      <c r="JD10" s="2">
        <v>22</v>
      </c>
      <c r="JE10" s="2">
        <v>67</v>
      </c>
      <c r="JF10" s="2">
        <v>19</v>
      </c>
      <c r="JG10" s="2">
        <v>76.5</v>
      </c>
      <c r="JH10" s="2">
        <v>21</v>
      </c>
      <c r="JI10" s="2">
        <v>74</v>
      </c>
      <c r="JJ10" s="2">
        <v>21</v>
      </c>
      <c r="JK10" s="2">
        <v>72.5</v>
      </c>
      <c r="JL10" s="2">
        <v>21</v>
      </c>
      <c r="JM10" s="2">
        <v>63</v>
      </c>
      <c r="JN10" s="2">
        <v>19</v>
      </c>
      <c r="JO10" s="2">
        <v>65.5</v>
      </c>
      <c r="JP10" s="2">
        <v>17</v>
      </c>
      <c r="JQ10" s="2">
        <v>0</v>
      </c>
      <c r="JR10" s="2">
        <v>4</v>
      </c>
      <c r="JS10" s="2">
        <f t="shared" si="153"/>
        <v>494.5</v>
      </c>
      <c r="JT10" s="2">
        <f t="shared" si="153"/>
        <v>144</v>
      </c>
      <c r="JU10" s="3">
        <f t="shared" si="154"/>
        <v>3.4340277777777777</v>
      </c>
      <c r="JV10" s="2" t="str">
        <f t="shared" si="155"/>
        <v>Sangat Memuaskan</v>
      </c>
      <c r="JW10" s="2" t="str">
        <f t="shared" si="156"/>
        <v>Highly Satisfactory</v>
      </c>
      <c r="JX10" s="23" t="s">
        <v>192</v>
      </c>
      <c r="JY10" s="23" t="s">
        <v>263</v>
      </c>
    </row>
    <row r="11" spans="1:285" x14ac:dyDescent="0.25">
      <c r="A11" s="55">
        <v>9</v>
      </c>
      <c r="B11" s="38" t="s">
        <v>28</v>
      </c>
      <c r="C11" s="25">
        <v>152111015</v>
      </c>
      <c r="D11" s="25" t="s">
        <v>135</v>
      </c>
      <c r="E11" s="27" t="s">
        <v>143</v>
      </c>
      <c r="F11" s="27" t="s">
        <v>219</v>
      </c>
      <c r="G11" s="2" t="s">
        <v>230</v>
      </c>
      <c r="H11" s="9">
        <v>75.8</v>
      </c>
      <c r="I11" s="10" t="str">
        <f t="shared" si="42"/>
        <v>B+</v>
      </c>
      <c r="J11" s="1">
        <f t="shared" si="0"/>
        <v>3.5</v>
      </c>
      <c r="K11" s="10">
        <v>2</v>
      </c>
      <c r="L11" s="1">
        <f t="shared" si="43"/>
        <v>7</v>
      </c>
      <c r="M11" s="11">
        <v>75.125</v>
      </c>
      <c r="N11" s="10" t="str">
        <f t="shared" si="44"/>
        <v>B+</v>
      </c>
      <c r="O11" s="1">
        <f t="shared" si="1"/>
        <v>3.5</v>
      </c>
      <c r="P11" s="10">
        <v>3</v>
      </c>
      <c r="Q11" s="1">
        <f t="shared" si="45"/>
        <v>10.5</v>
      </c>
      <c r="R11" s="31">
        <v>76.13333333333334</v>
      </c>
      <c r="S11" s="10" t="str">
        <f t="shared" si="46"/>
        <v>B+</v>
      </c>
      <c r="T11" s="1">
        <f t="shared" si="2"/>
        <v>3.5</v>
      </c>
      <c r="U11" s="10">
        <v>4</v>
      </c>
      <c r="V11" s="1">
        <f t="shared" si="47"/>
        <v>14</v>
      </c>
      <c r="W11" s="12">
        <v>80.75</v>
      </c>
      <c r="X11" s="10" t="str">
        <f t="shared" si="48"/>
        <v>A</v>
      </c>
      <c r="Y11" s="1">
        <f t="shared" si="3"/>
        <v>4</v>
      </c>
      <c r="Z11" s="10">
        <v>2</v>
      </c>
      <c r="AA11" s="1">
        <f t="shared" si="49"/>
        <v>8</v>
      </c>
      <c r="AB11" s="12">
        <v>64.5</v>
      </c>
      <c r="AC11" s="10" t="str">
        <f t="shared" si="50"/>
        <v>C</v>
      </c>
      <c r="AD11" s="1">
        <f t="shared" si="4"/>
        <v>2</v>
      </c>
      <c r="AE11" s="10">
        <v>4</v>
      </c>
      <c r="AF11" s="1">
        <f t="shared" si="51"/>
        <v>8</v>
      </c>
      <c r="AG11" s="12">
        <v>73.55</v>
      </c>
      <c r="AH11" s="10" t="str">
        <f t="shared" si="52"/>
        <v>B</v>
      </c>
      <c r="AI11" s="1">
        <f t="shared" si="5"/>
        <v>3</v>
      </c>
      <c r="AJ11" s="10">
        <v>4</v>
      </c>
      <c r="AK11" s="1">
        <f t="shared" si="53"/>
        <v>12</v>
      </c>
      <c r="AL11" s="13">
        <v>77.233333333333348</v>
      </c>
      <c r="AM11" s="10" t="str">
        <f t="shared" si="54"/>
        <v>B+</v>
      </c>
      <c r="AN11" s="1">
        <f t="shared" si="6"/>
        <v>3.5</v>
      </c>
      <c r="AO11" s="10">
        <v>3</v>
      </c>
      <c r="AP11" s="1">
        <f t="shared" si="55"/>
        <v>10.5</v>
      </c>
      <c r="AQ11" s="12">
        <v>85</v>
      </c>
      <c r="AR11" s="10" t="str">
        <f t="shared" si="56"/>
        <v>A</v>
      </c>
      <c r="AS11" s="1">
        <f t="shared" si="7"/>
        <v>4</v>
      </c>
      <c r="AT11" s="10">
        <v>3</v>
      </c>
      <c r="AU11" s="1">
        <f t="shared" si="57"/>
        <v>12</v>
      </c>
      <c r="AV11" s="11">
        <v>70</v>
      </c>
      <c r="AW11" s="10" t="str">
        <f t="shared" si="58"/>
        <v>B</v>
      </c>
      <c r="AX11" s="1">
        <f t="shared" si="8"/>
        <v>3</v>
      </c>
      <c r="AY11" s="10">
        <v>2</v>
      </c>
      <c r="AZ11" s="1">
        <f t="shared" si="59"/>
        <v>6</v>
      </c>
      <c r="BA11" s="12">
        <v>80.099999999999994</v>
      </c>
      <c r="BB11" s="10" t="str">
        <f t="shared" si="60"/>
        <v>A</v>
      </c>
      <c r="BC11" s="1">
        <f t="shared" si="9"/>
        <v>4</v>
      </c>
      <c r="BD11" s="10">
        <v>2</v>
      </c>
      <c r="BE11" s="1">
        <f t="shared" si="61"/>
        <v>8</v>
      </c>
      <c r="BF11" s="14">
        <v>78.349999999999994</v>
      </c>
      <c r="BG11" s="10" t="str">
        <f t="shared" si="62"/>
        <v>B+</v>
      </c>
      <c r="BH11" s="1">
        <f t="shared" si="10"/>
        <v>3.5</v>
      </c>
      <c r="BI11" s="10">
        <v>3</v>
      </c>
      <c r="BJ11" s="1">
        <f t="shared" si="63"/>
        <v>10.5</v>
      </c>
      <c r="BK11" s="15">
        <v>77.25</v>
      </c>
      <c r="BL11" s="10" t="str">
        <f t="shared" si="64"/>
        <v>B+</v>
      </c>
      <c r="BM11" s="1">
        <f t="shared" si="11"/>
        <v>3.5</v>
      </c>
      <c r="BN11" s="10">
        <v>2</v>
      </c>
      <c r="BO11" s="1">
        <f t="shared" si="65"/>
        <v>7</v>
      </c>
      <c r="BP11" s="12">
        <v>65.05</v>
      </c>
      <c r="BQ11" s="10" t="str">
        <f t="shared" si="66"/>
        <v>C+</v>
      </c>
      <c r="BR11" s="1">
        <f t="shared" si="12"/>
        <v>2.5</v>
      </c>
      <c r="BS11" s="10">
        <v>2</v>
      </c>
      <c r="BT11" s="1">
        <f t="shared" si="67"/>
        <v>5</v>
      </c>
      <c r="BU11" s="4">
        <v>70.350000000000009</v>
      </c>
      <c r="BV11" s="10" t="str">
        <f t="shared" si="68"/>
        <v>B</v>
      </c>
      <c r="BW11" s="1">
        <f t="shared" si="13"/>
        <v>3</v>
      </c>
      <c r="BX11" s="10">
        <v>3</v>
      </c>
      <c r="BY11" s="1">
        <f t="shared" si="69"/>
        <v>9</v>
      </c>
      <c r="BZ11" s="13">
        <v>71.183333333333337</v>
      </c>
      <c r="CA11" s="10" t="str">
        <f t="shared" si="70"/>
        <v>B</v>
      </c>
      <c r="CB11" s="1">
        <f t="shared" si="14"/>
        <v>3</v>
      </c>
      <c r="CC11" s="10">
        <v>2</v>
      </c>
      <c r="CD11" s="1">
        <f t="shared" si="71"/>
        <v>6</v>
      </c>
      <c r="CE11" s="19">
        <v>79.040000000000006</v>
      </c>
      <c r="CF11" s="10" t="str">
        <f t="shared" si="72"/>
        <v>B+</v>
      </c>
      <c r="CG11" s="1">
        <f t="shared" si="15"/>
        <v>3.5</v>
      </c>
      <c r="CH11" s="10">
        <v>4</v>
      </c>
      <c r="CI11" s="1">
        <f t="shared" si="73"/>
        <v>14</v>
      </c>
      <c r="CJ11" s="16">
        <v>79.900000000000006</v>
      </c>
      <c r="CK11" s="10" t="str">
        <f t="shared" si="74"/>
        <v>B+</v>
      </c>
      <c r="CL11" s="1">
        <f t="shared" si="16"/>
        <v>3.5</v>
      </c>
      <c r="CM11" s="10">
        <v>4</v>
      </c>
      <c r="CN11" s="1">
        <f t="shared" si="75"/>
        <v>14</v>
      </c>
      <c r="CO11" s="19">
        <v>73.900000000000006</v>
      </c>
      <c r="CP11" s="10" t="str">
        <f t="shared" si="76"/>
        <v>B</v>
      </c>
      <c r="CQ11" s="1">
        <f t="shared" si="17"/>
        <v>3</v>
      </c>
      <c r="CR11" s="10">
        <v>3</v>
      </c>
      <c r="CS11" s="1">
        <f t="shared" si="77"/>
        <v>9</v>
      </c>
      <c r="CT11" s="17">
        <v>77.078285714285727</v>
      </c>
      <c r="CU11" s="10" t="str">
        <f t="shared" si="78"/>
        <v>B+</v>
      </c>
      <c r="CV11" s="1">
        <f t="shared" si="18"/>
        <v>3.5</v>
      </c>
      <c r="CW11" s="10">
        <v>2</v>
      </c>
      <c r="CX11" s="1">
        <f t="shared" si="79"/>
        <v>7</v>
      </c>
      <c r="CY11" s="18">
        <v>79.45</v>
      </c>
      <c r="CZ11" s="10" t="str">
        <f t="shared" si="80"/>
        <v>B+</v>
      </c>
      <c r="DA11" s="1">
        <f t="shared" si="19"/>
        <v>3.5</v>
      </c>
      <c r="DB11" s="10">
        <v>2</v>
      </c>
      <c r="DC11" s="1">
        <f t="shared" si="81"/>
        <v>7</v>
      </c>
      <c r="DD11" s="19">
        <v>84.449999999999989</v>
      </c>
      <c r="DE11" s="10" t="str">
        <f t="shared" si="82"/>
        <v>A</v>
      </c>
      <c r="DF11" s="1">
        <f t="shared" si="20"/>
        <v>4</v>
      </c>
      <c r="DG11" s="10">
        <v>2</v>
      </c>
      <c r="DH11" s="1">
        <f t="shared" si="83"/>
        <v>8</v>
      </c>
      <c r="DI11" s="5">
        <v>71</v>
      </c>
      <c r="DJ11" s="10" t="str">
        <f t="shared" si="84"/>
        <v>B</v>
      </c>
      <c r="DK11" s="1">
        <f t="shared" si="21"/>
        <v>3</v>
      </c>
      <c r="DL11" s="10">
        <v>2</v>
      </c>
      <c r="DM11" s="1">
        <f t="shared" si="85"/>
        <v>6</v>
      </c>
      <c r="DN11" s="20">
        <v>78</v>
      </c>
      <c r="DO11" s="10" t="str">
        <f t="shared" si="86"/>
        <v>B+</v>
      </c>
      <c r="DP11" s="1">
        <f t="shared" si="22"/>
        <v>3.5</v>
      </c>
      <c r="DQ11" s="10">
        <v>2</v>
      </c>
      <c r="DR11" s="1">
        <f t="shared" si="87"/>
        <v>7</v>
      </c>
      <c r="DS11" s="19">
        <v>75.05</v>
      </c>
      <c r="DT11" s="10" t="str">
        <f t="shared" si="88"/>
        <v>B+</v>
      </c>
      <c r="DU11" s="1">
        <f t="shared" si="23"/>
        <v>3.5</v>
      </c>
      <c r="DV11" s="10">
        <v>4</v>
      </c>
      <c r="DW11" s="1">
        <f t="shared" si="89"/>
        <v>14</v>
      </c>
      <c r="DX11" s="16">
        <v>76.449999999999989</v>
      </c>
      <c r="DY11" s="10" t="str">
        <f t="shared" si="90"/>
        <v>B+</v>
      </c>
      <c r="DZ11" s="1">
        <f t="shared" si="24"/>
        <v>3.5</v>
      </c>
      <c r="EA11" s="10">
        <v>3</v>
      </c>
      <c r="EB11" s="1">
        <f t="shared" si="91"/>
        <v>10.5</v>
      </c>
      <c r="EC11" s="19">
        <v>77</v>
      </c>
      <c r="ED11" s="10" t="str">
        <f t="shared" si="92"/>
        <v>B+</v>
      </c>
      <c r="EE11" s="1">
        <f t="shared" si="25"/>
        <v>3.5</v>
      </c>
      <c r="EF11" s="10">
        <v>3</v>
      </c>
      <c r="EG11" s="1">
        <f t="shared" si="93"/>
        <v>10.5</v>
      </c>
      <c r="EH11" s="6">
        <v>80.2</v>
      </c>
      <c r="EI11" s="10" t="str">
        <f t="shared" si="94"/>
        <v>A</v>
      </c>
      <c r="EJ11" s="1">
        <f t="shared" si="26"/>
        <v>4</v>
      </c>
      <c r="EK11" s="10">
        <v>3</v>
      </c>
      <c r="EL11" s="1">
        <f t="shared" si="95"/>
        <v>12</v>
      </c>
      <c r="EM11" s="18">
        <v>72.114444444444445</v>
      </c>
      <c r="EN11" s="10" t="str">
        <f t="shared" si="96"/>
        <v>B</v>
      </c>
      <c r="EO11" s="1">
        <f t="shared" si="27"/>
        <v>3</v>
      </c>
      <c r="EP11" s="10">
        <v>3</v>
      </c>
      <c r="EQ11" s="1">
        <f t="shared" si="97"/>
        <v>9</v>
      </c>
      <c r="ER11" s="7">
        <v>78.900000000000006</v>
      </c>
      <c r="ES11" s="10" t="str">
        <f t="shared" si="98"/>
        <v>B+</v>
      </c>
      <c r="ET11" s="1">
        <f t="shared" si="28"/>
        <v>3.5</v>
      </c>
      <c r="EU11" s="10">
        <v>2</v>
      </c>
      <c r="EV11" s="1">
        <f t="shared" si="99"/>
        <v>7</v>
      </c>
      <c r="EW11" s="5">
        <v>80.400000000000006</v>
      </c>
      <c r="EX11" s="10" t="str">
        <f t="shared" si="100"/>
        <v>A</v>
      </c>
      <c r="EY11" s="1">
        <f t="shared" si="29"/>
        <v>4</v>
      </c>
      <c r="EZ11" s="10">
        <v>3</v>
      </c>
      <c r="FA11" s="1">
        <f t="shared" si="101"/>
        <v>12</v>
      </c>
      <c r="FB11" s="19">
        <v>78</v>
      </c>
      <c r="FC11" s="10" t="str">
        <f t="shared" si="102"/>
        <v>B+</v>
      </c>
      <c r="FD11" s="1">
        <f t="shared" si="30"/>
        <v>3.5</v>
      </c>
      <c r="FE11" s="10">
        <v>2</v>
      </c>
      <c r="FF11" s="1">
        <f t="shared" si="103"/>
        <v>7</v>
      </c>
      <c r="FG11" s="16">
        <v>72</v>
      </c>
      <c r="FH11" s="10" t="str">
        <f t="shared" si="104"/>
        <v>B</v>
      </c>
      <c r="FI11" s="1">
        <f t="shared" si="31"/>
        <v>3</v>
      </c>
      <c r="FJ11" s="10">
        <v>3</v>
      </c>
      <c r="FK11" s="1">
        <f t="shared" si="105"/>
        <v>9</v>
      </c>
      <c r="FL11" s="19">
        <v>78.266666666666666</v>
      </c>
      <c r="FM11" s="10" t="str">
        <f t="shared" si="106"/>
        <v>B+</v>
      </c>
      <c r="FN11" s="1">
        <f t="shared" si="32"/>
        <v>3.5</v>
      </c>
      <c r="FO11" s="10">
        <v>3</v>
      </c>
      <c r="FP11" s="1">
        <f t="shared" si="107"/>
        <v>10.5</v>
      </c>
      <c r="FQ11" s="6">
        <v>77.17</v>
      </c>
      <c r="FR11" s="10" t="str">
        <f t="shared" si="108"/>
        <v>B+</v>
      </c>
      <c r="FS11" s="1">
        <f t="shared" si="109"/>
        <v>3.5</v>
      </c>
      <c r="FT11" s="10">
        <v>3</v>
      </c>
      <c r="FU11" s="1">
        <f t="shared" si="110"/>
        <v>10.5</v>
      </c>
      <c r="FV11" s="18">
        <v>76.599999999999994</v>
      </c>
      <c r="FW11" s="10" t="str">
        <f t="shared" si="111"/>
        <v>B+</v>
      </c>
      <c r="FX11" s="1">
        <f t="shared" si="33"/>
        <v>3.5</v>
      </c>
      <c r="FY11" s="10">
        <v>3</v>
      </c>
      <c r="FZ11" s="1">
        <f t="shared" si="112"/>
        <v>10.5</v>
      </c>
      <c r="GA11" s="7">
        <v>72.599999999999994</v>
      </c>
      <c r="GB11" s="10" t="str">
        <f t="shared" si="113"/>
        <v>B</v>
      </c>
      <c r="GC11" s="1">
        <f t="shared" si="34"/>
        <v>3</v>
      </c>
      <c r="GD11" s="10">
        <v>2</v>
      </c>
      <c r="GE11" s="1">
        <f t="shared" si="114"/>
        <v>6</v>
      </c>
      <c r="GF11" s="5">
        <v>80.599999999999994</v>
      </c>
      <c r="GG11" s="10" t="str">
        <f t="shared" si="115"/>
        <v>A</v>
      </c>
      <c r="GH11" s="1">
        <f t="shared" si="35"/>
        <v>4</v>
      </c>
      <c r="GI11" s="10">
        <v>3</v>
      </c>
      <c r="GJ11" s="1">
        <f t="shared" si="116"/>
        <v>12</v>
      </c>
      <c r="GK11" s="5">
        <v>75.45</v>
      </c>
      <c r="GL11" s="10" t="str">
        <f t="shared" si="117"/>
        <v>B+</v>
      </c>
      <c r="GM11" s="1">
        <f t="shared" si="36"/>
        <v>3.5</v>
      </c>
      <c r="GN11" s="10">
        <v>2</v>
      </c>
      <c r="GO11" s="1">
        <f t="shared" si="118"/>
        <v>7</v>
      </c>
      <c r="GP11" s="19">
        <v>76</v>
      </c>
      <c r="GQ11" s="10" t="str">
        <f t="shared" si="119"/>
        <v>B+</v>
      </c>
      <c r="GR11" s="1">
        <f t="shared" si="37"/>
        <v>3.5</v>
      </c>
      <c r="GS11" s="10">
        <v>3</v>
      </c>
      <c r="GT11" s="1">
        <f t="shared" si="120"/>
        <v>10.5</v>
      </c>
      <c r="GU11" s="16">
        <v>81.86</v>
      </c>
      <c r="GV11" s="10" t="str">
        <f t="shared" si="121"/>
        <v>A</v>
      </c>
      <c r="GW11" s="1">
        <f t="shared" si="38"/>
        <v>4</v>
      </c>
      <c r="GX11" s="10">
        <v>4</v>
      </c>
      <c r="GY11" s="1">
        <f t="shared" si="122"/>
        <v>16</v>
      </c>
      <c r="GZ11" s="7">
        <v>75.5</v>
      </c>
      <c r="HA11" s="10" t="str">
        <f t="shared" si="123"/>
        <v>B+</v>
      </c>
      <c r="HB11" s="1">
        <f t="shared" si="124"/>
        <v>3.5</v>
      </c>
      <c r="HC11" s="10">
        <v>4</v>
      </c>
      <c r="HD11" s="1">
        <f t="shared" si="125"/>
        <v>14</v>
      </c>
      <c r="HE11" s="6">
        <v>69.800000000000011</v>
      </c>
      <c r="HF11" s="10" t="str">
        <f t="shared" si="126"/>
        <v>C+</v>
      </c>
      <c r="HG11" s="1">
        <f t="shared" si="39"/>
        <v>2.5</v>
      </c>
      <c r="HH11" s="10">
        <v>2</v>
      </c>
      <c r="HI11" s="1">
        <f t="shared" si="127"/>
        <v>5</v>
      </c>
      <c r="HJ11" s="18">
        <v>70.533333333333331</v>
      </c>
      <c r="HK11" s="10" t="str">
        <f t="shared" si="128"/>
        <v>B</v>
      </c>
      <c r="HL11" s="1">
        <f t="shared" si="40"/>
        <v>3</v>
      </c>
      <c r="HM11" s="10">
        <v>3</v>
      </c>
      <c r="HN11" s="1">
        <f t="shared" si="129"/>
        <v>9</v>
      </c>
      <c r="HO11" s="12">
        <v>68.174999999999997</v>
      </c>
      <c r="HP11" s="10" t="str">
        <f t="shared" si="130"/>
        <v>C+</v>
      </c>
      <c r="HQ11" s="1">
        <f t="shared" si="41"/>
        <v>2.5</v>
      </c>
      <c r="HR11" s="10">
        <v>3</v>
      </c>
      <c r="HS11" s="1">
        <f t="shared" si="131"/>
        <v>7.5</v>
      </c>
      <c r="HT11" s="10">
        <v>79.599999999999994</v>
      </c>
      <c r="HU11" s="10" t="str">
        <f t="shared" si="132"/>
        <v>B+</v>
      </c>
      <c r="HV11" s="1">
        <f t="shared" si="133"/>
        <v>3.5</v>
      </c>
      <c r="HW11" s="10">
        <v>4</v>
      </c>
      <c r="HX11" s="1">
        <f t="shared" si="134"/>
        <v>14</v>
      </c>
      <c r="HY11" s="16">
        <v>79.95</v>
      </c>
      <c r="HZ11" s="10" t="str">
        <f t="shared" si="135"/>
        <v>B+</v>
      </c>
      <c r="IA11" s="1">
        <f t="shared" si="136"/>
        <v>3.5</v>
      </c>
      <c r="IB11" s="10">
        <v>2</v>
      </c>
      <c r="IC11" s="1">
        <f t="shared" si="137"/>
        <v>7</v>
      </c>
      <c r="ID11" s="7">
        <v>79</v>
      </c>
      <c r="IE11" s="10" t="str">
        <f t="shared" si="138"/>
        <v>B+</v>
      </c>
      <c r="IF11" s="1">
        <f t="shared" si="139"/>
        <v>3.5</v>
      </c>
      <c r="IG11" s="10">
        <v>3</v>
      </c>
      <c r="IH11" s="1">
        <f t="shared" si="140"/>
        <v>10.5</v>
      </c>
      <c r="II11" s="6">
        <v>79.599999999999994</v>
      </c>
      <c r="IJ11" s="10" t="str">
        <f t="shared" si="141"/>
        <v>B+</v>
      </c>
      <c r="IK11" s="1">
        <f t="shared" si="142"/>
        <v>3.5</v>
      </c>
      <c r="IL11" s="10">
        <v>2</v>
      </c>
      <c r="IM11" s="1">
        <f t="shared" si="143"/>
        <v>7</v>
      </c>
      <c r="IN11" s="18">
        <v>77.08</v>
      </c>
      <c r="IO11" s="10" t="str">
        <f t="shared" si="144"/>
        <v>B+</v>
      </c>
      <c r="IP11" s="1">
        <f t="shared" si="145"/>
        <v>3.5</v>
      </c>
      <c r="IQ11" s="10">
        <v>2</v>
      </c>
      <c r="IR11" s="1">
        <f t="shared" si="146"/>
        <v>7</v>
      </c>
      <c r="IS11" s="10">
        <v>77.599999999999994</v>
      </c>
      <c r="IT11" s="10" t="str">
        <f t="shared" si="147"/>
        <v>B+</v>
      </c>
      <c r="IU11" s="1">
        <f t="shared" si="148"/>
        <v>3.5</v>
      </c>
      <c r="IV11" s="10">
        <v>4</v>
      </c>
      <c r="IW11" s="1">
        <f t="shared" si="149"/>
        <v>14</v>
      </c>
      <c r="IX11" s="10">
        <v>80.3</v>
      </c>
      <c r="IY11" s="10" t="str">
        <f t="shared" si="150"/>
        <v>A</v>
      </c>
      <c r="IZ11" s="1">
        <f t="shared" si="151"/>
        <v>4</v>
      </c>
      <c r="JA11" s="10">
        <v>4</v>
      </c>
      <c r="JB11" s="1">
        <f t="shared" si="152"/>
        <v>16</v>
      </c>
      <c r="JC11" s="2">
        <v>70</v>
      </c>
      <c r="JD11" s="2">
        <v>22</v>
      </c>
      <c r="JE11" s="2">
        <v>63.5</v>
      </c>
      <c r="JF11" s="2">
        <v>19</v>
      </c>
      <c r="JG11" s="2">
        <v>72</v>
      </c>
      <c r="JH11" s="2">
        <v>21</v>
      </c>
      <c r="JI11" s="2">
        <v>75</v>
      </c>
      <c r="JJ11" s="2">
        <v>21</v>
      </c>
      <c r="JK11" s="2">
        <v>72.5</v>
      </c>
      <c r="JL11" s="2">
        <v>21</v>
      </c>
      <c r="JM11" s="2">
        <v>62</v>
      </c>
      <c r="JN11" s="2">
        <v>19</v>
      </c>
      <c r="JO11" s="2">
        <v>59.5</v>
      </c>
      <c r="JP11" s="2">
        <v>17</v>
      </c>
      <c r="JQ11" s="2">
        <v>16</v>
      </c>
      <c r="JR11" s="2">
        <v>4</v>
      </c>
      <c r="JS11" s="2">
        <f t="shared" si="153"/>
        <v>490.5</v>
      </c>
      <c r="JT11" s="2">
        <f t="shared" si="153"/>
        <v>144</v>
      </c>
      <c r="JU11" s="3">
        <f t="shared" si="154"/>
        <v>3.40625</v>
      </c>
      <c r="JV11" s="2" t="str">
        <f t="shared" si="155"/>
        <v>Sangat Memuaskan</v>
      </c>
      <c r="JW11" s="2" t="str">
        <f t="shared" si="156"/>
        <v>Highly Satisfactory</v>
      </c>
      <c r="JX11" s="23" t="s">
        <v>205</v>
      </c>
      <c r="JY11" s="23" t="s">
        <v>264</v>
      </c>
    </row>
    <row r="12" spans="1:285" x14ac:dyDescent="0.25">
      <c r="A12" s="55">
        <v>10</v>
      </c>
      <c r="B12" s="38" t="s">
        <v>29</v>
      </c>
      <c r="C12" s="25">
        <v>152111017</v>
      </c>
      <c r="D12" s="25" t="s">
        <v>135</v>
      </c>
      <c r="E12" s="27" t="s">
        <v>145</v>
      </c>
      <c r="F12" s="27" t="s">
        <v>219</v>
      </c>
      <c r="G12" s="2" t="s">
        <v>231</v>
      </c>
      <c r="H12" s="9">
        <v>87.100000000000009</v>
      </c>
      <c r="I12" s="10" t="str">
        <f t="shared" si="42"/>
        <v>A</v>
      </c>
      <c r="J12" s="1">
        <f t="shared" si="0"/>
        <v>4</v>
      </c>
      <c r="K12" s="10">
        <v>2</v>
      </c>
      <c r="L12" s="1">
        <f t="shared" si="43"/>
        <v>8</v>
      </c>
      <c r="M12" s="11">
        <v>75.125</v>
      </c>
      <c r="N12" s="10" t="str">
        <f t="shared" si="44"/>
        <v>B+</v>
      </c>
      <c r="O12" s="1">
        <f t="shared" si="1"/>
        <v>3.5</v>
      </c>
      <c r="P12" s="10">
        <v>3</v>
      </c>
      <c r="Q12" s="1">
        <f t="shared" si="45"/>
        <v>10.5</v>
      </c>
      <c r="R12" s="31">
        <v>74.141666666666666</v>
      </c>
      <c r="S12" s="10" t="str">
        <f t="shared" si="46"/>
        <v>B</v>
      </c>
      <c r="T12" s="1">
        <f t="shared" si="2"/>
        <v>3</v>
      </c>
      <c r="U12" s="10">
        <v>4</v>
      </c>
      <c r="V12" s="1">
        <f t="shared" si="47"/>
        <v>12</v>
      </c>
      <c r="W12" s="12">
        <v>74.849999999999994</v>
      </c>
      <c r="X12" s="10" t="str">
        <f t="shared" si="48"/>
        <v>B</v>
      </c>
      <c r="Y12" s="1">
        <f t="shared" si="3"/>
        <v>3</v>
      </c>
      <c r="Z12" s="10">
        <v>2</v>
      </c>
      <c r="AA12" s="1">
        <f t="shared" si="49"/>
        <v>6</v>
      </c>
      <c r="AB12" s="12">
        <v>68.3</v>
      </c>
      <c r="AC12" s="10" t="str">
        <f t="shared" si="50"/>
        <v>C+</v>
      </c>
      <c r="AD12" s="1">
        <f t="shared" si="4"/>
        <v>2.5</v>
      </c>
      <c r="AE12" s="10">
        <v>4</v>
      </c>
      <c r="AF12" s="1">
        <f t="shared" si="51"/>
        <v>10</v>
      </c>
      <c r="AG12" s="12">
        <v>71</v>
      </c>
      <c r="AH12" s="10" t="str">
        <f t="shared" si="52"/>
        <v>B</v>
      </c>
      <c r="AI12" s="1">
        <f t="shared" si="5"/>
        <v>3</v>
      </c>
      <c r="AJ12" s="10">
        <v>4</v>
      </c>
      <c r="AK12" s="1">
        <f t="shared" si="53"/>
        <v>12</v>
      </c>
      <c r="AL12" s="13">
        <v>78.966666666666669</v>
      </c>
      <c r="AM12" s="10" t="str">
        <f t="shared" si="54"/>
        <v>B+</v>
      </c>
      <c r="AN12" s="1">
        <f t="shared" si="6"/>
        <v>3.5</v>
      </c>
      <c r="AO12" s="10">
        <v>3</v>
      </c>
      <c r="AP12" s="1">
        <f t="shared" si="55"/>
        <v>10.5</v>
      </c>
      <c r="AQ12" s="12">
        <v>85.2</v>
      </c>
      <c r="AR12" s="10" t="str">
        <f t="shared" si="56"/>
        <v>A</v>
      </c>
      <c r="AS12" s="1">
        <f t="shared" si="7"/>
        <v>4</v>
      </c>
      <c r="AT12" s="10">
        <v>3</v>
      </c>
      <c r="AU12" s="1">
        <f t="shared" si="57"/>
        <v>12</v>
      </c>
      <c r="AV12" s="11">
        <v>70</v>
      </c>
      <c r="AW12" s="10" t="str">
        <f t="shared" si="58"/>
        <v>B</v>
      </c>
      <c r="AX12" s="1">
        <f t="shared" si="8"/>
        <v>3</v>
      </c>
      <c r="AY12" s="10">
        <v>2</v>
      </c>
      <c r="AZ12" s="1">
        <f t="shared" si="59"/>
        <v>6</v>
      </c>
      <c r="BA12" s="12">
        <v>80.3</v>
      </c>
      <c r="BB12" s="10" t="str">
        <f t="shared" si="60"/>
        <v>A</v>
      </c>
      <c r="BC12" s="1">
        <f t="shared" si="9"/>
        <v>4</v>
      </c>
      <c r="BD12" s="10">
        <v>2</v>
      </c>
      <c r="BE12" s="1">
        <f t="shared" si="61"/>
        <v>8</v>
      </c>
      <c r="BF12" s="14">
        <v>60.199999999999996</v>
      </c>
      <c r="BG12" s="10" t="str">
        <f t="shared" si="62"/>
        <v>C</v>
      </c>
      <c r="BH12" s="1">
        <f t="shared" si="10"/>
        <v>2</v>
      </c>
      <c r="BI12" s="10">
        <v>3</v>
      </c>
      <c r="BJ12" s="1">
        <f t="shared" si="63"/>
        <v>6</v>
      </c>
      <c r="BK12" s="15">
        <v>58</v>
      </c>
      <c r="BL12" s="10" t="str">
        <f t="shared" si="64"/>
        <v>D</v>
      </c>
      <c r="BM12" s="1">
        <f t="shared" si="11"/>
        <v>1</v>
      </c>
      <c r="BN12" s="10">
        <v>2</v>
      </c>
      <c r="BO12" s="1">
        <f t="shared" si="65"/>
        <v>2</v>
      </c>
      <c r="BP12" s="12">
        <v>74.55</v>
      </c>
      <c r="BQ12" s="10" t="str">
        <f t="shared" si="66"/>
        <v>B</v>
      </c>
      <c r="BR12" s="1">
        <f t="shared" si="12"/>
        <v>3</v>
      </c>
      <c r="BS12" s="10">
        <v>2</v>
      </c>
      <c r="BT12" s="1">
        <f t="shared" si="67"/>
        <v>6</v>
      </c>
      <c r="BU12" s="4">
        <v>75</v>
      </c>
      <c r="BV12" s="10" t="str">
        <f t="shared" si="68"/>
        <v>B+</v>
      </c>
      <c r="BW12" s="1">
        <f t="shared" si="13"/>
        <v>3.5</v>
      </c>
      <c r="BX12" s="10">
        <v>3</v>
      </c>
      <c r="BY12" s="1">
        <f t="shared" si="69"/>
        <v>10.5</v>
      </c>
      <c r="BZ12" s="13">
        <v>72.099999999999994</v>
      </c>
      <c r="CA12" s="10" t="str">
        <f t="shared" si="70"/>
        <v>B</v>
      </c>
      <c r="CB12" s="1">
        <f t="shared" si="14"/>
        <v>3</v>
      </c>
      <c r="CC12" s="10">
        <v>2</v>
      </c>
      <c r="CD12" s="1">
        <f t="shared" si="71"/>
        <v>6</v>
      </c>
      <c r="CE12" s="19">
        <v>79.09</v>
      </c>
      <c r="CF12" s="10" t="str">
        <f t="shared" si="72"/>
        <v>B+</v>
      </c>
      <c r="CG12" s="1">
        <f t="shared" si="15"/>
        <v>3.5</v>
      </c>
      <c r="CH12" s="10">
        <v>4</v>
      </c>
      <c r="CI12" s="1">
        <f t="shared" si="73"/>
        <v>14</v>
      </c>
      <c r="CJ12" s="16">
        <v>76.05</v>
      </c>
      <c r="CK12" s="10" t="str">
        <f t="shared" si="74"/>
        <v>B+</v>
      </c>
      <c r="CL12" s="1">
        <f t="shared" si="16"/>
        <v>3.5</v>
      </c>
      <c r="CM12" s="10">
        <v>4</v>
      </c>
      <c r="CN12" s="1">
        <f t="shared" si="75"/>
        <v>14</v>
      </c>
      <c r="CO12" s="19">
        <v>75.625</v>
      </c>
      <c r="CP12" s="10" t="str">
        <f t="shared" si="76"/>
        <v>B+</v>
      </c>
      <c r="CQ12" s="1">
        <f t="shared" si="17"/>
        <v>3.5</v>
      </c>
      <c r="CR12" s="10">
        <v>3</v>
      </c>
      <c r="CS12" s="1">
        <f t="shared" si="77"/>
        <v>10.5</v>
      </c>
      <c r="CT12" s="17">
        <v>77.126285714285714</v>
      </c>
      <c r="CU12" s="10" t="str">
        <f t="shared" si="78"/>
        <v>B+</v>
      </c>
      <c r="CV12" s="1">
        <f t="shared" si="18"/>
        <v>3.5</v>
      </c>
      <c r="CW12" s="10">
        <v>2</v>
      </c>
      <c r="CX12" s="1">
        <f t="shared" si="79"/>
        <v>7</v>
      </c>
      <c r="CY12" s="18">
        <v>74.95</v>
      </c>
      <c r="CZ12" s="10" t="str">
        <f t="shared" si="80"/>
        <v>B</v>
      </c>
      <c r="DA12" s="1">
        <f t="shared" si="19"/>
        <v>3</v>
      </c>
      <c r="DB12" s="10">
        <v>2</v>
      </c>
      <c r="DC12" s="1">
        <f t="shared" si="81"/>
        <v>6</v>
      </c>
      <c r="DD12" s="19">
        <v>80.5</v>
      </c>
      <c r="DE12" s="10" t="str">
        <f t="shared" si="82"/>
        <v>A</v>
      </c>
      <c r="DF12" s="1">
        <f t="shared" si="20"/>
        <v>4</v>
      </c>
      <c r="DG12" s="10">
        <v>2</v>
      </c>
      <c r="DH12" s="1">
        <f t="shared" si="83"/>
        <v>8</v>
      </c>
      <c r="DI12" s="5">
        <v>79.25</v>
      </c>
      <c r="DJ12" s="10" t="str">
        <f t="shared" si="84"/>
        <v>B+</v>
      </c>
      <c r="DK12" s="1">
        <f t="shared" si="21"/>
        <v>3.5</v>
      </c>
      <c r="DL12" s="10">
        <v>2</v>
      </c>
      <c r="DM12" s="1">
        <f t="shared" si="85"/>
        <v>7</v>
      </c>
      <c r="DN12" s="20">
        <v>75</v>
      </c>
      <c r="DO12" s="10" t="str">
        <f t="shared" si="86"/>
        <v>B+</v>
      </c>
      <c r="DP12" s="1">
        <f t="shared" si="22"/>
        <v>3.5</v>
      </c>
      <c r="DQ12" s="10">
        <v>2</v>
      </c>
      <c r="DR12" s="1">
        <f t="shared" si="87"/>
        <v>7</v>
      </c>
      <c r="DS12" s="19">
        <v>75.599999999999994</v>
      </c>
      <c r="DT12" s="10" t="str">
        <f t="shared" si="88"/>
        <v>B+</v>
      </c>
      <c r="DU12" s="1">
        <f t="shared" si="23"/>
        <v>3.5</v>
      </c>
      <c r="DV12" s="10">
        <v>4</v>
      </c>
      <c r="DW12" s="1">
        <f t="shared" si="89"/>
        <v>14</v>
      </c>
      <c r="DX12" s="16">
        <v>79.900000000000006</v>
      </c>
      <c r="DY12" s="10" t="str">
        <f t="shared" si="90"/>
        <v>B+</v>
      </c>
      <c r="DZ12" s="1">
        <f t="shared" si="24"/>
        <v>3.5</v>
      </c>
      <c r="EA12" s="10">
        <v>3</v>
      </c>
      <c r="EB12" s="1">
        <f t="shared" si="91"/>
        <v>10.5</v>
      </c>
      <c r="EC12" s="19">
        <v>80.349999999999994</v>
      </c>
      <c r="ED12" s="10" t="str">
        <f t="shared" si="92"/>
        <v>A</v>
      </c>
      <c r="EE12" s="1">
        <f t="shared" si="25"/>
        <v>4</v>
      </c>
      <c r="EF12" s="10">
        <v>3</v>
      </c>
      <c r="EG12" s="1">
        <f t="shared" si="93"/>
        <v>12</v>
      </c>
      <c r="EH12" s="6">
        <v>80.2</v>
      </c>
      <c r="EI12" s="10" t="str">
        <f t="shared" si="94"/>
        <v>A</v>
      </c>
      <c r="EJ12" s="1">
        <f t="shared" si="26"/>
        <v>4</v>
      </c>
      <c r="EK12" s="10">
        <v>3</v>
      </c>
      <c r="EL12" s="1">
        <f t="shared" si="95"/>
        <v>12</v>
      </c>
      <c r="EM12" s="18">
        <v>76.98888888888888</v>
      </c>
      <c r="EN12" s="10" t="str">
        <f t="shared" si="96"/>
        <v>B+</v>
      </c>
      <c r="EO12" s="1">
        <f t="shared" si="27"/>
        <v>3.5</v>
      </c>
      <c r="EP12" s="10">
        <v>3</v>
      </c>
      <c r="EQ12" s="1">
        <f t="shared" si="97"/>
        <v>10.5</v>
      </c>
      <c r="ER12" s="7">
        <v>81.2</v>
      </c>
      <c r="ES12" s="10" t="str">
        <f t="shared" si="98"/>
        <v>A</v>
      </c>
      <c r="ET12" s="1">
        <f t="shared" si="28"/>
        <v>4</v>
      </c>
      <c r="EU12" s="10">
        <v>2</v>
      </c>
      <c r="EV12" s="1">
        <f t="shared" si="99"/>
        <v>8</v>
      </c>
      <c r="EW12" s="5">
        <v>72.5</v>
      </c>
      <c r="EX12" s="10" t="str">
        <f t="shared" si="100"/>
        <v>B</v>
      </c>
      <c r="EY12" s="1">
        <f t="shared" si="29"/>
        <v>3</v>
      </c>
      <c r="EZ12" s="10">
        <v>3</v>
      </c>
      <c r="FA12" s="1">
        <f t="shared" si="101"/>
        <v>9</v>
      </c>
      <c r="FB12" s="19">
        <v>77.5</v>
      </c>
      <c r="FC12" s="10" t="str">
        <f t="shared" si="102"/>
        <v>B+</v>
      </c>
      <c r="FD12" s="1">
        <f t="shared" si="30"/>
        <v>3.5</v>
      </c>
      <c r="FE12" s="10">
        <v>2</v>
      </c>
      <c r="FF12" s="1">
        <f t="shared" si="103"/>
        <v>7</v>
      </c>
      <c r="FG12" s="16">
        <v>71.5</v>
      </c>
      <c r="FH12" s="10" t="str">
        <f t="shared" si="104"/>
        <v>B</v>
      </c>
      <c r="FI12" s="1">
        <f t="shared" si="31"/>
        <v>3</v>
      </c>
      <c r="FJ12" s="10">
        <v>3</v>
      </c>
      <c r="FK12" s="1">
        <f t="shared" si="105"/>
        <v>9</v>
      </c>
      <c r="FL12" s="19">
        <v>77.866666666666674</v>
      </c>
      <c r="FM12" s="10" t="str">
        <f t="shared" si="106"/>
        <v>B+</v>
      </c>
      <c r="FN12" s="1">
        <f t="shared" si="32"/>
        <v>3.5</v>
      </c>
      <c r="FO12" s="10">
        <v>3</v>
      </c>
      <c r="FP12" s="1">
        <f t="shared" si="107"/>
        <v>10.5</v>
      </c>
      <c r="FQ12" s="6">
        <v>72.59</v>
      </c>
      <c r="FR12" s="10" t="str">
        <f t="shared" si="108"/>
        <v>B</v>
      </c>
      <c r="FS12" s="1">
        <f t="shared" si="109"/>
        <v>3</v>
      </c>
      <c r="FT12" s="10">
        <v>3</v>
      </c>
      <c r="FU12" s="1">
        <f t="shared" si="110"/>
        <v>9</v>
      </c>
      <c r="FV12" s="18">
        <v>76.599999999999994</v>
      </c>
      <c r="FW12" s="10" t="str">
        <f t="shared" si="111"/>
        <v>B+</v>
      </c>
      <c r="FX12" s="1">
        <f t="shared" si="33"/>
        <v>3.5</v>
      </c>
      <c r="FY12" s="10">
        <v>3</v>
      </c>
      <c r="FZ12" s="1">
        <f t="shared" si="112"/>
        <v>10.5</v>
      </c>
      <c r="GA12" s="7">
        <v>75.400000000000006</v>
      </c>
      <c r="GB12" s="10" t="str">
        <f t="shared" si="113"/>
        <v>B+</v>
      </c>
      <c r="GC12" s="1">
        <f t="shared" si="34"/>
        <v>3.5</v>
      </c>
      <c r="GD12" s="10">
        <v>2</v>
      </c>
      <c r="GE12" s="1">
        <f t="shared" si="114"/>
        <v>7</v>
      </c>
      <c r="GF12" s="5">
        <v>81</v>
      </c>
      <c r="GG12" s="10" t="str">
        <f t="shared" si="115"/>
        <v>A</v>
      </c>
      <c r="GH12" s="1">
        <f t="shared" si="35"/>
        <v>4</v>
      </c>
      <c r="GI12" s="10">
        <v>3</v>
      </c>
      <c r="GJ12" s="1">
        <f t="shared" si="116"/>
        <v>12</v>
      </c>
      <c r="GK12" s="5">
        <v>73.099999999999994</v>
      </c>
      <c r="GL12" s="10" t="str">
        <f t="shared" si="117"/>
        <v>B</v>
      </c>
      <c r="GM12" s="1">
        <f t="shared" si="36"/>
        <v>3</v>
      </c>
      <c r="GN12" s="10">
        <v>2</v>
      </c>
      <c r="GO12" s="1">
        <f t="shared" si="118"/>
        <v>6</v>
      </c>
      <c r="GP12" s="19">
        <v>74</v>
      </c>
      <c r="GQ12" s="10" t="str">
        <f t="shared" si="119"/>
        <v>B</v>
      </c>
      <c r="GR12" s="1">
        <f t="shared" si="37"/>
        <v>3</v>
      </c>
      <c r="GS12" s="10">
        <v>3</v>
      </c>
      <c r="GT12" s="1">
        <f t="shared" si="120"/>
        <v>9</v>
      </c>
      <c r="GU12" s="16">
        <v>78.88000000000001</v>
      </c>
      <c r="GV12" s="10" t="str">
        <f t="shared" si="121"/>
        <v>B+</v>
      </c>
      <c r="GW12" s="1">
        <f t="shared" si="38"/>
        <v>3.5</v>
      </c>
      <c r="GX12" s="10">
        <v>4</v>
      </c>
      <c r="GY12" s="1">
        <f t="shared" si="122"/>
        <v>14</v>
      </c>
      <c r="GZ12" s="7">
        <v>74.25</v>
      </c>
      <c r="HA12" s="10" t="str">
        <f t="shared" si="123"/>
        <v>B</v>
      </c>
      <c r="HB12" s="1">
        <f t="shared" si="124"/>
        <v>3</v>
      </c>
      <c r="HC12" s="10">
        <v>4</v>
      </c>
      <c r="HD12" s="1">
        <f t="shared" si="125"/>
        <v>12</v>
      </c>
      <c r="HE12" s="6">
        <v>73.478571428571428</v>
      </c>
      <c r="HF12" s="10" t="str">
        <f t="shared" si="126"/>
        <v>B</v>
      </c>
      <c r="HG12" s="1">
        <f t="shared" si="39"/>
        <v>3</v>
      </c>
      <c r="HH12" s="10">
        <v>2</v>
      </c>
      <c r="HI12" s="1">
        <f t="shared" si="127"/>
        <v>6</v>
      </c>
      <c r="HJ12" s="18">
        <v>77.000000000000014</v>
      </c>
      <c r="HK12" s="10" t="str">
        <f t="shared" si="128"/>
        <v>B+</v>
      </c>
      <c r="HL12" s="1">
        <f t="shared" si="40"/>
        <v>3.5</v>
      </c>
      <c r="HM12" s="10">
        <v>3</v>
      </c>
      <c r="HN12" s="1">
        <f t="shared" si="129"/>
        <v>10.5</v>
      </c>
      <c r="HO12" s="12">
        <v>80.375</v>
      </c>
      <c r="HP12" s="10" t="str">
        <f t="shared" si="130"/>
        <v>A</v>
      </c>
      <c r="HQ12" s="1">
        <f t="shared" si="41"/>
        <v>4</v>
      </c>
      <c r="HR12" s="10">
        <v>3</v>
      </c>
      <c r="HS12" s="1">
        <f t="shared" si="131"/>
        <v>12</v>
      </c>
      <c r="HT12" s="10">
        <v>78</v>
      </c>
      <c r="HU12" s="10" t="str">
        <f t="shared" si="132"/>
        <v>B+</v>
      </c>
      <c r="HV12" s="1">
        <f t="shared" si="133"/>
        <v>3.5</v>
      </c>
      <c r="HW12" s="10">
        <v>4</v>
      </c>
      <c r="HX12" s="1">
        <f t="shared" si="134"/>
        <v>14</v>
      </c>
      <c r="HY12" s="16">
        <v>77.75</v>
      </c>
      <c r="HZ12" s="10" t="str">
        <f t="shared" si="135"/>
        <v>B+</v>
      </c>
      <c r="IA12" s="1">
        <f t="shared" si="136"/>
        <v>3.5</v>
      </c>
      <c r="IB12" s="10">
        <v>2</v>
      </c>
      <c r="IC12" s="1">
        <f t="shared" si="137"/>
        <v>7</v>
      </c>
      <c r="ID12" s="7">
        <v>79</v>
      </c>
      <c r="IE12" s="10" t="str">
        <f t="shared" si="138"/>
        <v>B+</v>
      </c>
      <c r="IF12" s="1">
        <f t="shared" si="139"/>
        <v>3.5</v>
      </c>
      <c r="IG12" s="10">
        <v>3</v>
      </c>
      <c r="IH12" s="1">
        <f t="shared" si="140"/>
        <v>10.5</v>
      </c>
      <c r="II12" s="6">
        <v>78</v>
      </c>
      <c r="IJ12" s="10" t="str">
        <f t="shared" si="141"/>
        <v>B+</v>
      </c>
      <c r="IK12" s="1">
        <f t="shared" si="142"/>
        <v>3.5</v>
      </c>
      <c r="IL12" s="10">
        <v>2</v>
      </c>
      <c r="IM12" s="1">
        <f t="shared" si="143"/>
        <v>7</v>
      </c>
      <c r="IN12" s="18">
        <v>73.48</v>
      </c>
      <c r="IO12" s="10" t="str">
        <f t="shared" si="144"/>
        <v>B</v>
      </c>
      <c r="IP12" s="1">
        <f t="shared" si="145"/>
        <v>3</v>
      </c>
      <c r="IQ12" s="10">
        <v>2</v>
      </c>
      <c r="IR12" s="1">
        <f t="shared" si="146"/>
        <v>6</v>
      </c>
      <c r="IS12" s="10">
        <v>77.599999999999994</v>
      </c>
      <c r="IT12" s="10" t="str">
        <f t="shared" si="147"/>
        <v>B+</v>
      </c>
      <c r="IU12" s="1">
        <f t="shared" si="148"/>
        <v>3.5</v>
      </c>
      <c r="IV12" s="10">
        <v>4</v>
      </c>
      <c r="IW12" s="1">
        <f t="shared" si="149"/>
        <v>14</v>
      </c>
      <c r="IX12" s="10">
        <v>80</v>
      </c>
      <c r="IY12" s="10" t="str">
        <f t="shared" si="150"/>
        <v>A</v>
      </c>
      <c r="IZ12" s="1">
        <f t="shared" si="151"/>
        <v>4</v>
      </c>
      <c r="JA12" s="10">
        <v>4</v>
      </c>
      <c r="JB12" s="1">
        <f t="shared" si="152"/>
        <v>16</v>
      </c>
      <c r="JC12" s="2">
        <v>69</v>
      </c>
      <c r="JD12" s="2">
        <v>22</v>
      </c>
      <c r="JE12" s="2">
        <v>56.5</v>
      </c>
      <c r="JF12" s="2">
        <v>19</v>
      </c>
      <c r="JG12" s="2">
        <v>73.5</v>
      </c>
      <c r="JH12" s="2">
        <v>21</v>
      </c>
      <c r="JI12" s="2">
        <v>76</v>
      </c>
      <c r="JJ12" s="2">
        <v>21</v>
      </c>
      <c r="JK12" s="2">
        <v>71</v>
      </c>
      <c r="JL12" s="2">
        <v>21</v>
      </c>
      <c r="JM12" s="2">
        <v>63.5</v>
      </c>
      <c r="JN12" s="2">
        <v>19</v>
      </c>
      <c r="JO12" s="2">
        <v>58.5</v>
      </c>
      <c r="JP12" s="2">
        <v>17</v>
      </c>
      <c r="JQ12" s="2">
        <v>16</v>
      </c>
      <c r="JR12" s="2">
        <v>4</v>
      </c>
      <c r="JS12" s="2">
        <f t="shared" si="153"/>
        <v>484</v>
      </c>
      <c r="JT12" s="2">
        <f t="shared" si="153"/>
        <v>144</v>
      </c>
      <c r="JU12" s="3">
        <f t="shared" si="154"/>
        <v>3.3611111111111112</v>
      </c>
      <c r="JV12" s="2" t="str">
        <f t="shared" si="155"/>
        <v>Sangat Memuaskan</v>
      </c>
      <c r="JW12" s="2" t="str">
        <f t="shared" si="156"/>
        <v>Highly Satisfactory</v>
      </c>
      <c r="JX12" s="23" t="s">
        <v>206</v>
      </c>
      <c r="JY12" s="23" t="s">
        <v>265</v>
      </c>
    </row>
    <row r="13" spans="1:285" x14ac:dyDescent="0.25">
      <c r="A13" s="55">
        <v>11</v>
      </c>
      <c r="B13" s="32" t="s">
        <v>30</v>
      </c>
      <c r="C13" s="25">
        <v>152111018</v>
      </c>
      <c r="D13" s="25" t="s">
        <v>146</v>
      </c>
      <c r="E13" s="27" t="s">
        <v>147</v>
      </c>
      <c r="F13" s="27" t="s">
        <v>219</v>
      </c>
      <c r="G13" s="2" t="s">
        <v>232</v>
      </c>
      <c r="H13" s="9">
        <v>84.35</v>
      </c>
      <c r="I13" s="10" t="str">
        <f t="shared" si="42"/>
        <v>A</v>
      </c>
      <c r="J13" s="1">
        <f t="shared" si="0"/>
        <v>4</v>
      </c>
      <c r="K13" s="10">
        <v>2</v>
      </c>
      <c r="L13" s="1">
        <f t="shared" si="43"/>
        <v>8</v>
      </c>
      <c r="M13" s="11">
        <v>74.5</v>
      </c>
      <c r="N13" s="10" t="str">
        <f t="shared" si="44"/>
        <v>B</v>
      </c>
      <c r="O13" s="1">
        <f t="shared" si="1"/>
        <v>3</v>
      </c>
      <c r="P13" s="10">
        <v>3</v>
      </c>
      <c r="Q13" s="1">
        <f t="shared" si="45"/>
        <v>9</v>
      </c>
      <c r="R13" s="31">
        <v>75.491666666666674</v>
      </c>
      <c r="S13" s="10" t="str">
        <f t="shared" si="46"/>
        <v>B+</v>
      </c>
      <c r="T13" s="1">
        <f t="shared" si="2"/>
        <v>3.5</v>
      </c>
      <c r="U13" s="10">
        <v>4</v>
      </c>
      <c r="V13" s="1">
        <f t="shared" si="47"/>
        <v>14</v>
      </c>
      <c r="W13" s="12">
        <v>81.5</v>
      </c>
      <c r="X13" s="10" t="str">
        <f t="shared" si="48"/>
        <v>A</v>
      </c>
      <c r="Y13" s="1">
        <f t="shared" si="3"/>
        <v>4</v>
      </c>
      <c r="Z13" s="10">
        <v>2</v>
      </c>
      <c r="AA13" s="1">
        <f t="shared" si="49"/>
        <v>8</v>
      </c>
      <c r="AB13" s="12">
        <v>60.6</v>
      </c>
      <c r="AC13" s="10" t="str">
        <f t="shared" si="50"/>
        <v>C</v>
      </c>
      <c r="AD13" s="1">
        <f t="shared" si="4"/>
        <v>2</v>
      </c>
      <c r="AE13" s="10">
        <v>4</v>
      </c>
      <c r="AF13" s="1">
        <f t="shared" si="51"/>
        <v>8</v>
      </c>
      <c r="AG13" s="12">
        <v>74.95</v>
      </c>
      <c r="AH13" s="10" t="str">
        <f t="shared" si="52"/>
        <v>B</v>
      </c>
      <c r="AI13" s="1">
        <f t="shared" si="5"/>
        <v>3</v>
      </c>
      <c r="AJ13" s="10">
        <v>4</v>
      </c>
      <c r="AK13" s="1">
        <f t="shared" si="53"/>
        <v>12</v>
      </c>
      <c r="AL13" s="13">
        <v>76.966666666666669</v>
      </c>
      <c r="AM13" s="10" t="str">
        <f t="shared" si="54"/>
        <v>B+</v>
      </c>
      <c r="AN13" s="1">
        <f t="shared" si="6"/>
        <v>3.5</v>
      </c>
      <c r="AO13" s="10">
        <v>3</v>
      </c>
      <c r="AP13" s="1">
        <f t="shared" si="55"/>
        <v>10.5</v>
      </c>
      <c r="AQ13" s="12">
        <v>86.600000000000009</v>
      </c>
      <c r="AR13" s="10" t="str">
        <f t="shared" si="56"/>
        <v>A</v>
      </c>
      <c r="AS13" s="1">
        <f t="shared" si="7"/>
        <v>4</v>
      </c>
      <c r="AT13" s="10">
        <v>3</v>
      </c>
      <c r="AU13" s="1">
        <f t="shared" si="57"/>
        <v>12</v>
      </c>
      <c r="AV13" s="11">
        <v>70</v>
      </c>
      <c r="AW13" s="10" t="str">
        <f t="shared" si="58"/>
        <v>B</v>
      </c>
      <c r="AX13" s="1">
        <f t="shared" si="8"/>
        <v>3</v>
      </c>
      <c r="AY13" s="10">
        <v>2</v>
      </c>
      <c r="AZ13" s="1">
        <f t="shared" si="59"/>
        <v>6</v>
      </c>
      <c r="BA13" s="12">
        <v>80.099999999999994</v>
      </c>
      <c r="BB13" s="10" t="str">
        <f t="shared" si="60"/>
        <v>A</v>
      </c>
      <c r="BC13" s="1">
        <f t="shared" si="9"/>
        <v>4</v>
      </c>
      <c r="BD13" s="10">
        <v>2</v>
      </c>
      <c r="BE13" s="1">
        <f t="shared" si="61"/>
        <v>8</v>
      </c>
      <c r="BF13" s="14">
        <v>69</v>
      </c>
      <c r="BG13" s="10" t="str">
        <f t="shared" si="62"/>
        <v>C+</v>
      </c>
      <c r="BH13" s="1">
        <f t="shared" si="10"/>
        <v>2.5</v>
      </c>
      <c r="BI13" s="10">
        <v>3</v>
      </c>
      <c r="BJ13" s="1">
        <f t="shared" si="63"/>
        <v>7.5</v>
      </c>
      <c r="BK13" s="15">
        <v>77.25</v>
      </c>
      <c r="BL13" s="10" t="str">
        <f t="shared" si="64"/>
        <v>B+</v>
      </c>
      <c r="BM13" s="1">
        <f t="shared" si="11"/>
        <v>3.5</v>
      </c>
      <c r="BN13" s="10">
        <v>2</v>
      </c>
      <c r="BO13" s="1">
        <f t="shared" si="65"/>
        <v>7</v>
      </c>
      <c r="BP13" s="12">
        <v>81.5</v>
      </c>
      <c r="BQ13" s="10" t="str">
        <f t="shared" si="66"/>
        <v>A</v>
      </c>
      <c r="BR13" s="1">
        <f t="shared" si="12"/>
        <v>4</v>
      </c>
      <c r="BS13" s="10">
        <v>2</v>
      </c>
      <c r="BT13" s="1">
        <f t="shared" si="67"/>
        <v>8</v>
      </c>
      <c r="BU13" s="4">
        <v>74.75</v>
      </c>
      <c r="BV13" s="10" t="str">
        <f t="shared" si="68"/>
        <v>B</v>
      </c>
      <c r="BW13" s="1">
        <f t="shared" si="13"/>
        <v>3</v>
      </c>
      <c r="BX13" s="10">
        <v>3</v>
      </c>
      <c r="BY13" s="1">
        <f t="shared" si="69"/>
        <v>9</v>
      </c>
      <c r="BZ13" s="13">
        <v>71.183333333333337</v>
      </c>
      <c r="CA13" s="10" t="str">
        <f t="shared" si="70"/>
        <v>B</v>
      </c>
      <c r="CB13" s="1">
        <f t="shared" si="14"/>
        <v>3</v>
      </c>
      <c r="CC13" s="10">
        <v>2</v>
      </c>
      <c r="CD13" s="1">
        <f t="shared" si="71"/>
        <v>6</v>
      </c>
      <c r="CE13" s="19">
        <v>77.75</v>
      </c>
      <c r="CF13" s="10" t="str">
        <f t="shared" si="72"/>
        <v>B+</v>
      </c>
      <c r="CG13" s="1">
        <f t="shared" si="15"/>
        <v>3.5</v>
      </c>
      <c r="CH13" s="10">
        <v>4</v>
      </c>
      <c r="CI13" s="1">
        <f t="shared" si="73"/>
        <v>14</v>
      </c>
      <c r="CJ13" s="16">
        <v>70</v>
      </c>
      <c r="CK13" s="10" t="str">
        <f t="shared" si="74"/>
        <v>B</v>
      </c>
      <c r="CL13" s="1">
        <f t="shared" si="16"/>
        <v>3</v>
      </c>
      <c r="CM13" s="10">
        <v>4</v>
      </c>
      <c r="CN13" s="1">
        <f t="shared" si="75"/>
        <v>12</v>
      </c>
      <c r="CO13" s="19">
        <v>77.349999999999994</v>
      </c>
      <c r="CP13" s="10" t="str">
        <f t="shared" si="76"/>
        <v>B+</v>
      </c>
      <c r="CQ13" s="1">
        <f t="shared" si="17"/>
        <v>3.5</v>
      </c>
      <c r="CR13" s="10">
        <v>3</v>
      </c>
      <c r="CS13" s="1">
        <f t="shared" si="77"/>
        <v>10.5</v>
      </c>
      <c r="CT13" s="17">
        <v>75.322000000000003</v>
      </c>
      <c r="CU13" s="10" t="str">
        <f t="shared" si="78"/>
        <v>B+</v>
      </c>
      <c r="CV13" s="1">
        <f t="shared" si="18"/>
        <v>3.5</v>
      </c>
      <c r="CW13" s="10">
        <v>2</v>
      </c>
      <c r="CX13" s="1">
        <f t="shared" si="79"/>
        <v>7</v>
      </c>
      <c r="CY13" s="18">
        <v>74.2</v>
      </c>
      <c r="CZ13" s="10" t="str">
        <f t="shared" si="80"/>
        <v>B</v>
      </c>
      <c r="DA13" s="1">
        <f t="shared" si="19"/>
        <v>3</v>
      </c>
      <c r="DB13" s="10">
        <v>2</v>
      </c>
      <c r="DC13" s="1">
        <f t="shared" si="81"/>
        <v>6</v>
      </c>
      <c r="DD13" s="19">
        <v>84.449999999999989</v>
      </c>
      <c r="DE13" s="10" t="str">
        <f t="shared" si="82"/>
        <v>A</v>
      </c>
      <c r="DF13" s="1">
        <f t="shared" si="20"/>
        <v>4</v>
      </c>
      <c r="DG13" s="10">
        <v>2</v>
      </c>
      <c r="DH13" s="1">
        <f t="shared" si="83"/>
        <v>8</v>
      </c>
      <c r="DI13" s="5">
        <v>79.25</v>
      </c>
      <c r="DJ13" s="10" t="str">
        <f t="shared" si="84"/>
        <v>B+</v>
      </c>
      <c r="DK13" s="1">
        <f t="shared" si="21"/>
        <v>3.5</v>
      </c>
      <c r="DL13" s="10">
        <v>2</v>
      </c>
      <c r="DM13" s="1">
        <f t="shared" si="85"/>
        <v>7</v>
      </c>
      <c r="DN13" s="20">
        <v>75</v>
      </c>
      <c r="DO13" s="10" t="str">
        <f t="shared" si="86"/>
        <v>B+</v>
      </c>
      <c r="DP13" s="1">
        <f t="shared" si="22"/>
        <v>3.5</v>
      </c>
      <c r="DQ13" s="10">
        <v>2</v>
      </c>
      <c r="DR13" s="1">
        <f t="shared" si="87"/>
        <v>7</v>
      </c>
      <c r="DS13" s="19">
        <v>72.3</v>
      </c>
      <c r="DT13" s="10" t="str">
        <f t="shared" si="88"/>
        <v>B</v>
      </c>
      <c r="DU13" s="1">
        <f t="shared" si="23"/>
        <v>3</v>
      </c>
      <c r="DV13" s="10">
        <v>4</v>
      </c>
      <c r="DW13" s="1">
        <f t="shared" si="89"/>
        <v>12</v>
      </c>
      <c r="DX13" s="16">
        <v>75.3</v>
      </c>
      <c r="DY13" s="10" t="str">
        <f t="shared" si="90"/>
        <v>B+</v>
      </c>
      <c r="DZ13" s="1">
        <f t="shared" si="24"/>
        <v>3.5</v>
      </c>
      <c r="EA13" s="10">
        <v>3</v>
      </c>
      <c r="EB13" s="1">
        <f t="shared" si="91"/>
        <v>10.5</v>
      </c>
      <c r="EC13" s="19">
        <v>73.900000000000006</v>
      </c>
      <c r="ED13" s="10" t="str">
        <f t="shared" si="92"/>
        <v>B</v>
      </c>
      <c r="EE13" s="1">
        <f t="shared" si="25"/>
        <v>3</v>
      </c>
      <c r="EF13" s="10">
        <v>3</v>
      </c>
      <c r="EG13" s="1">
        <f t="shared" si="93"/>
        <v>9</v>
      </c>
      <c r="EH13" s="6">
        <v>77.8</v>
      </c>
      <c r="EI13" s="10" t="str">
        <f t="shared" si="94"/>
        <v>B+</v>
      </c>
      <c r="EJ13" s="1">
        <f t="shared" si="26"/>
        <v>3.5</v>
      </c>
      <c r="EK13" s="10">
        <v>3</v>
      </c>
      <c r="EL13" s="1">
        <f t="shared" si="95"/>
        <v>10.5</v>
      </c>
      <c r="EM13" s="18">
        <v>76.961111111111123</v>
      </c>
      <c r="EN13" s="10" t="str">
        <f t="shared" si="96"/>
        <v>B+</v>
      </c>
      <c r="EO13" s="1">
        <f t="shared" si="27"/>
        <v>3.5</v>
      </c>
      <c r="EP13" s="10">
        <v>3</v>
      </c>
      <c r="EQ13" s="1">
        <f t="shared" si="97"/>
        <v>10.5</v>
      </c>
      <c r="ER13" s="7">
        <v>76.5</v>
      </c>
      <c r="ES13" s="10" t="str">
        <f t="shared" si="98"/>
        <v>B+</v>
      </c>
      <c r="ET13" s="1">
        <f t="shared" si="28"/>
        <v>3.5</v>
      </c>
      <c r="EU13" s="10">
        <v>2</v>
      </c>
      <c r="EV13" s="1">
        <f t="shared" si="99"/>
        <v>7</v>
      </c>
      <c r="EW13" s="5">
        <v>80.2</v>
      </c>
      <c r="EX13" s="10" t="str">
        <f t="shared" si="100"/>
        <v>A</v>
      </c>
      <c r="EY13" s="1">
        <f t="shared" si="29"/>
        <v>4</v>
      </c>
      <c r="EZ13" s="10">
        <v>3</v>
      </c>
      <c r="FA13" s="1">
        <f t="shared" si="101"/>
        <v>12</v>
      </c>
      <c r="FB13" s="19">
        <v>78</v>
      </c>
      <c r="FC13" s="10" t="str">
        <f t="shared" si="102"/>
        <v>B+</v>
      </c>
      <c r="FD13" s="1">
        <f t="shared" si="30"/>
        <v>3.5</v>
      </c>
      <c r="FE13" s="10">
        <v>2</v>
      </c>
      <c r="FF13" s="1">
        <f t="shared" si="103"/>
        <v>7</v>
      </c>
      <c r="FG13" s="16">
        <v>73</v>
      </c>
      <c r="FH13" s="10" t="str">
        <f t="shared" si="104"/>
        <v>B</v>
      </c>
      <c r="FI13" s="1">
        <f t="shared" si="31"/>
        <v>3</v>
      </c>
      <c r="FJ13" s="10">
        <v>3</v>
      </c>
      <c r="FK13" s="1">
        <f t="shared" si="105"/>
        <v>9</v>
      </c>
      <c r="FL13" s="19">
        <v>78.266666666666666</v>
      </c>
      <c r="FM13" s="10" t="str">
        <f t="shared" si="106"/>
        <v>B+</v>
      </c>
      <c r="FN13" s="1">
        <f t="shared" si="32"/>
        <v>3.5</v>
      </c>
      <c r="FO13" s="10">
        <v>3</v>
      </c>
      <c r="FP13" s="1">
        <f t="shared" si="107"/>
        <v>10.5</v>
      </c>
      <c r="FQ13" s="6">
        <v>76.81</v>
      </c>
      <c r="FR13" s="10" t="str">
        <f t="shared" si="108"/>
        <v>B+</v>
      </c>
      <c r="FS13" s="1">
        <f t="shared" si="109"/>
        <v>3.5</v>
      </c>
      <c r="FT13" s="10">
        <v>3</v>
      </c>
      <c r="FU13" s="1">
        <f t="shared" si="110"/>
        <v>10.5</v>
      </c>
      <c r="FV13" s="18">
        <v>75.900000000000006</v>
      </c>
      <c r="FW13" s="10" t="str">
        <f t="shared" si="111"/>
        <v>B+</v>
      </c>
      <c r="FX13" s="1">
        <f t="shared" si="33"/>
        <v>3.5</v>
      </c>
      <c r="FY13" s="10">
        <v>3</v>
      </c>
      <c r="FZ13" s="1">
        <f t="shared" si="112"/>
        <v>10.5</v>
      </c>
      <c r="GA13" s="7">
        <v>70.599999999999994</v>
      </c>
      <c r="GB13" s="10" t="str">
        <f t="shared" si="113"/>
        <v>B</v>
      </c>
      <c r="GC13" s="1">
        <f t="shared" si="34"/>
        <v>3</v>
      </c>
      <c r="GD13" s="10">
        <v>2</v>
      </c>
      <c r="GE13" s="1">
        <f t="shared" si="114"/>
        <v>6</v>
      </c>
      <c r="GF13" s="5">
        <v>77</v>
      </c>
      <c r="GG13" s="10" t="str">
        <f t="shared" si="115"/>
        <v>B+</v>
      </c>
      <c r="GH13" s="1">
        <f t="shared" si="35"/>
        <v>3.5</v>
      </c>
      <c r="GI13" s="10">
        <v>3</v>
      </c>
      <c r="GJ13" s="1">
        <f t="shared" si="116"/>
        <v>10.5</v>
      </c>
      <c r="GK13" s="5">
        <v>80.2</v>
      </c>
      <c r="GL13" s="10" t="str">
        <f t="shared" si="117"/>
        <v>A</v>
      </c>
      <c r="GM13" s="1">
        <f t="shared" si="36"/>
        <v>4</v>
      </c>
      <c r="GN13" s="10">
        <v>2</v>
      </c>
      <c r="GO13" s="1">
        <f t="shared" si="118"/>
        <v>8</v>
      </c>
      <c r="GP13" s="19">
        <v>76.599999999999994</v>
      </c>
      <c r="GQ13" s="10" t="str">
        <f t="shared" si="119"/>
        <v>B+</v>
      </c>
      <c r="GR13" s="1">
        <f t="shared" si="37"/>
        <v>3.5</v>
      </c>
      <c r="GS13" s="10">
        <v>3</v>
      </c>
      <c r="GT13" s="1">
        <f t="shared" si="120"/>
        <v>10.5</v>
      </c>
      <c r="GU13" s="16">
        <v>76.800000000000011</v>
      </c>
      <c r="GV13" s="10" t="str">
        <f t="shared" si="121"/>
        <v>B+</v>
      </c>
      <c r="GW13" s="1">
        <f t="shared" si="38"/>
        <v>3.5</v>
      </c>
      <c r="GX13" s="10">
        <v>4</v>
      </c>
      <c r="GY13" s="1">
        <f t="shared" si="122"/>
        <v>14</v>
      </c>
      <c r="GZ13" s="7">
        <v>74.25</v>
      </c>
      <c r="HA13" s="10" t="str">
        <f t="shared" si="123"/>
        <v>B</v>
      </c>
      <c r="HB13" s="1">
        <f t="shared" si="124"/>
        <v>3</v>
      </c>
      <c r="HC13" s="10">
        <v>4</v>
      </c>
      <c r="HD13" s="1">
        <f t="shared" si="125"/>
        <v>12</v>
      </c>
      <c r="HE13" s="6">
        <v>72.800000000000011</v>
      </c>
      <c r="HF13" s="10" t="str">
        <f t="shared" si="126"/>
        <v>B</v>
      </c>
      <c r="HG13" s="1">
        <f t="shared" si="39"/>
        <v>3</v>
      </c>
      <c r="HH13" s="10">
        <v>2</v>
      </c>
      <c r="HI13" s="1">
        <f t="shared" si="127"/>
        <v>6</v>
      </c>
      <c r="HJ13" s="18">
        <v>74.866666666666674</v>
      </c>
      <c r="HK13" s="10" t="str">
        <f t="shared" si="128"/>
        <v>B</v>
      </c>
      <c r="HL13" s="1">
        <f t="shared" si="40"/>
        <v>3</v>
      </c>
      <c r="HM13" s="10">
        <v>3</v>
      </c>
      <c r="HN13" s="1">
        <f t="shared" si="129"/>
        <v>9</v>
      </c>
      <c r="HO13" s="12">
        <v>80.825000000000003</v>
      </c>
      <c r="HP13" s="10" t="str">
        <f t="shared" si="130"/>
        <v>A</v>
      </c>
      <c r="HQ13" s="1">
        <f t="shared" si="41"/>
        <v>4</v>
      </c>
      <c r="HR13" s="10">
        <v>3</v>
      </c>
      <c r="HS13" s="1">
        <f t="shared" si="131"/>
        <v>12</v>
      </c>
      <c r="HT13" s="10">
        <v>78.599999999999994</v>
      </c>
      <c r="HU13" s="10" t="str">
        <f t="shared" si="132"/>
        <v>B+</v>
      </c>
      <c r="HV13" s="1">
        <f t="shared" si="133"/>
        <v>3.5</v>
      </c>
      <c r="HW13" s="10">
        <v>4</v>
      </c>
      <c r="HX13" s="1">
        <f t="shared" si="134"/>
        <v>14</v>
      </c>
      <c r="HY13" s="16">
        <v>80.349999999999994</v>
      </c>
      <c r="HZ13" s="10" t="str">
        <f t="shared" si="135"/>
        <v>A</v>
      </c>
      <c r="IA13" s="1">
        <f t="shared" si="136"/>
        <v>4</v>
      </c>
      <c r="IB13" s="10">
        <v>2</v>
      </c>
      <c r="IC13" s="1">
        <f t="shared" si="137"/>
        <v>8</v>
      </c>
      <c r="ID13" s="7">
        <v>78</v>
      </c>
      <c r="IE13" s="10" t="str">
        <f t="shared" si="138"/>
        <v>B+</v>
      </c>
      <c r="IF13" s="1">
        <f t="shared" si="139"/>
        <v>3.5</v>
      </c>
      <c r="IG13" s="10">
        <v>3</v>
      </c>
      <c r="IH13" s="1">
        <f t="shared" si="140"/>
        <v>10.5</v>
      </c>
      <c r="II13" s="6">
        <v>78.599999999999994</v>
      </c>
      <c r="IJ13" s="10" t="str">
        <f t="shared" si="141"/>
        <v>B+</v>
      </c>
      <c r="IK13" s="1">
        <f t="shared" si="142"/>
        <v>3.5</v>
      </c>
      <c r="IL13" s="10">
        <v>2</v>
      </c>
      <c r="IM13" s="1">
        <f t="shared" si="143"/>
        <v>7</v>
      </c>
      <c r="IN13" s="18">
        <v>74.680000000000007</v>
      </c>
      <c r="IO13" s="10" t="str">
        <f t="shared" si="144"/>
        <v>B</v>
      </c>
      <c r="IP13" s="1">
        <f t="shared" si="145"/>
        <v>3</v>
      </c>
      <c r="IQ13" s="10">
        <v>2</v>
      </c>
      <c r="IR13" s="1">
        <f t="shared" si="146"/>
        <v>6</v>
      </c>
      <c r="IS13" s="10">
        <v>77.8</v>
      </c>
      <c r="IT13" s="10" t="str">
        <f t="shared" si="147"/>
        <v>B+</v>
      </c>
      <c r="IU13" s="1">
        <f t="shared" si="148"/>
        <v>3.5</v>
      </c>
      <c r="IV13" s="10">
        <v>4</v>
      </c>
      <c r="IW13" s="1">
        <f t="shared" si="149"/>
        <v>14</v>
      </c>
      <c r="IX13" s="10">
        <v>79</v>
      </c>
      <c r="IY13" s="10" t="str">
        <f t="shared" si="150"/>
        <v>B+</v>
      </c>
      <c r="IZ13" s="1">
        <f t="shared" si="151"/>
        <v>3.5</v>
      </c>
      <c r="JA13" s="10">
        <v>4</v>
      </c>
      <c r="JB13" s="1">
        <f t="shared" si="152"/>
        <v>14</v>
      </c>
      <c r="JC13" s="2">
        <v>69.5</v>
      </c>
      <c r="JD13" s="2">
        <v>22</v>
      </c>
      <c r="JE13" s="2">
        <v>63.5</v>
      </c>
      <c r="JF13" s="2">
        <v>19</v>
      </c>
      <c r="JG13" s="2">
        <v>71.5</v>
      </c>
      <c r="JH13" s="2">
        <v>21</v>
      </c>
      <c r="JI13" s="2">
        <v>71.5</v>
      </c>
      <c r="JJ13" s="2">
        <v>21</v>
      </c>
      <c r="JK13" s="2">
        <v>72</v>
      </c>
      <c r="JL13" s="2">
        <v>21</v>
      </c>
      <c r="JM13" s="2">
        <v>63.5</v>
      </c>
      <c r="JN13" s="2">
        <v>19</v>
      </c>
      <c r="JO13" s="2">
        <v>59.5</v>
      </c>
      <c r="JP13" s="2">
        <v>17</v>
      </c>
      <c r="JQ13" s="2">
        <v>14</v>
      </c>
      <c r="JR13" s="2">
        <v>4</v>
      </c>
      <c r="JS13" s="2">
        <f t="shared" si="153"/>
        <v>485</v>
      </c>
      <c r="JT13" s="2">
        <f t="shared" si="153"/>
        <v>144</v>
      </c>
      <c r="JU13" s="3">
        <f t="shared" si="154"/>
        <v>3.3680555555555554</v>
      </c>
      <c r="JV13" s="2" t="str">
        <f t="shared" si="155"/>
        <v>Sangat Memuaskan</v>
      </c>
      <c r="JW13" s="2" t="str">
        <f t="shared" si="156"/>
        <v>Highly Satisfactory</v>
      </c>
      <c r="JX13" s="23" t="s">
        <v>193</v>
      </c>
      <c r="JY13" s="23" t="s">
        <v>266</v>
      </c>
    </row>
    <row r="14" spans="1:285" x14ac:dyDescent="0.25">
      <c r="A14" s="55">
        <v>12</v>
      </c>
      <c r="B14" s="22" t="s">
        <v>31</v>
      </c>
      <c r="C14" s="25">
        <v>152111019</v>
      </c>
      <c r="D14" s="25" t="s">
        <v>135</v>
      </c>
      <c r="E14" s="27" t="s">
        <v>181</v>
      </c>
      <c r="F14" s="27" t="s">
        <v>219</v>
      </c>
      <c r="G14" s="2" t="s">
        <v>233</v>
      </c>
      <c r="H14" s="9">
        <v>83.75</v>
      </c>
      <c r="I14" s="10" t="str">
        <f t="shared" si="42"/>
        <v>A</v>
      </c>
      <c r="J14" s="1">
        <f t="shared" si="0"/>
        <v>4</v>
      </c>
      <c r="K14" s="10">
        <v>2</v>
      </c>
      <c r="L14" s="1">
        <f t="shared" si="43"/>
        <v>8</v>
      </c>
      <c r="M14" s="11">
        <v>76.375</v>
      </c>
      <c r="N14" s="10" t="str">
        <f t="shared" si="44"/>
        <v>B+</v>
      </c>
      <c r="O14" s="1">
        <f t="shared" si="1"/>
        <v>3.5</v>
      </c>
      <c r="P14" s="10">
        <v>3</v>
      </c>
      <c r="Q14" s="1">
        <f t="shared" si="45"/>
        <v>10.5</v>
      </c>
      <c r="R14" s="31">
        <v>76.375</v>
      </c>
      <c r="S14" s="10" t="str">
        <f t="shared" si="46"/>
        <v>B+</v>
      </c>
      <c r="T14" s="1">
        <f t="shared" si="2"/>
        <v>3.5</v>
      </c>
      <c r="U14" s="10">
        <v>4</v>
      </c>
      <c r="V14" s="1">
        <f t="shared" si="47"/>
        <v>14</v>
      </c>
      <c r="W14" s="12">
        <v>74.099999999999994</v>
      </c>
      <c r="X14" s="10" t="str">
        <f t="shared" si="48"/>
        <v>B</v>
      </c>
      <c r="Y14" s="1">
        <f t="shared" si="3"/>
        <v>3</v>
      </c>
      <c r="Z14" s="10">
        <v>2</v>
      </c>
      <c r="AA14" s="1">
        <f t="shared" si="49"/>
        <v>6</v>
      </c>
      <c r="AB14" s="12">
        <v>66.25</v>
      </c>
      <c r="AC14" s="10" t="str">
        <f t="shared" si="50"/>
        <v>C+</v>
      </c>
      <c r="AD14" s="1">
        <f t="shared" si="4"/>
        <v>2.5</v>
      </c>
      <c r="AE14" s="10">
        <v>4</v>
      </c>
      <c r="AF14" s="1">
        <f t="shared" si="51"/>
        <v>10</v>
      </c>
      <c r="AG14" s="12">
        <v>81.3</v>
      </c>
      <c r="AH14" s="10" t="str">
        <f t="shared" si="52"/>
        <v>A</v>
      </c>
      <c r="AI14" s="1">
        <f t="shared" si="5"/>
        <v>4</v>
      </c>
      <c r="AJ14" s="10">
        <v>4</v>
      </c>
      <c r="AK14" s="1">
        <f t="shared" si="53"/>
        <v>16</v>
      </c>
      <c r="AL14" s="13">
        <v>77.5</v>
      </c>
      <c r="AM14" s="10" t="str">
        <f t="shared" si="54"/>
        <v>B+</v>
      </c>
      <c r="AN14" s="1">
        <f t="shared" si="6"/>
        <v>3.5</v>
      </c>
      <c r="AO14" s="10">
        <v>3</v>
      </c>
      <c r="AP14" s="1">
        <f t="shared" si="55"/>
        <v>10.5</v>
      </c>
      <c r="AQ14" s="12">
        <v>86.800000000000011</v>
      </c>
      <c r="AR14" s="10" t="str">
        <f t="shared" si="56"/>
        <v>A</v>
      </c>
      <c r="AS14" s="1">
        <f t="shared" si="7"/>
        <v>4</v>
      </c>
      <c r="AT14" s="10">
        <v>3</v>
      </c>
      <c r="AU14" s="1">
        <f t="shared" si="57"/>
        <v>12</v>
      </c>
      <c r="AV14" s="11">
        <v>70</v>
      </c>
      <c r="AW14" s="10" t="str">
        <f t="shared" si="58"/>
        <v>B</v>
      </c>
      <c r="AX14" s="1">
        <f t="shared" si="8"/>
        <v>3</v>
      </c>
      <c r="AY14" s="10">
        <v>2</v>
      </c>
      <c r="AZ14" s="1">
        <f t="shared" si="59"/>
        <v>6</v>
      </c>
      <c r="BA14" s="12">
        <v>80.099999999999994</v>
      </c>
      <c r="BB14" s="10" t="str">
        <f t="shared" si="60"/>
        <v>A</v>
      </c>
      <c r="BC14" s="1">
        <f t="shared" si="9"/>
        <v>4</v>
      </c>
      <c r="BD14" s="10">
        <v>2</v>
      </c>
      <c r="BE14" s="1">
        <f t="shared" si="61"/>
        <v>8</v>
      </c>
      <c r="BF14" s="14">
        <v>77.8</v>
      </c>
      <c r="BG14" s="10" t="str">
        <f t="shared" si="62"/>
        <v>B+</v>
      </c>
      <c r="BH14" s="1">
        <f t="shared" si="10"/>
        <v>3.5</v>
      </c>
      <c r="BI14" s="10">
        <v>3</v>
      </c>
      <c r="BJ14" s="1">
        <f t="shared" si="63"/>
        <v>10.5</v>
      </c>
      <c r="BK14" s="15">
        <v>85.5</v>
      </c>
      <c r="BL14" s="10" t="str">
        <f t="shared" si="64"/>
        <v>A</v>
      </c>
      <c r="BM14" s="1">
        <f t="shared" si="11"/>
        <v>4</v>
      </c>
      <c r="BN14" s="10">
        <v>2</v>
      </c>
      <c r="BO14" s="1">
        <f t="shared" si="65"/>
        <v>8</v>
      </c>
      <c r="BP14" s="12">
        <v>68.55</v>
      </c>
      <c r="BQ14" s="10" t="str">
        <f t="shared" si="66"/>
        <v>C+</v>
      </c>
      <c r="BR14" s="1">
        <f t="shared" si="12"/>
        <v>2.5</v>
      </c>
      <c r="BS14" s="10">
        <v>2</v>
      </c>
      <c r="BT14" s="1">
        <f t="shared" si="67"/>
        <v>5</v>
      </c>
      <c r="BU14" s="4">
        <v>73.900000000000006</v>
      </c>
      <c r="BV14" s="10" t="str">
        <f t="shared" si="68"/>
        <v>B</v>
      </c>
      <c r="BW14" s="1">
        <f t="shared" si="13"/>
        <v>3</v>
      </c>
      <c r="BX14" s="10">
        <v>3</v>
      </c>
      <c r="BY14" s="1">
        <f t="shared" si="69"/>
        <v>9</v>
      </c>
      <c r="BZ14" s="13">
        <v>76.266666666666666</v>
      </c>
      <c r="CA14" s="10" t="str">
        <f t="shared" si="70"/>
        <v>B+</v>
      </c>
      <c r="CB14" s="1">
        <f t="shared" si="14"/>
        <v>3.5</v>
      </c>
      <c r="CC14" s="10">
        <v>2</v>
      </c>
      <c r="CD14" s="1">
        <f t="shared" si="71"/>
        <v>7</v>
      </c>
      <c r="CE14" s="19">
        <v>79.64</v>
      </c>
      <c r="CF14" s="10" t="str">
        <f t="shared" si="72"/>
        <v>B+</v>
      </c>
      <c r="CG14" s="1">
        <f t="shared" si="15"/>
        <v>3.5</v>
      </c>
      <c r="CH14" s="10">
        <v>4</v>
      </c>
      <c r="CI14" s="1">
        <f t="shared" si="73"/>
        <v>14</v>
      </c>
      <c r="CJ14" s="16">
        <v>77.45</v>
      </c>
      <c r="CK14" s="10" t="str">
        <f t="shared" si="74"/>
        <v>B+</v>
      </c>
      <c r="CL14" s="1">
        <f t="shared" si="16"/>
        <v>3.5</v>
      </c>
      <c r="CM14" s="10">
        <v>4</v>
      </c>
      <c r="CN14" s="1">
        <f t="shared" si="75"/>
        <v>14</v>
      </c>
      <c r="CO14" s="19">
        <v>75.325000000000003</v>
      </c>
      <c r="CP14" s="10" t="str">
        <f t="shared" si="76"/>
        <v>B+</v>
      </c>
      <c r="CQ14" s="1">
        <f t="shared" si="17"/>
        <v>3.5</v>
      </c>
      <c r="CR14" s="10">
        <v>3</v>
      </c>
      <c r="CS14" s="1">
        <f t="shared" si="77"/>
        <v>10.5</v>
      </c>
      <c r="CT14" s="17">
        <v>80.105142857142866</v>
      </c>
      <c r="CU14" s="10" t="str">
        <f t="shared" si="78"/>
        <v>A</v>
      </c>
      <c r="CV14" s="1">
        <f t="shared" si="18"/>
        <v>4</v>
      </c>
      <c r="CW14" s="10">
        <v>2</v>
      </c>
      <c r="CX14" s="1">
        <f t="shared" si="79"/>
        <v>8</v>
      </c>
      <c r="CY14" s="18">
        <v>79.825000000000003</v>
      </c>
      <c r="CZ14" s="10" t="str">
        <f t="shared" si="80"/>
        <v>B+</v>
      </c>
      <c r="DA14" s="1">
        <f t="shared" si="19"/>
        <v>3.5</v>
      </c>
      <c r="DB14" s="10">
        <v>2</v>
      </c>
      <c r="DC14" s="1">
        <f t="shared" si="81"/>
        <v>7</v>
      </c>
      <c r="DD14" s="19">
        <v>85.95</v>
      </c>
      <c r="DE14" s="10" t="str">
        <f t="shared" si="82"/>
        <v>A</v>
      </c>
      <c r="DF14" s="1">
        <f t="shared" si="20"/>
        <v>4</v>
      </c>
      <c r="DG14" s="10">
        <v>2</v>
      </c>
      <c r="DH14" s="1">
        <f t="shared" si="83"/>
        <v>8</v>
      </c>
      <c r="DI14" s="5">
        <v>82</v>
      </c>
      <c r="DJ14" s="10" t="str">
        <f t="shared" si="84"/>
        <v>A</v>
      </c>
      <c r="DK14" s="1">
        <f t="shared" si="21"/>
        <v>4</v>
      </c>
      <c r="DL14" s="10">
        <v>2</v>
      </c>
      <c r="DM14" s="1">
        <f t="shared" si="85"/>
        <v>8</v>
      </c>
      <c r="DN14" s="20">
        <v>78</v>
      </c>
      <c r="DO14" s="10" t="str">
        <f t="shared" si="86"/>
        <v>B+</v>
      </c>
      <c r="DP14" s="1">
        <f t="shared" si="22"/>
        <v>3.5</v>
      </c>
      <c r="DQ14" s="10">
        <v>2</v>
      </c>
      <c r="DR14" s="1">
        <f t="shared" si="87"/>
        <v>7</v>
      </c>
      <c r="DS14" s="19">
        <v>91.55</v>
      </c>
      <c r="DT14" s="10" t="str">
        <f t="shared" si="88"/>
        <v>A</v>
      </c>
      <c r="DU14" s="1">
        <f t="shared" si="23"/>
        <v>4</v>
      </c>
      <c r="DV14" s="10">
        <v>4</v>
      </c>
      <c r="DW14" s="1">
        <f t="shared" si="89"/>
        <v>16</v>
      </c>
      <c r="DX14" s="16">
        <v>81.849999999999994</v>
      </c>
      <c r="DY14" s="10" t="str">
        <f t="shared" si="90"/>
        <v>A</v>
      </c>
      <c r="DZ14" s="1">
        <f t="shared" si="24"/>
        <v>4</v>
      </c>
      <c r="EA14" s="10">
        <v>3</v>
      </c>
      <c r="EB14" s="1">
        <f t="shared" si="91"/>
        <v>12</v>
      </c>
      <c r="EC14" s="19">
        <v>75.099999999999994</v>
      </c>
      <c r="ED14" s="10" t="str">
        <f t="shared" si="92"/>
        <v>B+</v>
      </c>
      <c r="EE14" s="1">
        <f t="shared" si="25"/>
        <v>3.5</v>
      </c>
      <c r="EF14" s="10">
        <v>3</v>
      </c>
      <c r="EG14" s="1">
        <f t="shared" si="93"/>
        <v>10.5</v>
      </c>
      <c r="EH14" s="6">
        <v>81.5</v>
      </c>
      <c r="EI14" s="10" t="str">
        <f t="shared" si="94"/>
        <v>A</v>
      </c>
      <c r="EJ14" s="1">
        <f t="shared" si="26"/>
        <v>4</v>
      </c>
      <c r="EK14" s="10">
        <v>3</v>
      </c>
      <c r="EL14" s="1">
        <f t="shared" si="95"/>
        <v>12</v>
      </c>
      <c r="EM14" s="18">
        <v>73.824666666666658</v>
      </c>
      <c r="EN14" s="10" t="str">
        <f t="shared" si="96"/>
        <v>B</v>
      </c>
      <c r="EO14" s="1">
        <f t="shared" si="27"/>
        <v>3</v>
      </c>
      <c r="EP14" s="10">
        <v>3</v>
      </c>
      <c r="EQ14" s="1">
        <f t="shared" si="97"/>
        <v>9</v>
      </c>
      <c r="ER14" s="7">
        <v>79.5</v>
      </c>
      <c r="ES14" s="10" t="str">
        <f t="shared" si="98"/>
        <v>B+</v>
      </c>
      <c r="ET14" s="1">
        <f t="shared" si="28"/>
        <v>3.5</v>
      </c>
      <c r="EU14" s="10">
        <v>2</v>
      </c>
      <c r="EV14" s="1">
        <f t="shared" si="99"/>
        <v>7</v>
      </c>
      <c r="EW14" s="5">
        <v>80.599999999999994</v>
      </c>
      <c r="EX14" s="10" t="str">
        <f t="shared" si="100"/>
        <v>A</v>
      </c>
      <c r="EY14" s="1">
        <f t="shared" si="29"/>
        <v>4</v>
      </c>
      <c r="EZ14" s="10">
        <v>3</v>
      </c>
      <c r="FA14" s="1">
        <f t="shared" si="101"/>
        <v>12</v>
      </c>
      <c r="FB14" s="19">
        <v>75</v>
      </c>
      <c r="FC14" s="10" t="str">
        <f t="shared" si="102"/>
        <v>B+</v>
      </c>
      <c r="FD14" s="1">
        <f t="shared" si="30"/>
        <v>3.5</v>
      </c>
      <c r="FE14" s="10">
        <v>2</v>
      </c>
      <c r="FF14" s="1">
        <f t="shared" si="103"/>
        <v>7</v>
      </c>
      <c r="FG14" s="16">
        <v>76.5</v>
      </c>
      <c r="FH14" s="10" t="str">
        <f t="shared" si="104"/>
        <v>B+</v>
      </c>
      <c r="FI14" s="1">
        <f t="shared" si="31"/>
        <v>3.5</v>
      </c>
      <c r="FJ14" s="10">
        <v>3</v>
      </c>
      <c r="FK14" s="1">
        <f t="shared" si="105"/>
        <v>10.5</v>
      </c>
      <c r="FL14" s="19">
        <v>80.933333333333337</v>
      </c>
      <c r="FM14" s="10" t="str">
        <f t="shared" si="106"/>
        <v>A</v>
      </c>
      <c r="FN14" s="1">
        <f t="shared" si="32"/>
        <v>4</v>
      </c>
      <c r="FO14" s="10">
        <v>3</v>
      </c>
      <c r="FP14" s="1">
        <f t="shared" si="107"/>
        <v>12</v>
      </c>
      <c r="FQ14" s="6">
        <v>76.67</v>
      </c>
      <c r="FR14" s="10" t="str">
        <f t="shared" si="108"/>
        <v>B+</v>
      </c>
      <c r="FS14" s="1">
        <f t="shared" si="109"/>
        <v>3.5</v>
      </c>
      <c r="FT14" s="10">
        <v>3</v>
      </c>
      <c r="FU14" s="1">
        <f t="shared" si="110"/>
        <v>10.5</v>
      </c>
      <c r="FV14" s="18">
        <v>76.900000000000006</v>
      </c>
      <c r="FW14" s="10" t="str">
        <f t="shared" si="111"/>
        <v>B+</v>
      </c>
      <c r="FX14" s="1">
        <f t="shared" si="33"/>
        <v>3.5</v>
      </c>
      <c r="FY14" s="10">
        <v>3</v>
      </c>
      <c r="FZ14" s="1">
        <f t="shared" si="112"/>
        <v>10.5</v>
      </c>
      <c r="GA14" s="7">
        <v>75</v>
      </c>
      <c r="GB14" s="10" t="str">
        <f t="shared" si="113"/>
        <v>B+</v>
      </c>
      <c r="GC14" s="1">
        <f t="shared" si="34"/>
        <v>3.5</v>
      </c>
      <c r="GD14" s="10">
        <v>2</v>
      </c>
      <c r="GE14" s="1">
        <f t="shared" si="114"/>
        <v>7</v>
      </c>
      <c r="GF14" s="5">
        <v>80.7</v>
      </c>
      <c r="GG14" s="10" t="str">
        <f t="shared" si="115"/>
        <v>A</v>
      </c>
      <c r="GH14" s="1">
        <f t="shared" si="35"/>
        <v>4</v>
      </c>
      <c r="GI14" s="10">
        <v>3</v>
      </c>
      <c r="GJ14" s="1">
        <f t="shared" si="116"/>
        <v>12</v>
      </c>
      <c r="GK14" s="5">
        <v>75.55</v>
      </c>
      <c r="GL14" s="10" t="str">
        <f t="shared" si="117"/>
        <v>B+</v>
      </c>
      <c r="GM14" s="1">
        <f t="shared" si="36"/>
        <v>3.5</v>
      </c>
      <c r="GN14" s="10">
        <v>2</v>
      </c>
      <c r="GO14" s="1">
        <f t="shared" si="118"/>
        <v>7</v>
      </c>
      <c r="GP14" s="19">
        <v>78.2</v>
      </c>
      <c r="GQ14" s="10" t="str">
        <f t="shared" si="119"/>
        <v>B+</v>
      </c>
      <c r="GR14" s="1">
        <f t="shared" si="37"/>
        <v>3.5</v>
      </c>
      <c r="GS14" s="10">
        <v>3</v>
      </c>
      <c r="GT14" s="1">
        <f t="shared" si="120"/>
        <v>10.5</v>
      </c>
      <c r="GU14" s="16">
        <v>73.14</v>
      </c>
      <c r="GV14" s="10" t="str">
        <f t="shared" si="121"/>
        <v>B</v>
      </c>
      <c r="GW14" s="1">
        <f t="shared" si="38"/>
        <v>3</v>
      </c>
      <c r="GX14" s="10">
        <v>4</v>
      </c>
      <c r="GY14" s="1">
        <f t="shared" si="122"/>
        <v>12</v>
      </c>
      <c r="GZ14" s="7">
        <v>74.25</v>
      </c>
      <c r="HA14" s="10" t="str">
        <f t="shared" si="123"/>
        <v>B</v>
      </c>
      <c r="HB14" s="1">
        <f t="shared" si="124"/>
        <v>3</v>
      </c>
      <c r="HC14" s="10">
        <v>4</v>
      </c>
      <c r="HD14" s="1">
        <f t="shared" si="125"/>
        <v>12</v>
      </c>
      <c r="HE14" s="6">
        <v>70.599999999999994</v>
      </c>
      <c r="HF14" s="10" t="str">
        <f t="shared" si="126"/>
        <v>B</v>
      </c>
      <c r="HG14" s="1">
        <f t="shared" si="39"/>
        <v>3</v>
      </c>
      <c r="HH14" s="10">
        <v>2</v>
      </c>
      <c r="HI14" s="1">
        <f t="shared" si="127"/>
        <v>6</v>
      </c>
      <c r="HJ14" s="18">
        <v>74.733333333333334</v>
      </c>
      <c r="HK14" s="10" t="str">
        <f t="shared" si="128"/>
        <v>B</v>
      </c>
      <c r="HL14" s="1">
        <f t="shared" si="40"/>
        <v>3</v>
      </c>
      <c r="HM14" s="10">
        <v>3</v>
      </c>
      <c r="HN14" s="1">
        <f t="shared" si="129"/>
        <v>9</v>
      </c>
      <c r="HO14" s="12">
        <v>77.775000000000006</v>
      </c>
      <c r="HP14" s="10" t="str">
        <f t="shared" si="130"/>
        <v>B+</v>
      </c>
      <c r="HQ14" s="1">
        <f t="shared" si="41"/>
        <v>3.5</v>
      </c>
      <c r="HR14" s="10">
        <v>3</v>
      </c>
      <c r="HS14" s="1">
        <f t="shared" si="131"/>
        <v>10.5</v>
      </c>
      <c r="HT14" s="10">
        <v>80.599999999999994</v>
      </c>
      <c r="HU14" s="10" t="str">
        <f t="shared" si="132"/>
        <v>A</v>
      </c>
      <c r="HV14" s="1">
        <f t="shared" si="133"/>
        <v>4</v>
      </c>
      <c r="HW14" s="10">
        <v>4</v>
      </c>
      <c r="HX14" s="1">
        <f t="shared" si="134"/>
        <v>16</v>
      </c>
      <c r="HY14" s="16">
        <v>76.55</v>
      </c>
      <c r="HZ14" s="10" t="str">
        <f t="shared" si="135"/>
        <v>B+</v>
      </c>
      <c r="IA14" s="1">
        <f t="shared" si="136"/>
        <v>3.5</v>
      </c>
      <c r="IB14" s="10">
        <v>2</v>
      </c>
      <c r="IC14" s="1">
        <f t="shared" si="137"/>
        <v>7</v>
      </c>
      <c r="ID14" s="7">
        <v>79.849999999999994</v>
      </c>
      <c r="IE14" s="10" t="str">
        <f t="shared" si="138"/>
        <v>B+</v>
      </c>
      <c r="IF14" s="1">
        <f t="shared" si="139"/>
        <v>3.5</v>
      </c>
      <c r="IG14" s="10">
        <v>3</v>
      </c>
      <c r="IH14" s="1">
        <f t="shared" si="140"/>
        <v>10.5</v>
      </c>
      <c r="II14" s="6">
        <v>80.599999999999994</v>
      </c>
      <c r="IJ14" s="10" t="str">
        <f t="shared" si="141"/>
        <v>A</v>
      </c>
      <c r="IK14" s="1">
        <f t="shared" si="142"/>
        <v>4</v>
      </c>
      <c r="IL14" s="10">
        <v>2</v>
      </c>
      <c r="IM14" s="1">
        <f t="shared" si="143"/>
        <v>8</v>
      </c>
      <c r="IN14" s="18">
        <v>75.05</v>
      </c>
      <c r="IO14" s="10" t="str">
        <f t="shared" si="144"/>
        <v>B+</v>
      </c>
      <c r="IP14" s="1">
        <f t="shared" si="145"/>
        <v>3.5</v>
      </c>
      <c r="IQ14" s="10">
        <v>2</v>
      </c>
      <c r="IR14" s="1">
        <f t="shared" si="146"/>
        <v>7</v>
      </c>
      <c r="IS14" s="10">
        <v>76.599999999999994</v>
      </c>
      <c r="IT14" s="10" t="str">
        <f t="shared" si="147"/>
        <v>B+</v>
      </c>
      <c r="IU14" s="1">
        <f t="shared" si="148"/>
        <v>3.5</v>
      </c>
      <c r="IV14" s="10">
        <v>4</v>
      </c>
      <c r="IW14" s="1">
        <f t="shared" si="149"/>
        <v>14</v>
      </c>
      <c r="IX14" s="10">
        <v>80.2</v>
      </c>
      <c r="IY14" s="10" t="str">
        <f t="shared" si="150"/>
        <v>A</v>
      </c>
      <c r="IZ14" s="1">
        <f t="shared" si="151"/>
        <v>4</v>
      </c>
      <c r="JA14" s="10">
        <v>4</v>
      </c>
      <c r="JB14" s="1">
        <f t="shared" si="152"/>
        <v>16</v>
      </c>
      <c r="JC14" s="2">
        <v>75</v>
      </c>
      <c r="JD14" s="2">
        <v>22</v>
      </c>
      <c r="JE14" s="2">
        <v>65.5</v>
      </c>
      <c r="JF14" s="2">
        <v>19</v>
      </c>
      <c r="JG14" s="2">
        <v>76.5</v>
      </c>
      <c r="JH14" s="2">
        <v>21</v>
      </c>
      <c r="JI14" s="2">
        <v>78.5</v>
      </c>
      <c r="JJ14" s="2">
        <v>21</v>
      </c>
      <c r="JK14" s="2">
        <v>76.5</v>
      </c>
      <c r="JL14" s="2">
        <v>21</v>
      </c>
      <c r="JM14" s="2">
        <v>60</v>
      </c>
      <c r="JN14" s="2">
        <v>19</v>
      </c>
      <c r="JO14" s="2">
        <v>62.5</v>
      </c>
      <c r="JP14" s="2">
        <v>17</v>
      </c>
      <c r="JQ14" s="2">
        <v>16</v>
      </c>
      <c r="JR14" s="2">
        <v>4</v>
      </c>
      <c r="JS14" s="2">
        <f t="shared" si="153"/>
        <v>510.5</v>
      </c>
      <c r="JT14" s="2">
        <f t="shared" si="153"/>
        <v>144</v>
      </c>
      <c r="JU14" s="3">
        <f t="shared" si="154"/>
        <v>3.5451388888888888</v>
      </c>
      <c r="JV14" s="2" t="str">
        <f t="shared" si="155"/>
        <v>Cum Laude</v>
      </c>
      <c r="JW14" s="2" t="str">
        <f t="shared" si="156"/>
        <v>Excellent</v>
      </c>
      <c r="JX14" s="23" t="s">
        <v>202</v>
      </c>
      <c r="JY14" s="23" t="s">
        <v>267</v>
      </c>
    </row>
    <row r="15" spans="1:285" x14ac:dyDescent="0.25">
      <c r="A15" s="55">
        <v>13</v>
      </c>
      <c r="B15" s="39" t="s">
        <v>32</v>
      </c>
      <c r="C15" s="25">
        <v>152111020</v>
      </c>
      <c r="D15" s="23" t="s">
        <v>166</v>
      </c>
      <c r="E15" s="27" t="s">
        <v>167</v>
      </c>
      <c r="F15" s="27" t="s">
        <v>220</v>
      </c>
      <c r="G15" s="2" t="s">
        <v>250</v>
      </c>
      <c r="H15" s="9">
        <v>88.100000000000009</v>
      </c>
      <c r="I15" s="10" t="str">
        <f t="shared" si="42"/>
        <v>A</v>
      </c>
      <c r="J15" s="1">
        <f t="shared" si="0"/>
        <v>4</v>
      </c>
      <c r="K15" s="10">
        <v>2</v>
      </c>
      <c r="L15" s="1">
        <f t="shared" si="43"/>
        <v>8</v>
      </c>
      <c r="M15" s="11">
        <v>77</v>
      </c>
      <c r="N15" s="10" t="str">
        <f t="shared" si="44"/>
        <v>B+</v>
      </c>
      <c r="O15" s="1">
        <f t="shared" si="1"/>
        <v>3.5</v>
      </c>
      <c r="P15" s="10">
        <v>3</v>
      </c>
      <c r="Q15" s="1">
        <f t="shared" si="45"/>
        <v>10.5</v>
      </c>
      <c r="R15" s="31">
        <v>74.666666666666671</v>
      </c>
      <c r="S15" s="10" t="str">
        <f t="shared" si="46"/>
        <v>B</v>
      </c>
      <c r="T15" s="1">
        <f t="shared" si="2"/>
        <v>3</v>
      </c>
      <c r="U15" s="10">
        <v>4</v>
      </c>
      <c r="V15" s="1">
        <f t="shared" si="47"/>
        <v>12</v>
      </c>
      <c r="W15" s="12">
        <v>80</v>
      </c>
      <c r="X15" s="10" t="str">
        <f t="shared" si="48"/>
        <v>A</v>
      </c>
      <c r="Y15" s="1">
        <f t="shared" si="3"/>
        <v>4</v>
      </c>
      <c r="Z15" s="10">
        <v>2</v>
      </c>
      <c r="AA15" s="1">
        <f t="shared" si="49"/>
        <v>8</v>
      </c>
      <c r="AB15" s="12">
        <v>71</v>
      </c>
      <c r="AC15" s="10" t="str">
        <f t="shared" si="50"/>
        <v>B</v>
      </c>
      <c r="AD15" s="1">
        <f t="shared" si="4"/>
        <v>3</v>
      </c>
      <c r="AE15" s="10">
        <v>4</v>
      </c>
      <c r="AF15" s="1">
        <f t="shared" si="51"/>
        <v>12</v>
      </c>
      <c r="AG15" s="12">
        <v>79.8</v>
      </c>
      <c r="AH15" s="10" t="str">
        <f t="shared" si="52"/>
        <v>B+</v>
      </c>
      <c r="AI15" s="1">
        <f t="shared" si="5"/>
        <v>3.5</v>
      </c>
      <c r="AJ15" s="10">
        <v>4</v>
      </c>
      <c r="AK15" s="1">
        <f t="shared" si="53"/>
        <v>14</v>
      </c>
      <c r="AL15" s="13">
        <v>76.566666666666663</v>
      </c>
      <c r="AM15" s="10" t="str">
        <f t="shared" si="54"/>
        <v>B+</v>
      </c>
      <c r="AN15" s="1">
        <f t="shared" si="6"/>
        <v>3.5</v>
      </c>
      <c r="AO15" s="10">
        <v>3</v>
      </c>
      <c r="AP15" s="1">
        <f t="shared" si="55"/>
        <v>10.5</v>
      </c>
      <c r="AQ15" s="12">
        <v>76.8</v>
      </c>
      <c r="AR15" s="10" t="str">
        <f t="shared" si="56"/>
        <v>B+</v>
      </c>
      <c r="AS15" s="1">
        <f t="shared" si="7"/>
        <v>3.5</v>
      </c>
      <c r="AT15" s="10">
        <v>3</v>
      </c>
      <c r="AU15" s="1">
        <f t="shared" si="57"/>
        <v>10.5</v>
      </c>
      <c r="AV15" s="11">
        <v>70</v>
      </c>
      <c r="AW15" s="10" t="str">
        <f t="shared" si="58"/>
        <v>B</v>
      </c>
      <c r="AX15" s="1">
        <f t="shared" si="8"/>
        <v>3</v>
      </c>
      <c r="AY15" s="10">
        <v>2</v>
      </c>
      <c r="AZ15" s="1">
        <f t="shared" si="59"/>
        <v>6</v>
      </c>
      <c r="BA15" s="12">
        <v>80.099999999999994</v>
      </c>
      <c r="BB15" s="10" t="str">
        <f t="shared" si="60"/>
        <v>A</v>
      </c>
      <c r="BC15" s="1">
        <f t="shared" si="9"/>
        <v>4</v>
      </c>
      <c r="BD15" s="10">
        <v>2</v>
      </c>
      <c r="BE15" s="1">
        <f t="shared" si="61"/>
        <v>8</v>
      </c>
      <c r="BF15" s="14">
        <v>77.8</v>
      </c>
      <c r="BG15" s="10" t="str">
        <f t="shared" si="62"/>
        <v>B+</v>
      </c>
      <c r="BH15" s="1">
        <f t="shared" si="10"/>
        <v>3.5</v>
      </c>
      <c r="BI15" s="10">
        <v>3</v>
      </c>
      <c r="BJ15" s="1">
        <f t="shared" si="63"/>
        <v>10.5</v>
      </c>
      <c r="BK15" s="15">
        <v>77.25</v>
      </c>
      <c r="BL15" s="10" t="str">
        <f t="shared" si="64"/>
        <v>B+</v>
      </c>
      <c r="BM15" s="1">
        <f t="shared" si="11"/>
        <v>3.5</v>
      </c>
      <c r="BN15" s="10">
        <v>2</v>
      </c>
      <c r="BO15" s="1">
        <f t="shared" si="65"/>
        <v>7</v>
      </c>
      <c r="BP15" s="12">
        <v>66.900000000000006</v>
      </c>
      <c r="BQ15" s="10" t="str">
        <f t="shared" si="66"/>
        <v>C+</v>
      </c>
      <c r="BR15" s="1">
        <f t="shared" si="12"/>
        <v>2.5</v>
      </c>
      <c r="BS15" s="10">
        <v>2</v>
      </c>
      <c r="BT15" s="1">
        <f t="shared" si="67"/>
        <v>5</v>
      </c>
      <c r="BU15" s="4">
        <v>70.199999999999989</v>
      </c>
      <c r="BV15" s="10" t="str">
        <f t="shared" si="68"/>
        <v>B</v>
      </c>
      <c r="BW15" s="1">
        <f t="shared" si="13"/>
        <v>3</v>
      </c>
      <c r="BX15" s="10">
        <v>3</v>
      </c>
      <c r="BY15" s="1">
        <f t="shared" si="69"/>
        <v>9</v>
      </c>
      <c r="BZ15" s="13">
        <v>70.683333333333337</v>
      </c>
      <c r="CA15" s="10" t="str">
        <f t="shared" si="70"/>
        <v>B</v>
      </c>
      <c r="CB15" s="1">
        <f t="shared" si="14"/>
        <v>3</v>
      </c>
      <c r="CC15" s="10">
        <v>2</v>
      </c>
      <c r="CD15" s="1">
        <f t="shared" si="71"/>
        <v>6</v>
      </c>
      <c r="CE15" s="19">
        <v>77.02000000000001</v>
      </c>
      <c r="CF15" s="10" t="str">
        <f t="shared" si="72"/>
        <v>B+</v>
      </c>
      <c r="CG15" s="1">
        <f t="shared" si="15"/>
        <v>3.5</v>
      </c>
      <c r="CH15" s="10">
        <v>4</v>
      </c>
      <c r="CI15" s="1">
        <f t="shared" si="73"/>
        <v>14</v>
      </c>
      <c r="CJ15" s="16">
        <v>82</v>
      </c>
      <c r="CK15" s="10" t="str">
        <f t="shared" si="74"/>
        <v>A</v>
      </c>
      <c r="CL15" s="1">
        <f t="shared" si="16"/>
        <v>4</v>
      </c>
      <c r="CM15" s="10">
        <v>4</v>
      </c>
      <c r="CN15" s="1">
        <f t="shared" si="75"/>
        <v>16</v>
      </c>
      <c r="CO15" s="19">
        <v>76.45</v>
      </c>
      <c r="CP15" s="10" t="str">
        <f t="shared" si="76"/>
        <v>B+</v>
      </c>
      <c r="CQ15" s="1">
        <f t="shared" si="17"/>
        <v>3.5</v>
      </c>
      <c r="CR15" s="10">
        <v>3</v>
      </c>
      <c r="CS15" s="1">
        <f t="shared" si="77"/>
        <v>10.5</v>
      </c>
      <c r="CT15" s="17">
        <v>73.202285714285708</v>
      </c>
      <c r="CU15" s="10" t="str">
        <f t="shared" si="78"/>
        <v>B</v>
      </c>
      <c r="CV15" s="1">
        <f t="shared" si="18"/>
        <v>3</v>
      </c>
      <c r="CW15" s="10">
        <v>2</v>
      </c>
      <c r="CX15" s="1">
        <f t="shared" si="79"/>
        <v>6</v>
      </c>
      <c r="CY15" s="18">
        <v>79.45</v>
      </c>
      <c r="CZ15" s="10" t="str">
        <f t="shared" si="80"/>
        <v>B+</v>
      </c>
      <c r="DA15" s="1">
        <f t="shared" si="19"/>
        <v>3.5</v>
      </c>
      <c r="DB15" s="10">
        <v>2</v>
      </c>
      <c r="DC15" s="1">
        <f t="shared" si="81"/>
        <v>7</v>
      </c>
      <c r="DD15" s="19">
        <v>84.449999999999989</v>
      </c>
      <c r="DE15" s="10" t="str">
        <f t="shared" si="82"/>
        <v>A</v>
      </c>
      <c r="DF15" s="1">
        <f t="shared" si="20"/>
        <v>4</v>
      </c>
      <c r="DG15" s="10">
        <v>2</v>
      </c>
      <c r="DH15" s="1">
        <f t="shared" si="83"/>
        <v>8</v>
      </c>
      <c r="DI15" s="5">
        <v>90.25</v>
      </c>
      <c r="DJ15" s="10" t="str">
        <f t="shared" si="84"/>
        <v>A</v>
      </c>
      <c r="DK15" s="1">
        <f t="shared" si="21"/>
        <v>4</v>
      </c>
      <c r="DL15" s="10">
        <v>2</v>
      </c>
      <c r="DM15" s="1">
        <f t="shared" si="85"/>
        <v>8</v>
      </c>
      <c r="DN15" s="20">
        <v>77</v>
      </c>
      <c r="DO15" s="10" t="str">
        <f t="shared" si="86"/>
        <v>B+</v>
      </c>
      <c r="DP15" s="1">
        <f t="shared" si="22"/>
        <v>3.5</v>
      </c>
      <c r="DQ15" s="10">
        <v>2</v>
      </c>
      <c r="DR15" s="1">
        <f t="shared" si="87"/>
        <v>7</v>
      </c>
      <c r="DS15" s="19">
        <v>76.699999999999989</v>
      </c>
      <c r="DT15" s="10" t="str">
        <f t="shared" si="88"/>
        <v>B+</v>
      </c>
      <c r="DU15" s="1">
        <f t="shared" si="23"/>
        <v>3.5</v>
      </c>
      <c r="DV15" s="10">
        <v>4</v>
      </c>
      <c r="DW15" s="1">
        <f t="shared" si="89"/>
        <v>14</v>
      </c>
      <c r="DX15" s="16">
        <v>76.600000000000009</v>
      </c>
      <c r="DY15" s="10" t="str">
        <f t="shared" si="90"/>
        <v>B+</v>
      </c>
      <c r="DZ15" s="1">
        <f t="shared" si="24"/>
        <v>3.5</v>
      </c>
      <c r="EA15" s="10">
        <v>3</v>
      </c>
      <c r="EB15" s="1">
        <f t="shared" si="91"/>
        <v>10.5</v>
      </c>
      <c r="EC15" s="19">
        <v>77.599999999999994</v>
      </c>
      <c r="ED15" s="10" t="str">
        <f t="shared" si="92"/>
        <v>B+</v>
      </c>
      <c r="EE15" s="1">
        <f t="shared" si="25"/>
        <v>3.5</v>
      </c>
      <c r="EF15" s="10">
        <v>3</v>
      </c>
      <c r="EG15" s="1">
        <f t="shared" si="93"/>
        <v>10.5</v>
      </c>
      <c r="EH15" s="6">
        <v>80.400000000000006</v>
      </c>
      <c r="EI15" s="10" t="str">
        <f t="shared" si="94"/>
        <v>A</v>
      </c>
      <c r="EJ15" s="1">
        <f t="shared" si="26"/>
        <v>4</v>
      </c>
      <c r="EK15" s="10">
        <v>3</v>
      </c>
      <c r="EL15" s="1">
        <f t="shared" si="95"/>
        <v>12</v>
      </c>
      <c r="EM15" s="18">
        <v>76.105999999999995</v>
      </c>
      <c r="EN15" s="10" t="str">
        <f t="shared" si="96"/>
        <v>B+</v>
      </c>
      <c r="EO15" s="1">
        <f t="shared" si="27"/>
        <v>3.5</v>
      </c>
      <c r="EP15" s="10">
        <v>3</v>
      </c>
      <c r="EQ15" s="1">
        <f t="shared" si="97"/>
        <v>10.5</v>
      </c>
      <c r="ER15" s="7">
        <v>78.099999999999994</v>
      </c>
      <c r="ES15" s="10" t="str">
        <f t="shared" si="98"/>
        <v>B+</v>
      </c>
      <c r="ET15" s="1">
        <f t="shared" si="28"/>
        <v>3.5</v>
      </c>
      <c r="EU15" s="10">
        <v>2</v>
      </c>
      <c r="EV15" s="1">
        <f t="shared" si="99"/>
        <v>7</v>
      </c>
      <c r="EW15" s="5">
        <v>80.5</v>
      </c>
      <c r="EX15" s="10" t="str">
        <f t="shared" si="100"/>
        <v>A</v>
      </c>
      <c r="EY15" s="1">
        <f t="shared" si="29"/>
        <v>4</v>
      </c>
      <c r="EZ15" s="10">
        <v>3</v>
      </c>
      <c r="FA15" s="1">
        <f t="shared" si="101"/>
        <v>12</v>
      </c>
      <c r="FB15" s="19">
        <v>77</v>
      </c>
      <c r="FC15" s="10" t="str">
        <f t="shared" si="102"/>
        <v>B+</v>
      </c>
      <c r="FD15" s="1">
        <f t="shared" si="30"/>
        <v>3.5</v>
      </c>
      <c r="FE15" s="10">
        <v>2</v>
      </c>
      <c r="FF15" s="1">
        <f t="shared" si="103"/>
        <v>7</v>
      </c>
      <c r="FG15" s="16">
        <v>74</v>
      </c>
      <c r="FH15" s="10" t="str">
        <f t="shared" si="104"/>
        <v>B</v>
      </c>
      <c r="FI15" s="1">
        <f t="shared" si="31"/>
        <v>3</v>
      </c>
      <c r="FJ15" s="10">
        <v>3</v>
      </c>
      <c r="FK15" s="1">
        <f t="shared" si="105"/>
        <v>9</v>
      </c>
      <c r="FL15" s="19">
        <v>78.266666666666666</v>
      </c>
      <c r="FM15" s="10" t="str">
        <f t="shared" si="106"/>
        <v>B+</v>
      </c>
      <c r="FN15" s="1">
        <f t="shared" si="32"/>
        <v>3.5</v>
      </c>
      <c r="FO15" s="10">
        <v>3</v>
      </c>
      <c r="FP15" s="1">
        <f t="shared" si="107"/>
        <v>10.5</v>
      </c>
      <c r="FQ15" s="6">
        <v>72.91</v>
      </c>
      <c r="FR15" s="10" t="str">
        <f t="shared" si="108"/>
        <v>B</v>
      </c>
      <c r="FS15" s="1">
        <f t="shared" si="109"/>
        <v>3</v>
      </c>
      <c r="FT15" s="10">
        <v>3</v>
      </c>
      <c r="FU15" s="1">
        <f t="shared" si="110"/>
        <v>9</v>
      </c>
      <c r="FV15" s="18">
        <v>75.099999999999994</v>
      </c>
      <c r="FW15" s="10" t="str">
        <f t="shared" si="111"/>
        <v>B+</v>
      </c>
      <c r="FX15" s="1">
        <f t="shared" si="33"/>
        <v>3.5</v>
      </c>
      <c r="FY15" s="10">
        <v>3</v>
      </c>
      <c r="FZ15" s="1">
        <f t="shared" si="112"/>
        <v>10.5</v>
      </c>
      <c r="GA15" s="7">
        <v>70.599999999999994</v>
      </c>
      <c r="GB15" s="10" t="str">
        <f t="shared" si="113"/>
        <v>B</v>
      </c>
      <c r="GC15" s="1">
        <f t="shared" si="34"/>
        <v>3</v>
      </c>
      <c r="GD15" s="10">
        <v>2</v>
      </c>
      <c r="GE15" s="1">
        <f t="shared" si="114"/>
        <v>6</v>
      </c>
      <c r="GF15" s="5">
        <v>77.900000000000006</v>
      </c>
      <c r="GG15" s="10" t="str">
        <f t="shared" si="115"/>
        <v>B+</v>
      </c>
      <c r="GH15" s="1">
        <f t="shared" si="35"/>
        <v>3.5</v>
      </c>
      <c r="GI15" s="10">
        <v>3</v>
      </c>
      <c r="GJ15" s="1">
        <f t="shared" si="116"/>
        <v>10.5</v>
      </c>
      <c r="GK15" s="5">
        <v>75.2</v>
      </c>
      <c r="GL15" s="10" t="str">
        <f t="shared" si="117"/>
        <v>B+</v>
      </c>
      <c r="GM15" s="1">
        <f t="shared" si="36"/>
        <v>3.5</v>
      </c>
      <c r="GN15" s="10">
        <v>2</v>
      </c>
      <c r="GO15" s="1">
        <f t="shared" si="118"/>
        <v>7</v>
      </c>
      <c r="GP15" s="19">
        <v>74.2</v>
      </c>
      <c r="GQ15" s="10" t="str">
        <f t="shared" si="119"/>
        <v>B</v>
      </c>
      <c r="GR15" s="1">
        <f t="shared" si="37"/>
        <v>3</v>
      </c>
      <c r="GS15" s="10">
        <v>3</v>
      </c>
      <c r="GT15" s="1">
        <f t="shared" si="120"/>
        <v>9</v>
      </c>
      <c r="GU15" s="16">
        <v>78.66</v>
      </c>
      <c r="GV15" s="10" t="str">
        <f t="shared" si="121"/>
        <v>B+</v>
      </c>
      <c r="GW15" s="1">
        <f t="shared" si="38"/>
        <v>3.5</v>
      </c>
      <c r="GX15" s="10">
        <v>4</v>
      </c>
      <c r="GY15" s="1">
        <f t="shared" si="122"/>
        <v>14</v>
      </c>
      <c r="GZ15" s="7">
        <v>74.25</v>
      </c>
      <c r="HA15" s="10" t="str">
        <f t="shared" si="123"/>
        <v>B</v>
      </c>
      <c r="HB15" s="1">
        <f t="shared" si="124"/>
        <v>3</v>
      </c>
      <c r="HC15" s="10">
        <v>4</v>
      </c>
      <c r="HD15" s="1">
        <f t="shared" si="125"/>
        <v>12</v>
      </c>
      <c r="HE15" s="6">
        <v>77.275000000000006</v>
      </c>
      <c r="HF15" s="10" t="str">
        <f t="shared" si="126"/>
        <v>B+</v>
      </c>
      <c r="HG15" s="1">
        <f t="shared" si="39"/>
        <v>3.5</v>
      </c>
      <c r="HH15" s="10">
        <v>2</v>
      </c>
      <c r="HI15" s="1">
        <f t="shared" si="127"/>
        <v>7</v>
      </c>
      <c r="HJ15" s="18">
        <v>73.45</v>
      </c>
      <c r="HK15" s="10" t="str">
        <f t="shared" si="128"/>
        <v>B</v>
      </c>
      <c r="HL15" s="1">
        <f t="shared" si="40"/>
        <v>3</v>
      </c>
      <c r="HM15" s="10">
        <v>3</v>
      </c>
      <c r="HN15" s="1">
        <f t="shared" si="129"/>
        <v>9</v>
      </c>
      <c r="HO15" s="12">
        <v>71.174999999999997</v>
      </c>
      <c r="HP15" s="10" t="str">
        <f t="shared" si="130"/>
        <v>B</v>
      </c>
      <c r="HQ15" s="1">
        <f t="shared" si="41"/>
        <v>3</v>
      </c>
      <c r="HR15" s="10">
        <v>3</v>
      </c>
      <c r="HS15" s="1">
        <f t="shared" si="131"/>
        <v>9</v>
      </c>
      <c r="HT15" s="10">
        <v>78.8</v>
      </c>
      <c r="HU15" s="10" t="str">
        <f t="shared" si="132"/>
        <v>B+</v>
      </c>
      <c r="HV15" s="1">
        <f t="shared" si="133"/>
        <v>3.5</v>
      </c>
      <c r="HW15" s="10">
        <v>4</v>
      </c>
      <c r="HX15" s="1">
        <f t="shared" si="134"/>
        <v>14</v>
      </c>
      <c r="HY15" s="16">
        <v>77.150000000000006</v>
      </c>
      <c r="HZ15" s="10" t="str">
        <f t="shared" si="135"/>
        <v>B+</v>
      </c>
      <c r="IA15" s="1">
        <f t="shared" si="136"/>
        <v>3.5</v>
      </c>
      <c r="IB15" s="10">
        <v>2</v>
      </c>
      <c r="IC15" s="1">
        <f t="shared" si="137"/>
        <v>7</v>
      </c>
      <c r="ID15" s="7">
        <v>78</v>
      </c>
      <c r="IE15" s="10" t="str">
        <f t="shared" si="138"/>
        <v>B+</v>
      </c>
      <c r="IF15" s="1">
        <f t="shared" si="139"/>
        <v>3.5</v>
      </c>
      <c r="IG15" s="10">
        <v>3</v>
      </c>
      <c r="IH15" s="1">
        <f t="shared" si="140"/>
        <v>10.5</v>
      </c>
      <c r="II15" s="6">
        <v>78.8</v>
      </c>
      <c r="IJ15" s="10" t="str">
        <f t="shared" si="141"/>
        <v>B+</v>
      </c>
      <c r="IK15" s="1">
        <f t="shared" si="142"/>
        <v>3.5</v>
      </c>
      <c r="IL15" s="10">
        <v>2</v>
      </c>
      <c r="IM15" s="1">
        <f t="shared" si="143"/>
        <v>7</v>
      </c>
      <c r="IN15" s="18">
        <v>78.2</v>
      </c>
      <c r="IO15" s="10" t="str">
        <f t="shared" si="144"/>
        <v>B+</v>
      </c>
      <c r="IP15" s="1">
        <f t="shared" si="145"/>
        <v>3.5</v>
      </c>
      <c r="IQ15" s="10">
        <v>2</v>
      </c>
      <c r="IR15" s="1">
        <f t="shared" si="146"/>
        <v>7</v>
      </c>
      <c r="IS15" s="10">
        <v>78</v>
      </c>
      <c r="IT15" s="10" t="str">
        <f t="shared" si="147"/>
        <v>B+</v>
      </c>
      <c r="IU15" s="1">
        <f t="shared" si="148"/>
        <v>3.5</v>
      </c>
      <c r="IV15" s="10">
        <v>4</v>
      </c>
      <c r="IW15" s="1">
        <f t="shared" si="149"/>
        <v>14</v>
      </c>
      <c r="IX15" s="10">
        <v>80.5</v>
      </c>
      <c r="IY15" s="10" t="str">
        <f t="shared" si="150"/>
        <v>A</v>
      </c>
      <c r="IZ15" s="1">
        <f t="shared" si="151"/>
        <v>4</v>
      </c>
      <c r="JA15" s="10">
        <v>4</v>
      </c>
      <c r="JB15" s="1">
        <f t="shared" si="152"/>
        <v>16</v>
      </c>
      <c r="JC15" s="2">
        <v>75</v>
      </c>
      <c r="JD15" s="2">
        <v>22</v>
      </c>
      <c r="JE15" s="2">
        <v>62</v>
      </c>
      <c r="JF15" s="2">
        <v>19</v>
      </c>
      <c r="JG15" s="2">
        <v>76.5</v>
      </c>
      <c r="JH15" s="2">
        <v>21</v>
      </c>
      <c r="JI15" s="2">
        <v>76.5</v>
      </c>
      <c r="JJ15" s="2">
        <v>21</v>
      </c>
      <c r="JK15" s="2">
        <v>69.5</v>
      </c>
      <c r="JL15" s="2">
        <v>21</v>
      </c>
      <c r="JM15" s="2">
        <v>60</v>
      </c>
      <c r="JN15" s="2">
        <v>19</v>
      </c>
      <c r="JO15" s="2">
        <v>59.5</v>
      </c>
      <c r="JP15" s="2">
        <v>17</v>
      </c>
      <c r="JQ15" s="2">
        <v>16</v>
      </c>
      <c r="JR15" s="2">
        <v>4</v>
      </c>
      <c r="JS15" s="2">
        <f t="shared" si="153"/>
        <v>495</v>
      </c>
      <c r="JT15" s="2">
        <f t="shared" si="153"/>
        <v>144</v>
      </c>
      <c r="JU15" s="3">
        <f t="shared" si="154"/>
        <v>3.4375</v>
      </c>
      <c r="JV15" s="2" t="str">
        <f t="shared" si="155"/>
        <v>Sangat Memuaskan</v>
      </c>
      <c r="JW15" s="2" t="str">
        <f t="shared" si="156"/>
        <v>Highly Satisfactory</v>
      </c>
      <c r="JX15" s="23" t="s">
        <v>207</v>
      </c>
      <c r="JY15" s="23" t="s">
        <v>268</v>
      </c>
    </row>
    <row r="16" spans="1:285" x14ac:dyDescent="0.25">
      <c r="A16" s="55">
        <v>14</v>
      </c>
      <c r="B16" s="22" t="s">
        <v>33</v>
      </c>
      <c r="C16" s="25">
        <v>152111021</v>
      </c>
      <c r="D16" s="25" t="s">
        <v>134</v>
      </c>
      <c r="E16" s="27" t="s">
        <v>176</v>
      </c>
      <c r="F16" s="27" t="s">
        <v>219</v>
      </c>
      <c r="G16" s="2" t="s">
        <v>234</v>
      </c>
      <c r="H16" s="9">
        <v>70.5</v>
      </c>
      <c r="I16" s="10" t="str">
        <f t="shared" si="42"/>
        <v>B</v>
      </c>
      <c r="J16" s="1">
        <f t="shared" si="0"/>
        <v>3</v>
      </c>
      <c r="K16" s="10">
        <v>2</v>
      </c>
      <c r="L16" s="1">
        <f t="shared" si="43"/>
        <v>6</v>
      </c>
      <c r="M16" s="11">
        <v>70.125</v>
      </c>
      <c r="N16" s="10" t="str">
        <f t="shared" si="44"/>
        <v>B</v>
      </c>
      <c r="O16" s="1">
        <f t="shared" si="1"/>
        <v>3</v>
      </c>
      <c r="P16" s="10">
        <v>3</v>
      </c>
      <c r="Q16" s="1">
        <f t="shared" si="45"/>
        <v>9</v>
      </c>
      <c r="R16" s="31">
        <v>70.908333333333331</v>
      </c>
      <c r="S16" s="10" t="str">
        <f t="shared" si="46"/>
        <v>B</v>
      </c>
      <c r="T16" s="1">
        <f t="shared" si="2"/>
        <v>3</v>
      </c>
      <c r="U16" s="10">
        <v>4</v>
      </c>
      <c r="V16" s="1">
        <f t="shared" si="47"/>
        <v>12</v>
      </c>
      <c r="W16" s="12">
        <v>80</v>
      </c>
      <c r="X16" s="10" t="str">
        <f t="shared" si="48"/>
        <v>A</v>
      </c>
      <c r="Y16" s="1">
        <f t="shared" si="3"/>
        <v>4</v>
      </c>
      <c r="Z16" s="10">
        <v>2</v>
      </c>
      <c r="AA16" s="1">
        <f t="shared" si="49"/>
        <v>8</v>
      </c>
      <c r="AB16" s="12">
        <v>66</v>
      </c>
      <c r="AC16" s="10" t="str">
        <f t="shared" si="50"/>
        <v>C+</v>
      </c>
      <c r="AD16" s="1">
        <f t="shared" si="4"/>
        <v>2.5</v>
      </c>
      <c r="AE16" s="10">
        <v>4</v>
      </c>
      <c r="AF16" s="1">
        <f t="shared" si="51"/>
        <v>10</v>
      </c>
      <c r="AG16" s="12">
        <v>63</v>
      </c>
      <c r="AH16" s="10" t="str">
        <f t="shared" si="52"/>
        <v>C</v>
      </c>
      <c r="AI16" s="1">
        <f t="shared" si="5"/>
        <v>2</v>
      </c>
      <c r="AJ16" s="10">
        <v>4</v>
      </c>
      <c r="AK16" s="1">
        <f t="shared" si="53"/>
        <v>8</v>
      </c>
      <c r="AL16" s="13">
        <v>80.433333333333337</v>
      </c>
      <c r="AM16" s="10" t="str">
        <f t="shared" si="54"/>
        <v>A</v>
      </c>
      <c r="AN16" s="1">
        <f t="shared" si="6"/>
        <v>4</v>
      </c>
      <c r="AO16" s="10">
        <v>3</v>
      </c>
      <c r="AP16" s="1">
        <f t="shared" si="55"/>
        <v>12</v>
      </c>
      <c r="AQ16" s="12">
        <v>75.2</v>
      </c>
      <c r="AR16" s="10" t="str">
        <f t="shared" si="56"/>
        <v>B+</v>
      </c>
      <c r="AS16" s="1">
        <f t="shared" si="7"/>
        <v>3.5</v>
      </c>
      <c r="AT16" s="10">
        <v>3</v>
      </c>
      <c r="AU16" s="1">
        <f t="shared" si="57"/>
        <v>10.5</v>
      </c>
      <c r="AV16" s="11">
        <v>75</v>
      </c>
      <c r="AW16" s="10" t="str">
        <f t="shared" si="58"/>
        <v>B+</v>
      </c>
      <c r="AX16" s="1">
        <f t="shared" si="8"/>
        <v>3.5</v>
      </c>
      <c r="AY16" s="10">
        <v>2</v>
      </c>
      <c r="AZ16" s="1">
        <f t="shared" si="59"/>
        <v>7</v>
      </c>
      <c r="BA16" s="12">
        <v>80.099999999999994</v>
      </c>
      <c r="BB16" s="10" t="str">
        <f t="shared" si="60"/>
        <v>A</v>
      </c>
      <c r="BC16" s="1">
        <f t="shared" si="9"/>
        <v>4</v>
      </c>
      <c r="BD16" s="10">
        <v>2</v>
      </c>
      <c r="BE16" s="1">
        <f t="shared" si="61"/>
        <v>8</v>
      </c>
      <c r="BF16" s="14">
        <v>77.25</v>
      </c>
      <c r="BG16" s="10" t="str">
        <f t="shared" si="62"/>
        <v>B+</v>
      </c>
      <c r="BH16" s="1">
        <f t="shared" si="10"/>
        <v>3.5</v>
      </c>
      <c r="BI16" s="10">
        <v>3</v>
      </c>
      <c r="BJ16" s="1">
        <f t="shared" si="63"/>
        <v>10.5</v>
      </c>
      <c r="BK16" s="15">
        <v>69</v>
      </c>
      <c r="BL16" s="10" t="str">
        <f t="shared" si="64"/>
        <v>C+</v>
      </c>
      <c r="BM16" s="1">
        <f t="shared" si="11"/>
        <v>2.5</v>
      </c>
      <c r="BN16" s="10">
        <v>2</v>
      </c>
      <c r="BO16" s="1">
        <f t="shared" si="65"/>
        <v>5</v>
      </c>
      <c r="BP16" s="12">
        <v>63.100000000000009</v>
      </c>
      <c r="BQ16" s="10" t="str">
        <f t="shared" si="66"/>
        <v>C</v>
      </c>
      <c r="BR16" s="1">
        <f t="shared" si="12"/>
        <v>2</v>
      </c>
      <c r="BS16" s="10">
        <v>2</v>
      </c>
      <c r="BT16" s="1">
        <f t="shared" si="67"/>
        <v>4</v>
      </c>
      <c r="BU16" s="4">
        <v>72.3</v>
      </c>
      <c r="BV16" s="10" t="str">
        <f t="shared" si="68"/>
        <v>B</v>
      </c>
      <c r="BW16" s="1">
        <f t="shared" si="13"/>
        <v>3</v>
      </c>
      <c r="BX16" s="10">
        <v>3</v>
      </c>
      <c r="BY16" s="1">
        <f t="shared" si="69"/>
        <v>9</v>
      </c>
      <c r="BZ16" s="13">
        <v>70.683333333333337</v>
      </c>
      <c r="CA16" s="10" t="str">
        <f t="shared" si="70"/>
        <v>B</v>
      </c>
      <c r="CB16" s="1">
        <f t="shared" si="14"/>
        <v>3</v>
      </c>
      <c r="CC16" s="10">
        <v>2</v>
      </c>
      <c r="CD16" s="1">
        <f t="shared" si="71"/>
        <v>6</v>
      </c>
      <c r="CE16" s="19">
        <v>78.724999999999994</v>
      </c>
      <c r="CF16" s="10" t="str">
        <f t="shared" si="72"/>
        <v>B+</v>
      </c>
      <c r="CG16" s="1">
        <f t="shared" si="15"/>
        <v>3.5</v>
      </c>
      <c r="CH16" s="10">
        <v>4</v>
      </c>
      <c r="CI16" s="1">
        <f t="shared" si="73"/>
        <v>14</v>
      </c>
      <c r="CJ16" s="16">
        <v>79.55</v>
      </c>
      <c r="CK16" s="10" t="str">
        <f t="shared" si="74"/>
        <v>B+</v>
      </c>
      <c r="CL16" s="1">
        <f t="shared" si="16"/>
        <v>3.5</v>
      </c>
      <c r="CM16" s="10">
        <v>4</v>
      </c>
      <c r="CN16" s="1">
        <f t="shared" si="75"/>
        <v>14</v>
      </c>
      <c r="CO16" s="19">
        <v>78.325000000000003</v>
      </c>
      <c r="CP16" s="10" t="str">
        <f t="shared" si="76"/>
        <v>B+</v>
      </c>
      <c r="CQ16" s="1">
        <f t="shared" si="17"/>
        <v>3.5</v>
      </c>
      <c r="CR16" s="10">
        <v>3</v>
      </c>
      <c r="CS16" s="1">
        <f t="shared" si="77"/>
        <v>10.5</v>
      </c>
      <c r="CT16" s="17">
        <v>81.320857142857136</v>
      </c>
      <c r="CU16" s="10" t="str">
        <f t="shared" si="78"/>
        <v>A</v>
      </c>
      <c r="CV16" s="1">
        <f t="shared" si="18"/>
        <v>4</v>
      </c>
      <c r="CW16" s="10">
        <v>2</v>
      </c>
      <c r="CX16" s="1">
        <f t="shared" si="79"/>
        <v>8</v>
      </c>
      <c r="CY16" s="18">
        <v>78.025000000000006</v>
      </c>
      <c r="CZ16" s="10" t="str">
        <f t="shared" si="80"/>
        <v>B+</v>
      </c>
      <c r="DA16" s="1">
        <f t="shared" si="19"/>
        <v>3.5</v>
      </c>
      <c r="DB16" s="10">
        <v>2</v>
      </c>
      <c r="DC16" s="1">
        <f t="shared" si="81"/>
        <v>7</v>
      </c>
      <c r="DD16" s="19">
        <v>85.5</v>
      </c>
      <c r="DE16" s="10" t="str">
        <f t="shared" si="82"/>
        <v>A</v>
      </c>
      <c r="DF16" s="1">
        <f t="shared" si="20"/>
        <v>4</v>
      </c>
      <c r="DG16" s="10">
        <v>2</v>
      </c>
      <c r="DH16" s="1">
        <f t="shared" si="83"/>
        <v>8</v>
      </c>
      <c r="DI16" s="5">
        <v>76.5</v>
      </c>
      <c r="DJ16" s="10" t="str">
        <f t="shared" si="84"/>
        <v>B+</v>
      </c>
      <c r="DK16" s="1">
        <f t="shared" si="21"/>
        <v>3.5</v>
      </c>
      <c r="DL16" s="10">
        <v>2</v>
      </c>
      <c r="DM16" s="1">
        <f t="shared" si="85"/>
        <v>7</v>
      </c>
      <c r="DN16" s="20">
        <v>81</v>
      </c>
      <c r="DO16" s="10" t="str">
        <f t="shared" si="86"/>
        <v>A</v>
      </c>
      <c r="DP16" s="1">
        <f t="shared" si="22"/>
        <v>4</v>
      </c>
      <c r="DQ16" s="10">
        <v>2</v>
      </c>
      <c r="DR16" s="1">
        <f t="shared" si="87"/>
        <v>8</v>
      </c>
      <c r="DS16" s="19">
        <v>73.400000000000006</v>
      </c>
      <c r="DT16" s="10" t="str">
        <f t="shared" si="88"/>
        <v>B</v>
      </c>
      <c r="DU16" s="1">
        <f t="shared" si="23"/>
        <v>3</v>
      </c>
      <c r="DV16" s="10">
        <v>4</v>
      </c>
      <c r="DW16" s="1">
        <f t="shared" si="89"/>
        <v>12</v>
      </c>
      <c r="DX16" s="16">
        <v>77</v>
      </c>
      <c r="DY16" s="10" t="str">
        <f t="shared" si="90"/>
        <v>B+</v>
      </c>
      <c r="DZ16" s="1">
        <f t="shared" si="24"/>
        <v>3.5</v>
      </c>
      <c r="EA16" s="10">
        <v>3</v>
      </c>
      <c r="EB16" s="1">
        <f t="shared" si="91"/>
        <v>10.5</v>
      </c>
      <c r="EC16" s="19">
        <v>75.5</v>
      </c>
      <c r="ED16" s="10" t="str">
        <f t="shared" si="92"/>
        <v>B+</v>
      </c>
      <c r="EE16" s="1">
        <f t="shared" si="25"/>
        <v>3.5</v>
      </c>
      <c r="EF16" s="10">
        <v>3</v>
      </c>
      <c r="EG16" s="1">
        <f t="shared" si="93"/>
        <v>10.5</v>
      </c>
      <c r="EH16" s="6">
        <v>80.2</v>
      </c>
      <c r="EI16" s="10" t="str">
        <f t="shared" si="94"/>
        <v>A</v>
      </c>
      <c r="EJ16" s="1">
        <f t="shared" si="26"/>
        <v>4</v>
      </c>
      <c r="EK16" s="10">
        <v>3</v>
      </c>
      <c r="EL16" s="1">
        <f t="shared" si="95"/>
        <v>12</v>
      </c>
      <c r="EM16" s="18">
        <v>75.546888888888887</v>
      </c>
      <c r="EN16" s="10" t="str">
        <f t="shared" si="96"/>
        <v>B+</v>
      </c>
      <c r="EO16" s="1">
        <f t="shared" si="27"/>
        <v>3.5</v>
      </c>
      <c r="EP16" s="10">
        <v>3</v>
      </c>
      <c r="EQ16" s="1">
        <f t="shared" si="97"/>
        <v>10.5</v>
      </c>
      <c r="ER16" s="7">
        <v>78.3</v>
      </c>
      <c r="ES16" s="10" t="str">
        <f t="shared" si="98"/>
        <v>B+</v>
      </c>
      <c r="ET16" s="1">
        <f t="shared" si="28"/>
        <v>3.5</v>
      </c>
      <c r="EU16" s="10">
        <v>2</v>
      </c>
      <c r="EV16" s="1">
        <f t="shared" si="99"/>
        <v>7</v>
      </c>
      <c r="EW16" s="5">
        <v>81.2</v>
      </c>
      <c r="EX16" s="10" t="str">
        <f t="shared" si="100"/>
        <v>A</v>
      </c>
      <c r="EY16" s="1">
        <f t="shared" si="29"/>
        <v>4</v>
      </c>
      <c r="EZ16" s="10">
        <v>3</v>
      </c>
      <c r="FA16" s="1">
        <f t="shared" si="101"/>
        <v>12</v>
      </c>
      <c r="FB16" s="19">
        <v>79</v>
      </c>
      <c r="FC16" s="10" t="str">
        <f t="shared" si="102"/>
        <v>B+</v>
      </c>
      <c r="FD16" s="1">
        <f t="shared" si="30"/>
        <v>3.5</v>
      </c>
      <c r="FE16" s="10">
        <v>2</v>
      </c>
      <c r="FF16" s="1">
        <f t="shared" si="103"/>
        <v>7</v>
      </c>
      <c r="FG16" s="16">
        <v>72.5</v>
      </c>
      <c r="FH16" s="10" t="str">
        <f t="shared" si="104"/>
        <v>B</v>
      </c>
      <c r="FI16" s="1">
        <f t="shared" si="31"/>
        <v>3</v>
      </c>
      <c r="FJ16" s="10">
        <v>3</v>
      </c>
      <c r="FK16" s="1">
        <f t="shared" si="105"/>
        <v>9</v>
      </c>
      <c r="FL16" s="19">
        <v>77.866666666666674</v>
      </c>
      <c r="FM16" s="10" t="str">
        <f t="shared" si="106"/>
        <v>B+</v>
      </c>
      <c r="FN16" s="1">
        <f t="shared" si="32"/>
        <v>3.5</v>
      </c>
      <c r="FO16" s="10">
        <v>3</v>
      </c>
      <c r="FP16" s="1">
        <f t="shared" si="107"/>
        <v>10.5</v>
      </c>
      <c r="FQ16" s="6">
        <v>76.83</v>
      </c>
      <c r="FR16" s="10" t="str">
        <f t="shared" si="108"/>
        <v>B+</v>
      </c>
      <c r="FS16" s="1">
        <f t="shared" si="109"/>
        <v>3.5</v>
      </c>
      <c r="FT16" s="10">
        <v>3</v>
      </c>
      <c r="FU16" s="1">
        <f t="shared" si="110"/>
        <v>10.5</v>
      </c>
      <c r="FV16" s="18">
        <v>76</v>
      </c>
      <c r="FW16" s="10" t="str">
        <f t="shared" si="111"/>
        <v>B+</v>
      </c>
      <c r="FX16" s="1">
        <f t="shared" si="33"/>
        <v>3.5</v>
      </c>
      <c r="FY16" s="10">
        <v>3</v>
      </c>
      <c r="FZ16" s="1">
        <f t="shared" si="112"/>
        <v>10.5</v>
      </c>
      <c r="GA16" s="7">
        <v>78.5</v>
      </c>
      <c r="GB16" s="10" t="str">
        <f t="shared" si="113"/>
        <v>B+</v>
      </c>
      <c r="GC16" s="1">
        <f t="shared" si="34"/>
        <v>3.5</v>
      </c>
      <c r="GD16" s="10">
        <v>2</v>
      </c>
      <c r="GE16" s="1">
        <f t="shared" si="114"/>
        <v>7</v>
      </c>
      <c r="GF16" s="5">
        <v>80.900000000000006</v>
      </c>
      <c r="GG16" s="10" t="str">
        <f t="shared" si="115"/>
        <v>A</v>
      </c>
      <c r="GH16" s="1">
        <f t="shared" si="35"/>
        <v>4</v>
      </c>
      <c r="GI16" s="10">
        <v>3</v>
      </c>
      <c r="GJ16" s="1">
        <f t="shared" si="116"/>
        <v>12</v>
      </c>
      <c r="GK16" s="5">
        <v>76</v>
      </c>
      <c r="GL16" s="10" t="str">
        <f t="shared" si="117"/>
        <v>B+</v>
      </c>
      <c r="GM16" s="1">
        <f t="shared" si="36"/>
        <v>3.5</v>
      </c>
      <c r="GN16" s="10">
        <v>2</v>
      </c>
      <c r="GO16" s="1">
        <f t="shared" si="118"/>
        <v>7</v>
      </c>
      <c r="GP16" s="19">
        <v>77.599999999999994</v>
      </c>
      <c r="GQ16" s="10" t="str">
        <f t="shared" si="119"/>
        <v>B+</v>
      </c>
      <c r="GR16" s="1">
        <f t="shared" si="37"/>
        <v>3.5</v>
      </c>
      <c r="GS16" s="10">
        <v>3</v>
      </c>
      <c r="GT16" s="1">
        <f t="shared" si="120"/>
        <v>10.5</v>
      </c>
      <c r="GU16" s="16">
        <v>76.7</v>
      </c>
      <c r="GV16" s="10" t="str">
        <f t="shared" si="121"/>
        <v>B+</v>
      </c>
      <c r="GW16" s="1">
        <f t="shared" si="38"/>
        <v>3.5</v>
      </c>
      <c r="GX16" s="10">
        <v>4</v>
      </c>
      <c r="GY16" s="1">
        <f t="shared" si="122"/>
        <v>14</v>
      </c>
      <c r="GZ16" s="7">
        <v>74.25</v>
      </c>
      <c r="HA16" s="10" t="str">
        <f t="shared" si="123"/>
        <v>B</v>
      </c>
      <c r="HB16" s="1">
        <f t="shared" si="124"/>
        <v>3</v>
      </c>
      <c r="HC16" s="10">
        <v>4</v>
      </c>
      <c r="HD16" s="1">
        <f t="shared" si="125"/>
        <v>12</v>
      </c>
      <c r="HE16" s="6">
        <v>75.75</v>
      </c>
      <c r="HF16" s="10" t="str">
        <f t="shared" si="126"/>
        <v>B+</v>
      </c>
      <c r="HG16" s="1">
        <f t="shared" si="39"/>
        <v>3.5</v>
      </c>
      <c r="HH16" s="10">
        <v>2</v>
      </c>
      <c r="HI16" s="1">
        <f t="shared" si="127"/>
        <v>7</v>
      </c>
      <c r="HJ16" s="18">
        <v>75.783333333333331</v>
      </c>
      <c r="HK16" s="10" t="str">
        <f t="shared" si="128"/>
        <v>B+</v>
      </c>
      <c r="HL16" s="1">
        <f t="shared" si="40"/>
        <v>3.5</v>
      </c>
      <c r="HM16" s="10">
        <v>3</v>
      </c>
      <c r="HN16" s="1">
        <f t="shared" si="129"/>
        <v>10.5</v>
      </c>
      <c r="HO16" s="12">
        <v>78.775000000000006</v>
      </c>
      <c r="HP16" s="10" t="str">
        <f t="shared" si="130"/>
        <v>B+</v>
      </c>
      <c r="HQ16" s="1">
        <f t="shared" si="41"/>
        <v>3.5</v>
      </c>
      <c r="HR16" s="10">
        <v>3</v>
      </c>
      <c r="HS16" s="1">
        <f t="shared" si="131"/>
        <v>10.5</v>
      </c>
      <c r="HT16" s="10">
        <v>81.8</v>
      </c>
      <c r="HU16" s="10" t="str">
        <f t="shared" si="132"/>
        <v>A</v>
      </c>
      <c r="HV16" s="1">
        <f t="shared" si="133"/>
        <v>4</v>
      </c>
      <c r="HW16" s="10">
        <v>4</v>
      </c>
      <c r="HX16" s="1">
        <f t="shared" si="134"/>
        <v>16</v>
      </c>
      <c r="HY16" s="16">
        <v>81.150000000000006</v>
      </c>
      <c r="HZ16" s="10" t="str">
        <f t="shared" si="135"/>
        <v>A</v>
      </c>
      <c r="IA16" s="1">
        <f t="shared" si="136"/>
        <v>4</v>
      </c>
      <c r="IB16" s="10">
        <v>2</v>
      </c>
      <c r="IC16" s="1">
        <f t="shared" si="137"/>
        <v>8</v>
      </c>
      <c r="ID16" s="7">
        <v>76.45</v>
      </c>
      <c r="IE16" s="10" t="str">
        <f t="shared" si="138"/>
        <v>B+</v>
      </c>
      <c r="IF16" s="1">
        <f t="shared" si="139"/>
        <v>3.5</v>
      </c>
      <c r="IG16" s="10">
        <v>3</v>
      </c>
      <c r="IH16" s="1">
        <f t="shared" si="140"/>
        <v>10.5</v>
      </c>
      <c r="II16" s="6">
        <v>81.8</v>
      </c>
      <c r="IJ16" s="10" t="str">
        <f t="shared" si="141"/>
        <v>A</v>
      </c>
      <c r="IK16" s="1">
        <f t="shared" si="142"/>
        <v>4</v>
      </c>
      <c r="IL16" s="10">
        <v>2</v>
      </c>
      <c r="IM16" s="1">
        <f t="shared" si="143"/>
        <v>8</v>
      </c>
      <c r="IN16" s="18">
        <v>72.33</v>
      </c>
      <c r="IO16" s="10" t="str">
        <f t="shared" si="144"/>
        <v>B</v>
      </c>
      <c r="IP16" s="1">
        <f t="shared" si="145"/>
        <v>3</v>
      </c>
      <c r="IQ16" s="10">
        <v>2</v>
      </c>
      <c r="IR16" s="1">
        <f t="shared" si="146"/>
        <v>6</v>
      </c>
      <c r="IS16" s="10">
        <v>75</v>
      </c>
      <c r="IT16" s="10" t="str">
        <f t="shared" si="147"/>
        <v>B+</v>
      </c>
      <c r="IU16" s="1">
        <f t="shared" si="148"/>
        <v>3.5</v>
      </c>
      <c r="IV16" s="10">
        <v>4</v>
      </c>
      <c r="IW16" s="1">
        <f t="shared" si="149"/>
        <v>14</v>
      </c>
      <c r="IX16" s="10">
        <v>80.3</v>
      </c>
      <c r="IY16" s="10" t="str">
        <f t="shared" si="150"/>
        <v>A</v>
      </c>
      <c r="IZ16" s="1">
        <f t="shared" si="151"/>
        <v>4</v>
      </c>
      <c r="JA16" s="10">
        <v>4</v>
      </c>
      <c r="JB16" s="1">
        <f t="shared" si="152"/>
        <v>16</v>
      </c>
      <c r="JC16" s="2">
        <v>65</v>
      </c>
      <c r="JD16" s="2">
        <v>22</v>
      </c>
      <c r="JE16" s="2">
        <v>60</v>
      </c>
      <c r="JF16" s="2">
        <v>19</v>
      </c>
      <c r="JG16" s="2">
        <v>76.5</v>
      </c>
      <c r="JH16" s="2">
        <v>21</v>
      </c>
      <c r="JI16" s="2">
        <v>74.5</v>
      </c>
      <c r="JJ16" s="2">
        <v>21</v>
      </c>
      <c r="JK16" s="2">
        <v>73.5</v>
      </c>
      <c r="JL16" s="2">
        <v>21</v>
      </c>
      <c r="JM16" s="2">
        <v>64.5</v>
      </c>
      <c r="JN16" s="2">
        <v>19</v>
      </c>
      <c r="JO16" s="2">
        <v>62.5</v>
      </c>
      <c r="JP16" s="2">
        <v>17</v>
      </c>
      <c r="JQ16" s="2">
        <v>16</v>
      </c>
      <c r="JR16" s="2">
        <v>4</v>
      </c>
      <c r="JS16" s="2">
        <f t="shared" si="153"/>
        <v>492.5</v>
      </c>
      <c r="JT16" s="2">
        <f t="shared" si="153"/>
        <v>144</v>
      </c>
      <c r="JU16" s="3">
        <f t="shared" si="154"/>
        <v>3.4201388888888888</v>
      </c>
      <c r="JV16" s="2" t="str">
        <f t="shared" si="155"/>
        <v>Sangat Memuaskan</v>
      </c>
      <c r="JW16" s="2" t="str">
        <f t="shared" si="156"/>
        <v>Highly Satisfactory</v>
      </c>
      <c r="JX16" s="23" t="s">
        <v>194</v>
      </c>
      <c r="JY16" s="23" t="s">
        <v>269</v>
      </c>
    </row>
    <row r="17" spans="1:285" x14ac:dyDescent="0.25">
      <c r="A17" s="55">
        <v>15</v>
      </c>
      <c r="B17" s="22" t="s">
        <v>34</v>
      </c>
      <c r="C17" s="25">
        <v>152111022</v>
      </c>
      <c r="D17" s="25" t="s">
        <v>148</v>
      </c>
      <c r="E17" s="27" t="s">
        <v>149</v>
      </c>
      <c r="F17" s="27" t="s">
        <v>219</v>
      </c>
      <c r="G17" s="2" t="s">
        <v>235</v>
      </c>
      <c r="H17" s="9">
        <v>85.550000000000011</v>
      </c>
      <c r="I17" s="10" t="str">
        <f t="shared" si="42"/>
        <v>A</v>
      </c>
      <c r="J17" s="1">
        <f t="shared" si="0"/>
        <v>4</v>
      </c>
      <c r="K17" s="10">
        <v>2</v>
      </c>
      <c r="L17" s="1">
        <f t="shared" si="43"/>
        <v>8</v>
      </c>
      <c r="M17" s="12">
        <v>75.125</v>
      </c>
      <c r="N17" s="10" t="str">
        <f t="shared" si="44"/>
        <v>B+</v>
      </c>
      <c r="O17" s="1">
        <f t="shared" si="1"/>
        <v>3.5</v>
      </c>
      <c r="P17" s="10">
        <v>3</v>
      </c>
      <c r="Q17" s="1">
        <f t="shared" si="45"/>
        <v>10.5</v>
      </c>
      <c r="R17" s="31">
        <v>76.266666666666666</v>
      </c>
      <c r="S17" s="10" t="str">
        <f t="shared" si="46"/>
        <v>B+</v>
      </c>
      <c r="T17" s="1">
        <f t="shared" si="2"/>
        <v>3.5</v>
      </c>
      <c r="U17" s="10">
        <v>4</v>
      </c>
      <c r="V17" s="1">
        <f t="shared" si="47"/>
        <v>14</v>
      </c>
      <c r="W17" s="12">
        <v>81</v>
      </c>
      <c r="X17" s="10" t="str">
        <f t="shared" si="48"/>
        <v>A</v>
      </c>
      <c r="Y17" s="1">
        <f t="shared" si="3"/>
        <v>4</v>
      </c>
      <c r="Z17" s="10">
        <v>2</v>
      </c>
      <c r="AA17" s="1">
        <f t="shared" si="49"/>
        <v>8</v>
      </c>
      <c r="AB17" s="12">
        <v>82.75</v>
      </c>
      <c r="AC17" s="10" t="str">
        <f t="shared" si="50"/>
        <v>A</v>
      </c>
      <c r="AD17" s="1">
        <f t="shared" si="4"/>
        <v>4</v>
      </c>
      <c r="AE17" s="10">
        <v>4</v>
      </c>
      <c r="AF17" s="1">
        <f t="shared" si="51"/>
        <v>16</v>
      </c>
      <c r="AG17" s="12">
        <v>82</v>
      </c>
      <c r="AH17" s="10" t="str">
        <f t="shared" si="52"/>
        <v>A</v>
      </c>
      <c r="AI17" s="1">
        <f t="shared" si="5"/>
        <v>4</v>
      </c>
      <c r="AJ17" s="10">
        <v>4</v>
      </c>
      <c r="AK17" s="1">
        <f t="shared" si="53"/>
        <v>16</v>
      </c>
      <c r="AL17" s="12">
        <v>81.466666666666669</v>
      </c>
      <c r="AM17" s="10" t="str">
        <f t="shared" si="54"/>
        <v>A</v>
      </c>
      <c r="AN17" s="1">
        <f t="shared" si="6"/>
        <v>4</v>
      </c>
      <c r="AO17" s="10">
        <v>3</v>
      </c>
      <c r="AP17" s="1">
        <f t="shared" si="55"/>
        <v>12</v>
      </c>
      <c r="AQ17" s="12">
        <v>91.600000000000009</v>
      </c>
      <c r="AR17" s="10" t="str">
        <f t="shared" si="56"/>
        <v>A</v>
      </c>
      <c r="AS17" s="1">
        <f t="shared" si="7"/>
        <v>4</v>
      </c>
      <c r="AT17" s="10">
        <v>3</v>
      </c>
      <c r="AU17" s="1">
        <f t="shared" si="57"/>
        <v>12</v>
      </c>
      <c r="AV17" s="12">
        <v>70</v>
      </c>
      <c r="AW17" s="10" t="str">
        <f t="shared" si="58"/>
        <v>B</v>
      </c>
      <c r="AX17" s="1">
        <f t="shared" si="8"/>
        <v>3</v>
      </c>
      <c r="AY17" s="10">
        <v>2</v>
      </c>
      <c r="AZ17" s="1">
        <f t="shared" si="59"/>
        <v>6</v>
      </c>
      <c r="BA17" s="12">
        <v>80.900000000000006</v>
      </c>
      <c r="BB17" s="10" t="str">
        <f t="shared" si="60"/>
        <v>A</v>
      </c>
      <c r="BC17" s="1">
        <f t="shared" si="9"/>
        <v>4</v>
      </c>
      <c r="BD17" s="10">
        <v>2</v>
      </c>
      <c r="BE17" s="1">
        <f t="shared" si="61"/>
        <v>8</v>
      </c>
      <c r="BF17" s="14" t="s">
        <v>68</v>
      </c>
      <c r="BG17" s="10" t="str">
        <f t="shared" si="62"/>
        <v>A</v>
      </c>
      <c r="BH17" s="1">
        <f t="shared" si="10"/>
        <v>4</v>
      </c>
      <c r="BI17" s="10">
        <v>3</v>
      </c>
      <c r="BJ17" s="1">
        <f t="shared" si="63"/>
        <v>12</v>
      </c>
      <c r="BK17" s="15">
        <v>77.25</v>
      </c>
      <c r="BL17" s="10" t="str">
        <f t="shared" si="64"/>
        <v>B+</v>
      </c>
      <c r="BM17" s="1">
        <f t="shared" si="11"/>
        <v>3.5</v>
      </c>
      <c r="BN17" s="10">
        <v>2</v>
      </c>
      <c r="BO17" s="1">
        <f t="shared" si="65"/>
        <v>7</v>
      </c>
      <c r="BP17" s="12">
        <v>80.349999999999994</v>
      </c>
      <c r="BQ17" s="10" t="str">
        <f t="shared" si="66"/>
        <v>A</v>
      </c>
      <c r="BR17" s="1">
        <f t="shared" si="12"/>
        <v>4</v>
      </c>
      <c r="BS17" s="10">
        <v>2</v>
      </c>
      <c r="BT17" s="1">
        <f t="shared" si="67"/>
        <v>8</v>
      </c>
      <c r="BU17" s="4">
        <v>80.2</v>
      </c>
      <c r="BV17" s="10" t="str">
        <f t="shared" si="68"/>
        <v>A</v>
      </c>
      <c r="BW17" s="1">
        <f t="shared" si="13"/>
        <v>4</v>
      </c>
      <c r="BX17" s="10">
        <v>3</v>
      </c>
      <c r="BY17" s="1">
        <f t="shared" si="69"/>
        <v>12</v>
      </c>
      <c r="BZ17" s="12">
        <v>74.933333333333337</v>
      </c>
      <c r="CA17" s="10" t="str">
        <f t="shared" si="70"/>
        <v>B</v>
      </c>
      <c r="CB17" s="1">
        <f t="shared" si="14"/>
        <v>3</v>
      </c>
      <c r="CC17" s="10">
        <v>2</v>
      </c>
      <c r="CD17" s="1">
        <f t="shared" si="71"/>
        <v>6</v>
      </c>
      <c r="CE17" s="19">
        <v>77.88</v>
      </c>
      <c r="CF17" s="10" t="str">
        <f t="shared" si="72"/>
        <v>B+</v>
      </c>
      <c r="CG17" s="1">
        <f t="shared" si="15"/>
        <v>3.5</v>
      </c>
      <c r="CH17" s="10">
        <v>4</v>
      </c>
      <c r="CI17" s="1">
        <f t="shared" si="73"/>
        <v>14</v>
      </c>
      <c r="CJ17" s="19">
        <v>80.25</v>
      </c>
      <c r="CK17" s="10" t="str">
        <f t="shared" si="74"/>
        <v>A</v>
      </c>
      <c r="CL17" s="1">
        <f t="shared" si="16"/>
        <v>4</v>
      </c>
      <c r="CM17" s="10">
        <v>4</v>
      </c>
      <c r="CN17" s="1">
        <f t="shared" si="75"/>
        <v>16</v>
      </c>
      <c r="CO17" s="19">
        <v>77.724999999999994</v>
      </c>
      <c r="CP17" s="10" t="str">
        <f t="shared" si="76"/>
        <v>B+</v>
      </c>
      <c r="CQ17" s="1">
        <f t="shared" si="17"/>
        <v>3.5</v>
      </c>
      <c r="CR17" s="10">
        <v>3</v>
      </c>
      <c r="CS17" s="1">
        <f t="shared" si="77"/>
        <v>10.5</v>
      </c>
      <c r="CT17" s="17">
        <v>80</v>
      </c>
      <c r="CU17" s="10" t="str">
        <f t="shared" si="78"/>
        <v>A</v>
      </c>
      <c r="CV17" s="1">
        <f t="shared" si="18"/>
        <v>4</v>
      </c>
      <c r="CW17" s="10">
        <v>2</v>
      </c>
      <c r="CX17" s="1">
        <f t="shared" si="79"/>
        <v>8</v>
      </c>
      <c r="CY17" s="18">
        <v>81.625</v>
      </c>
      <c r="CZ17" s="10" t="str">
        <f t="shared" si="80"/>
        <v>A</v>
      </c>
      <c r="DA17" s="1">
        <f t="shared" si="19"/>
        <v>4</v>
      </c>
      <c r="DB17" s="10">
        <v>2</v>
      </c>
      <c r="DC17" s="1">
        <f t="shared" si="81"/>
        <v>8</v>
      </c>
      <c r="DD17" s="19">
        <v>84.1</v>
      </c>
      <c r="DE17" s="10" t="str">
        <f t="shared" si="82"/>
        <v>A</v>
      </c>
      <c r="DF17" s="1">
        <f t="shared" si="20"/>
        <v>4</v>
      </c>
      <c r="DG17" s="10">
        <v>2</v>
      </c>
      <c r="DH17" s="1">
        <f t="shared" si="83"/>
        <v>8</v>
      </c>
      <c r="DI17" s="5">
        <v>87.5</v>
      </c>
      <c r="DJ17" s="10" t="str">
        <f t="shared" si="84"/>
        <v>A</v>
      </c>
      <c r="DK17" s="1">
        <f t="shared" si="21"/>
        <v>4</v>
      </c>
      <c r="DL17" s="10">
        <v>2</v>
      </c>
      <c r="DM17" s="1">
        <f t="shared" si="85"/>
        <v>8</v>
      </c>
      <c r="DN17" s="20">
        <v>79</v>
      </c>
      <c r="DO17" s="10" t="str">
        <f t="shared" si="86"/>
        <v>B+</v>
      </c>
      <c r="DP17" s="1">
        <f t="shared" si="22"/>
        <v>3.5</v>
      </c>
      <c r="DQ17" s="10">
        <v>2</v>
      </c>
      <c r="DR17" s="1">
        <f t="shared" si="87"/>
        <v>7</v>
      </c>
      <c r="DS17" s="19">
        <v>84.949999999999989</v>
      </c>
      <c r="DT17" s="10" t="str">
        <f t="shared" si="88"/>
        <v>A</v>
      </c>
      <c r="DU17" s="1">
        <f t="shared" si="23"/>
        <v>4</v>
      </c>
      <c r="DV17" s="10">
        <v>4</v>
      </c>
      <c r="DW17" s="1">
        <f t="shared" si="89"/>
        <v>16</v>
      </c>
      <c r="DX17" s="19">
        <v>82</v>
      </c>
      <c r="DY17" s="10" t="str">
        <f t="shared" si="90"/>
        <v>A</v>
      </c>
      <c r="DZ17" s="1">
        <f t="shared" si="24"/>
        <v>4</v>
      </c>
      <c r="EA17" s="10">
        <v>3</v>
      </c>
      <c r="EB17" s="1">
        <f t="shared" si="91"/>
        <v>12</v>
      </c>
      <c r="EC17" s="19">
        <v>80.75</v>
      </c>
      <c r="ED17" s="10" t="str">
        <f t="shared" si="92"/>
        <v>A</v>
      </c>
      <c r="EE17" s="1">
        <f t="shared" si="25"/>
        <v>4</v>
      </c>
      <c r="EF17" s="10">
        <v>3</v>
      </c>
      <c r="EG17" s="1">
        <f t="shared" si="93"/>
        <v>12</v>
      </c>
      <c r="EH17" s="6">
        <v>81.599999999999994</v>
      </c>
      <c r="EI17" s="10" t="str">
        <f t="shared" si="94"/>
        <v>A</v>
      </c>
      <c r="EJ17" s="1">
        <f t="shared" si="26"/>
        <v>4</v>
      </c>
      <c r="EK17" s="10">
        <v>3</v>
      </c>
      <c r="EL17" s="1">
        <f t="shared" si="95"/>
        <v>12</v>
      </c>
      <c r="EM17" s="18">
        <v>81.571111111111122</v>
      </c>
      <c r="EN17" s="10" t="str">
        <f t="shared" si="96"/>
        <v>A</v>
      </c>
      <c r="EO17" s="1">
        <f t="shared" si="27"/>
        <v>4</v>
      </c>
      <c r="EP17" s="10">
        <v>3</v>
      </c>
      <c r="EQ17" s="1">
        <f t="shared" si="97"/>
        <v>12</v>
      </c>
      <c r="ER17" s="7">
        <v>80.400000000000006</v>
      </c>
      <c r="ES17" s="10" t="str">
        <f t="shared" si="98"/>
        <v>A</v>
      </c>
      <c r="ET17" s="1">
        <f t="shared" si="28"/>
        <v>4</v>
      </c>
      <c r="EU17" s="10">
        <v>2</v>
      </c>
      <c r="EV17" s="1">
        <f t="shared" si="99"/>
        <v>8</v>
      </c>
      <c r="EW17" s="5">
        <v>82.3</v>
      </c>
      <c r="EX17" s="10" t="str">
        <f t="shared" si="100"/>
        <v>A</v>
      </c>
      <c r="EY17" s="1">
        <f t="shared" si="29"/>
        <v>4</v>
      </c>
      <c r="EZ17" s="10">
        <v>3</v>
      </c>
      <c r="FA17" s="1">
        <f t="shared" si="101"/>
        <v>12</v>
      </c>
      <c r="FB17" s="19">
        <v>81</v>
      </c>
      <c r="FC17" s="10" t="str">
        <f t="shared" si="102"/>
        <v>A</v>
      </c>
      <c r="FD17" s="1">
        <f t="shared" si="30"/>
        <v>4</v>
      </c>
      <c r="FE17" s="10">
        <v>2</v>
      </c>
      <c r="FF17" s="1">
        <f t="shared" si="103"/>
        <v>8</v>
      </c>
      <c r="FG17" s="19">
        <v>80.5</v>
      </c>
      <c r="FH17" s="10" t="str">
        <f t="shared" si="104"/>
        <v>A</v>
      </c>
      <c r="FI17" s="1">
        <f t="shared" si="31"/>
        <v>4</v>
      </c>
      <c r="FJ17" s="10">
        <v>3</v>
      </c>
      <c r="FK17" s="1">
        <f t="shared" si="105"/>
        <v>12</v>
      </c>
      <c r="FL17" s="19">
        <v>79.733333333333334</v>
      </c>
      <c r="FM17" s="10" t="str">
        <f t="shared" si="106"/>
        <v>B+</v>
      </c>
      <c r="FN17" s="1">
        <f t="shared" si="32"/>
        <v>3.5</v>
      </c>
      <c r="FO17" s="10">
        <v>3</v>
      </c>
      <c r="FP17" s="1">
        <f t="shared" si="107"/>
        <v>10.5</v>
      </c>
      <c r="FQ17" s="6">
        <v>83.79</v>
      </c>
      <c r="FR17" s="10" t="str">
        <f t="shared" si="108"/>
        <v>A</v>
      </c>
      <c r="FS17" s="1">
        <f t="shared" si="109"/>
        <v>4</v>
      </c>
      <c r="FT17" s="10">
        <v>3</v>
      </c>
      <c r="FU17" s="1">
        <f t="shared" si="110"/>
        <v>12</v>
      </c>
      <c r="FV17" s="18">
        <v>80</v>
      </c>
      <c r="FW17" s="10" t="str">
        <f t="shared" si="111"/>
        <v>A</v>
      </c>
      <c r="FX17" s="1">
        <f t="shared" si="33"/>
        <v>4</v>
      </c>
      <c r="FY17" s="10">
        <v>3</v>
      </c>
      <c r="FZ17" s="1">
        <f t="shared" si="112"/>
        <v>12</v>
      </c>
      <c r="GA17" s="7">
        <v>80.099999999999994</v>
      </c>
      <c r="GB17" s="10" t="str">
        <f t="shared" si="113"/>
        <v>A</v>
      </c>
      <c r="GC17" s="1">
        <f t="shared" si="34"/>
        <v>4</v>
      </c>
      <c r="GD17" s="10">
        <v>2</v>
      </c>
      <c r="GE17" s="1">
        <f t="shared" si="114"/>
        <v>8</v>
      </c>
      <c r="GF17" s="5">
        <v>82.1</v>
      </c>
      <c r="GG17" s="10" t="str">
        <f t="shared" si="115"/>
        <v>A</v>
      </c>
      <c r="GH17" s="1">
        <f t="shared" si="35"/>
        <v>4</v>
      </c>
      <c r="GI17" s="10">
        <v>3</v>
      </c>
      <c r="GJ17" s="1">
        <f t="shared" si="116"/>
        <v>12</v>
      </c>
      <c r="GK17" s="5">
        <v>77.55</v>
      </c>
      <c r="GL17" s="10" t="str">
        <f t="shared" si="117"/>
        <v>B+</v>
      </c>
      <c r="GM17" s="1">
        <f t="shared" si="36"/>
        <v>3.5</v>
      </c>
      <c r="GN17" s="10">
        <v>2</v>
      </c>
      <c r="GO17" s="1">
        <f t="shared" si="118"/>
        <v>7</v>
      </c>
      <c r="GP17" s="19">
        <v>81</v>
      </c>
      <c r="GQ17" s="10" t="str">
        <f t="shared" si="119"/>
        <v>A</v>
      </c>
      <c r="GR17" s="1">
        <f t="shared" si="37"/>
        <v>4</v>
      </c>
      <c r="GS17" s="10">
        <v>3</v>
      </c>
      <c r="GT17" s="1">
        <f t="shared" si="120"/>
        <v>12</v>
      </c>
      <c r="GU17" s="19">
        <v>82.440000000000012</v>
      </c>
      <c r="GV17" s="10" t="str">
        <f t="shared" si="121"/>
        <v>A</v>
      </c>
      <c r="GW17" s="1">
        <f t="shared" si="38"/>
        <v>4</v>
      </c>
      <c r="GX17" s="10">
        <v>4</v>
      </c>
      <c r="GY17" s="1">
        <f t="shared" si="122"/>
        <v>16</v>
      </c>
      <c r="GZ17" s="7">
        <v>75.5</v>
      </c>
      <c r="HA17" s="10" t="str">
        <f t="shared" si="123"/>
        <v>B+</v>
      </c>
      <c r="HB17" s="1">
        <f t="shared" si="124"/>
        <v>3.5</v>
      </c>
      <c r="HC17" s="10">
        <v>4</v>
      </c>
      <c r="HD17" s="1">
        <f t="shared" si="125"/>
        <v>14</v>
      </c>
      <c r="HE17" s="6">
        <v>83.15</v>
      </c>
      <c r="HF17" s="10" t="str">
        <f t="shared" si="126"/>
        <v>A</v>
      </c>
      <c r="HG17" s="1">
        <f t="shared" si="39"/>
        <v>4</v>
      </c>
      <c r="HH17" s="10">
        <v>2</v>
      </c>
      <c r="HI17" s="1">
        <f t="shared" si="127"/>
        <v>8</v>
      </c>
      <c r="HJ17" s="18">
        <v>81.75</v>
      </c>
      <c r="HK17" s="10" t="str">
        <f t="shared" si="128"/>
        <v>A</v>
      </c>
      <c r="HL17" s="1">
        <f t="shared" si="40"/>
        <v>4</v>
      </c>
      <c r="HM17" s="10">
        <v>3</v>
      </c>
      <c r="HN17" s="1">
        <f t="shared" si="129"/>
        <v>12</v>
      </c>
      <c r="HO17" s="12">
        <v>81.674999999999997</v>
      </c>
      <c r="HP17" s="10" t="str">
        <f t="shared" si="130"/>
        <v>A</v>
      </c>
      <c r="HQ17" s="1">
        <f t="shared" si="41"/>
        <v>4</v>
      </c>
      <c r="HR17" s="10">
        <v>3</v>
      </c>
      <c r="HS17" s="1">
        <f t="shared" si="131"/>
        <v>12</v>
      </c>
      <c r="HT17" s="10">
        <v>86.2</v>
      </c>
      <c r="HU17" s="10" t="str">
        <f t="shared" si="132"/>
        <v>A</v>
      </c>
      <c r="HV17" s="1">
        <f t="shared" si="133"/>
        <v>4</v>
      </c>
      <c r="HW17" s="10">
        <v>4</v>
      </c>
      <c r="HX17" s="1">
        <f t="shared" si="134"/>
        <v>16</v>
      </c>
      <c r="HY17" s="19">
        <v>81.95</v>
      </c>
      <c r="HZ17" s="10" t="str">
        <f t="shared" si="135"/>
        <v>A</v>
      </c>
      <c r="IA17" s="1">
        <f t="shared" si="136"/>
        <v>4</v>
      </c>
      <c r="IB17" s="10">
        <v>2</v>
      </c>
      <c r="IC17" s="1">
        <f t="shared" si="137"/>
        <v>8</v>
      </c>
      <c r="ID17" s="7">
        <v>80.2</v>
      </c>
      <c r="IE17" s="10" t="str">
        <f t="shared" si="138"/>
        <v>A</v>
      </c>
      <c r="IF17" s="1">
        <f t="shared" si="139"/>
        <v>4</v>
      </c>
      <c r="IG17" s="10">
        <v>3</v>
      </c>
      <c r="IH17" s="1">
        <f t="shared" si="140"/>
        <v>12</v>
      </c>
      <c r="II17" s="6">
        <v>86.2</v>
      </c>
      <c r="IJ17" s="10" t="str">
        <f t="shared" si="141"/>
        <v>A</v>
      </c>
      <c r="IK17" s="1">
        <f t="shared" si="142"/>
        <v>4</v>
      </c>
      <c r="IL17" s="10">
        <v>2</v>
      </c>
      <c r="IM17" s="1">
        <f t="shared" si="143"/>
        <v>8</v>
      </c>
      <c r="IN17" s="18">
        <v>76.430000000000007</v>
      </c>
      <c r="IO17" s="10" t="str">
        <f t="shared" si="144"/>
        <v>B+</v>
      </c>
      <c r="IP17" s="1">
        <f t="shared" si="145"/>
        <v>3.5</v>
      </c>
      <c r="IQ17" s="10">
        <v>2</v>
      </c>
      <c r="IR17" s="1">
        <f t="shared" si="146"/>
        <v>7</v>
      </c>
      <c r="IS17" s="10">
        <v>80.2</v>
      </c>
      <c r="IT17" s="10" t="str">
        <f t="shared" si="147"/>
        <v>A</v>
      </c>
      <c r="IU17" s="1">
        <f t="shared" si="148"/>
        <v>4</v>
      </c>
      <c r="IV17" s="10">
        <v>4</v>
      </c>
      <c r="IW17" s="1">
        <f t="shared" si="149"/>
        <v>16</v>
      </c>
      <c r="IX17" s="10">
        <v>81</v>
      </c>
      <c r="IY17" s="10" t="str">
        <f t="shared" si="150"/>
        <v>A</v>
      </c>
      <c r="IZ17" s="1">
        <f t="shared" si="151"/>
        <v>4</v>
      </c>
      <c r="JA17" s="10">
        <v>4</v>
      </c>
      <c r="JB17" s="1">
        <f t="shared" si="152"/>
        <v>16</v>
      </c>
      <c r="JC17" s="2">
        <v>84.5</v>
      </c>
      <c r="JD17" s="2">
        <v>22</v>
      </c>
      <c r="JE17" s="2">
        <v>71</v>
      </c>
      <c r="JF17" s="2">
        <v>19</v>
      </c>
      <c r="JG17" s="2">
        <v>79.5</v>
      </c>
      <c r="JH17" s="2">
        <v>21</v>
      </c>
      <c r="JI17" s="2">
        <v>84</v>
      </c>
      <c r="JJ17" s="2">
        <v>21</v>
      </c>
      <c r="JK17" s="2">
        <v>81.5</v>
      </c>
      <c r="JL17" s="2">
        <v>21</v>
      </c>
      <c r="JM17" s="2">
        <v>74</v>
      </c>
      <c r="JN17" s="2">
        <v>19</v>
      </c>
      <c r="JO17" s="2">
        <v>67</v>
      </c>
      <c r="JP17" s="2">
        <v>17</v>
      </c>
      <c r="JQ17" s="2">
        <v>16</v>
      </c>
      <c r="JR17" s="2">
        <v>4</v>
      </c>
      <c r="JS17" s="2">
        <f t="shared" si="153"/>
        <v>557.5</v>
      </c>
      <c r="JT17" s="2">
        <f t="shared" si="153"/>
        <v>144</v>
      </c>
      <c r="JU17" s="3">
        <f t="shared" si="154"/>
        <v>3.8715277777777777</v>
      </c>
      <c r="JV17" s="2" t="str">
        <f t="shared" si="155"/>
        <v>Cum Laude</v>
      </c>
      <c r="JW17" s="2" t="str">
        <f t="shared" si="156"/>
        <v>Excellent</v>
      </c>
      <c r="JX17" s="23" t="s">
        <v>195</v>
      </c>
      <c r="JY17" s="23" t="s">
        <v>270</v>
      </c>
    </row>
    <row r="18" spans="1:285" x14ac:dyDescent="0.25">
      <c r="A18" s="55">
        <v>16</v>
      </c>
      <c r="B18" s="39" t="s">
        <v>35</v>
      </c>
      <c r="C18" s="25">
        <v>152111025</v>
      </c>
      <c r="D18" s="25" t="s">
        <v>135</v>
      </c>
      <c r="E18" s="27" t="s">
        <v>150</v>
      </c>
      <c r="F18" s="27" t="s">
        <v>219</v>
      </c>
      <c r="G18" s="2" t="s">
        <v>236</v>
      </c>
      <c r="H18" s="9">
        <v>80.45</v>
      </c>
      <c r="I18" s="10" t="str">
        <f t="shared" si="42"/>
        <v>A</v>
      </c>
      <c r="J18" s="1">
        <f t="shared" si="0"/>
        <v>4</v>
      </c>
      <c r="K18" s="10">
        <v>2</v>
      </c>
      <c r="L18" s="1">
        <f t="shared" si="43"/>
        <v>8</v>
      </c>
      <c r="M18" s="12">
        <v>73.875</v>
      </c>
      <c r="N18" s="10" t="str">
        <f t="shared" si="44"/>
        <v>B</v>
      </c>
      <c r="O18" s="1">
        <f t="shared" si="1"/>
        <v>3</v>
      </c>
      <c r="P18" s="10">
        <v>3</v>
      </c>
      <c r="Q18" s="1">
        <f t="shared" si="45"/>
        <v>9</v>
      </c>
      <c r="R18" s="31">
        <v>76.908333333333331</v>
      </c>
      <c r="S18" s="10" t="str">
        <f t="shared" si="46"/>
        <v>B+</v>
      </c>
      <c r="T18" s="1">
        <f t="shared" si="2"/>
        <v>3.5</v>
      </c>
      <c r="U18" s="10">
        <v>4</v>
      </c>
      <c r="V18" s="1">
        <f t="shared" si="47"/>
        <v>14</v>
      </c>
      <c r="W18" s="12">
        <v>82.75</v>
      </c>
      <c r="X18" s="10" t="str">
        <f t="shared" si="48"/>
        <v>A</v>
      </c>
      <c r="Y18" s="1">
        <f t="shared" si="3"/>
        <v>4</v>
      </c>
      <c r="Z18" s="10">
        <v>2</v>
      </c>
      <c r="AA18" s="1">
        <f t="shared" si="49"/>
        <v>8</v>
      </c>
      <c r="AB18" s="12">
        <v>65.25</v>
      </c>
      <c r="AC18" s="10" t="str">
        <f t="shared" si="50"/>
        <v>C+</v>
      </c>
      <c r="AD18" s="1">
        <f t="shared" si="4"/>
        <v>2.5</v>
      </c>
      <c r="AE18" s="10">
        <v>4</v>
      </c>
      <c r="AF18" s="1">
        <f t="shared" si="51"/>
        <v>10</v>
      </c>
      <c r="AG18" s="12">
        <v>73.75</v>
      </c>
      <c r="AH18" s="10" t="str">
        <f t="shared" si="52"/>
        <v>B</v>
      </c>
      <c r="AI18" s="1">
        <f t="shared" si="5"/>
        <v>3</v>
      </c>
      <c r="AJ18" s="10">
        <v>4</v>
      </c>
      <c r="AK18" s="1">
        <f t="shared" si="53"/>
        <v>12</v>
      </c>
      <c r="AL18" s="12">
        <v>80.033333333333331</v>
      </c>
      <c r="AM18" s="10" t="str">
        <f t="shared" si="54"/>
        <v>A</v>
      </c>
      <c r="AN18" s="1">
        <f t="shared" si="6"/>
        <v>4</v>
      </c>
      <c r="AO18" s="10">
        <v>3</v>
      </c>
      <c r="AP18" s="1">
        <f t="shared" si="55"/>
        <v>12</v>
      </c>
      <c r="AQ18" s="12">
        <v>83.800000000000011</v>
      </c>
      <c r="AR18" s="10" t="str">
        <f t="shared" si="56"/>
        <v>A</v>
      </c>
      <c r="AS18" s="1">
        <f t="shared" si="7"/>
        <v>4</v>
      </c>
      <c r="AT18" s="10">
        <v>3</v>
      </c>
      <c r="AU18" s="1">
        <f t="shared" si="57"/>
        <v>12</v>
      </c>
      <c r="AV18" s="12">
        <v>70</v>
      </c>
      <c r="AW18" s="10" t="str">
        <f t="shared" si="58"/>
        <v>B</v>
      </c>
      <c r="AX18" s="1">
        <f t="shared" si="8"/>
        <v>3</v>
      </c>
      <c r="AY18" s="10">
        <v>2</v>
      </c>
      <c r="AZ18" s="1">
        <f t="shared" si="59"/>
        <v>6</v>
      </c>
      <c r="BA18" s="12">
        <v>81.2</v>
      </c>
      <c r="BB18" s="10" t="str">
        <f t="shared" si="60"/>
        <v>A</v>
      </c>
      <c r="BC18" s="1">
        <f t="shared" si="9"/>
        <v>4</v>
      </c>
      <c r="BD18" s="10">
        <v>2</v>
      </c>
      <c r="BE18" s="1">
        <f t="shared" si="61"/>
        <v>8</v>
      </c>
      <c r="BF18" s="14">
        <v>78.349999999999994</v>
      </c>
      <c r="BG18" s="10" t="str">
        <f t="shared" si="62"/>
        <v>B+</v>
      </c>
      <c r="BH18" s="1">
        <f t="shared" si="10"/>
        <v>3.5</v>
      </c>
      <c r="BI18" s="10">
        <v>3</v>
      </c>
      <c r="BJ18" s="1">
        <f t="shared" si="63"/>
        <v>10.5</v>
      </c>
      <c r="BK18" s="15">
        <v>85.5</v>
      </c>
      <c r="BL18" s="10" t="str">
        <f t="shared" si="64"/>
        <v>A</v>
      </c>
      <c r="BM18" s="1">
        <f t="shared" si="11"/>
        <v>4</v>
      </c>
      <c r="BN18" s="10">
        <v>2</v>
      </c>
      <c r="BO18" s="1">
        <f t="shared" si="65"/>
        <v>8</v>
      </c>
      <c r="BP18" s="12">
        <v>81.400000000000006</v>
      </c>
      <c r="BQ18" s="10" t="str">
        <f t="shared" si="66"/>
        <v>A</v>
      </c>
      <c r="BR18" s="1">
        <f t="shared" si="12"/>
        <v>4</v>
      </c>
      <c r="BS18" s="10">
        <v>2</v>
      </c>
      <c r="BT18" s="1">
        <f t="shared" si="67"/>
        <v>8</v>
      </c>
      <c r="BU18" s="4">
        <v>77.150000000000006</v>
      </c>
      <c r="BV18" s="10" t="str">
        <f t="shared" si="68"/>
        <v>B+</v>
      </c>
      <c r="BW18" s="1">
        <f t="shared" si="13"/>
        <v>3.5</v>
      </c>
      <c r="BX18" s="10">
        <v>3</v>
      </c>
      <c r="BY18" s="1">
        <f t="shared" si="69"/>
        <v>10.5</v>
      </c>
      <c r="BZ18" s="12">
        <v>74.849999999999994</v>
      </c>
      <c r="CA18" s="10" t="str">
        <f t="shared" si="70"/>
        <v>B</v>
      </c>
      <c r="CB18" s="1">
        <f t="shared" si="14"/>
        <v>3</v>
      </c>
      <c r="CC18" s="10">
        <v>2</v>
      </c>
      <c r="CD18" s="1">
        <f t="shared" si="71"/>
        <v>6</v>
      </c>
      <c r="CE18" s="19">
        <v>80.099999999999994</v>
      </c>
      <c r="CF18" s="10" t="str">
        <f t="shared" si="72"/>
        <v>A</v>
      </c>
      <c r="CG18" s="1">
        <f t="shared" si="15"/>
        <v>4</v>
      </c>
      <c r="CH18" s="10">
        <v>4</v>
      </c>
      <c r="CI18" s="1">
        <f t="shared" si="73"/>
        <v>16</v>
      </c>
      <c r="CJ18" s="19">
        <v>79.2</v>
      </c>
      <c r="CK18" s="10" t="str">
        <f t="shared" si="74"/>
        <v>B+</v>
      </c>
      <c r="CL18" s="1">
        <f t="shared" si="16"/>
        <v>3.5</v>
      </c>
      <c r="CM18" s="10">
        <v>4</v>
      </c>
      <c r="CN18" s="1">
        <f t="shared" si="75"/>
        <v>14</v>
      </c>
      <c r="CO18" s="19">
        <v>77.424999999999997</v>
      </c>
      <c r="CP18" s="10" t="str">
        <f t="shared" si="76"/>
        <v>B+</v>
      </c>
      <c r="CQ18" s="1">
        <f t="shared" si="17"/>
        <v>3.5</v>
      </c>
      <c r="CR18" s="10">
        <v>3</v>
      </c>
      <c r="CS18" s="1">
        <f t="shared" si="77"/>
        <v>10.5</v>
      </c>
      <c r="CT18" s="17">
        <v>80.070285714285717</v>
      </c>
      <c r="CU18" s="10" t="str">
        <f t="shared" si="78"/>
        <v>A</v>
      </c>
      <c r="CV18" s="1">
        <f t="shared" si="18"/>
        <v>4</v>
      </c>
      <c r="CW18" s="10">
        <v>2</v>
      </c>
      <c r="CX18" s="1">
        <f t="shared" si="79"/>
        <v>8</v>
      </c>
      <c r="CY18" s="18">
        <v>81.775000000000006</v>
      </c>
      <c r="CZ18" s="10" t="str">
        <f t="shared" si="80"/>
        <v>A</v>
      </c>
      <c r="DA18" s="1">
        <f t="shared" si="19"/>
        <v>4</v>
      </c>
      <c r="DB18" s="10">
        <v>2</v>
      </c>
      <c r="DC18" s="1">
        <f t="shared" si="81"/>
        <v>8</v>
      </c>
      <c r="DD18" s="19">
        <v>85.85</v>
      </c>
      <c r="DE18" s="10" t="str">
        <f t="shared" si="82"/>
        <v>A</v>
      </c>
      <c r="DF18" s="1">
        <f t="shared" si="20"/>
        <v>4</v>
      </c>
      <c r="DG18" s="10">
        <v>2</v>
      </c>
      <c r="DH18" s="1">
        <f t="shared" si="83"/>
        <v>8</v>
      </c>
      <c r="DI18" s="5">
        <v>79.25</v>
      </c>
      <c r="DJ18" s="10" t="str">
        <f t="shared" si="84"/>
        <v>B+</v>
      </c>
      <c r="DK18" s="1">
        <f t="shared" si="21"/>
        <v>3.5</v>
      </c>
      <c r="DL18" s="10">
        <v>2</v>
      </c>
      <c r="DM18" s="1">
        <f t="shared" si="85"/>
        <v>7</v>
      </c>
      <c r="DN18" s="20">
        <v>78</v>
      </c>
      <c r="DO18" s="10" t="str">
        <f t="shared" si="86"/>
        <v>B+</v>
      </c>
      <c r="DP18" s="1">
        <f t="shared" si="22"/>
        <v>3.5</v>
      </c>
      <c r="DQ18" s="10">
        <v>2</v>
      </c>
      <c r="DR18" s="1">
        <f t="shared" si="87"/>
        <v>7</v>
      </c>
      <c r="DS18" s="19">
        <v>82.75</v>
      </c>
      <c r="DT18" s="10" t="str">
        <f t="shared" si="88"/>
        <v>A</v>
      </c>
      <c r="DU18" s="1">
        <f t="shared" si="23"/>
        <v>4</v>
      </c>
      <c r="DV18" s="10">
        <v>4</v>
      </c>
      <c r="DW18" s="1">
        <f t="shared" si="89"/>
        <v>16</v>
      </c>
      <c r="DX18" s="19">
        <v>79.849999999999994</v>
      </c>
      <c r="DY18" s="10" t="str">
        <f t="shared" si="90"/>
        <v>B+</v>
      </c>
      <c r="DZ18" s="1">
        <f t="shared" si="24"/>
        <v>3.5</v>
      </c>
      <c r="EA18" s="10">
        <v>3</v>
      </c>
      <c r="EB18" s="1">
        <f t="shared" si="91"/>
        <v>10.5</v>
      </c>
      <c r="EC18" s="19">
        <v>80.75</v>
      </c>
      <c r="ED18" s="10" t="str">
        <f t="shared" si="92"/>
        <v>A</v>
      </c>
      <c r="EE18" s="1">
        <f t="shared" si="25"/>
        <v>4</v>
      </c>
      <c r="EF18" s="10">
        <v>3</v>
      </c>
      <c r="EG18" s="1">
        <f t="shared" si="93"/>
        <v>12</v>
      </c>
      <c r="EH18" s="6">
        <v>80.099999999999994</v>
      </c>
      <c r="EI18" s="10" t="str">
        <f t="shared" si="94"/>
        <v>A</v>
      </c>
      <c r="EJ18" s="1">
        <f t="shared" si="26"/>
        <v>4</v>
      </c>
      <c r="EK18" s="10">
        <v>3</v>
      </c>
      <c r="EL18" s="1">
        <f t="shared" si="95"/>
        <v>12</v>
      </c>
      <c r="EM18" s="18">
        <v>79.811111111111117</v>
      </c>
      <c r="EN18" s="10" t="str">
        <f t="shared" si="96"/>
        <v>B+</v>
      </c>
      <c r="EO18" s="1">
        <f t="shared" si="27"/>
        <v>3.5</v>
      </c>
      <c r="EP18" s="10">
        <v>3</v>
      </c>
      <c r="EQ18" s="1">
        <f t="shared" si="97"/>
        <v>10.5</v>
      </c>
      <c r="ER18" s="7">
        <v>78.3</v>
      </c>
      <c r="ES18" s="10" t="str">
        <f t="shared" si="98"/>
        <v>B+</v>
      </c>
      <c r="ET18" s="1">
        <f t="shared" si="28"/>
        <v>3.5</v>
      </c>
      <c r="EU18" s="10">
        <v>2</v>
      </c>
      <c r="EV18" s="1">
        <f t="shared" si="99"/>
        <v>7</v>
      </c>
      <c r="EW18" s="5">
        <v>80</v>
      </c>
      <c r="EX18" s="10" t="str">
        <f t="shared" si="100"/>
        <v>A</v>
      </c>
      <c r="EY18" s="1">
        <f t="shared" si="29"/>
        <v>4</v>
      </c>
      <c r="EZ18" s="10">
        <v>3</v>
      </c>
      <c r="FA18" s="1">
        <f t="shared" si="101"/>
        <v>12</v>
      </c>
      <c r="FB18" s="19">
        <v>80.5</v>
      </c>
      <c r="FC18" s="10" t="str">
        <f t="shared" si="102"/>
        <v>A</v>
      </c>
      <c r="FD18" s="1">
        <f t="shared" si="30"/>
        <v>4</v>
      </c>
      <c r="FE18" s="10">
        <v>2</v>
      </c>
      <c r="FF18" s="1">
        <f t="shared" si="103"/>
        <v>8</v>
      </c>
      <c r="FG18" s="19">
        <v>78</v>
      </c>
      <c r="FH18" s="10" t="str">
        <f t="shared" si="104"/>
        <v>B+</v>
      </c>
      <c r="FI18" s="1">
        <f t="shared" si="31"/>
        <v>3.5</v>
      </c>
      <c r="FJ18" s="10">
        <v>3</v>
      </c>
      <c r="FK18" s="1">
        <f t="shared" si="105"/>
        <v>10.5</v>
      </c>
      <c r="FL18" s="19">
        <v>80.26666666666668</v>
      </c>
      <c r="FM18" s="10" t="str">
        <f t="shared" si="106"/>
        <v>A</v>
      </c>
      <c r="FN18" s="1">
        <f t="shared" si="32"/>
        <v>4</v>
      </c>
      <c r="FO18" s="10">
        <v>3</v>
      </c>
      <c r="FP18" s="1">
        <f t="shared" si="107"/>
        <v>12</v>
      </c>
      <c r="FQ18" s="6">
        <v>79.34</v>
      </c>
      <c r="FR18" s="10" t="str">
        <f t="shared" si="108"/>
        <v>B+</v>
      </c>
      <c r="FS18" s="1">
        <f t="shared" si="109"/>
        <v>3.5</v>
      </c>
      <c r="FT18" s="10">
        <v>3</v>
      </c>
      <c r="FU18" s="1">
        <f t="shared" si="110"/>
        <v>10.5</v>
      </c>
      <c r="FV18" s="18">
        <v>76.2</v>
      </c>
      <c r="FW18" s="10" t="str">
        <f t="shared" si="111"/>
        <v>B+</v>
      </c>
      <c r="FX18" s="1">
        <f t="shared" si="33"/>
        <v>3.5</v>
      </c>
      <c r="FY18" s="10">
        <v>3</v>
      </c>
      <c r="FZ18" s="1">
        <f t="shared" si="112"/>
        <v>10.5</v>
      </c>
      <c r="GA18" s="7">
        <v>75.05</v>
      </c>
      <c r="GB18" s="10" t="str">
        <f t="shared" si="113"/>
        <v>B+</v>
      </c>
      <c r="GC18" s="1">
        <f t="shared" si="34"/>
        <v>3.5</v>
      </c>
      <c r="GD18" s="10">
        <v>2</v>
      </c>
      <c r="GE18" s="1">
        <f t="shared" si="114"/>
        <v>7</v>
      </c>
      <c r="GF18" s="5">
        <v>81.5</v>
      </c>
      <c r="GG18" s="10" t="str">
        <f t="shared" si="115"/>
        <v>A</v>
      </c>
      <c r="GH18" s="1">
        <f t="shared" si="35"/>
        <v>4</v>
      </c>
      <c r="GI18" s="10">
        <v>3</v>
      </c>
      <c r="GJ18" s="1">
        <f t="shared" si="116"/>
        <v>12</v>
      </c>
      <c r="GK18" s="5">
        <v>74.05</v>
      </c>
      <c r="GL18" s="10" t="str">
        <f t="shared" si="117"/>
        <v>B</v>
      </c>
      <c r="GM18" s="1">
        <f t="shared" si="36"/>
        <v>3</v>
      </c>
      <c r="GN18" s="10">
        <v>2</v>
      </c>
      <c r="GO18" s="1">
        <f t="shared" si="118"/>
        <v>6</v>
      </c>
      <c r="GP18" s="19">
        <v>80.2</v>
      </c>
      <c r="GQ18" s="10" t="str">
        <f t="shared" si="119"/>
        <v>A</v>
      </c>
      <c r="GR18" s="1">
        <f t="shared" si="37"/>
        <v>4</v>
      </c>
      <c r="GS18" s="10">
        <v>3</v>
      </c>
      <c r="GT18" s="1">
        <f t="shared" si="120"/>
        <v>12</v>
      </c>
      <c r="GU18" s="19">
        <v>77.16</v>
      </c>
      <c r="GV18" s="10" t="str">
        <f t="shared" si="121"/>
        <v>B+</v>
      </c>
      <c r="GW18" s="1">
        <f t="shared" si="38"/>
        <v>3.5</v>
      </c>
      <c r="GX18" s="10">
        <v>4</v>
      </c>
      <c r="GY18" s="1">
        <f t="shared" si="122"/>
        <v>14</v>
      </c>
      <c r="GZ18" s="7">
        <v>74.25</v>
      </c>
      <c r="HA18" s="10" t="str">
        <f t="shared" si="123"/>
        <v>B</v>
      </c>
      <c r="HB18" s="1">
        <f t="shared" si="124"/>
        <v>3</v>
      </c>
      <c r="HC18" s="10">
        <v>4</v>
      </c>
      <c r="HD18" s="1">
        <f t="shared" si="125"/>
        <v>12</v>
      </c>
      <c r="HE18" s="6">
        <v>83.474999999999994</v>
      </c>
      <c r="HF18" s="10" t="str">
        <f t="shared" si="126"/>
        <v>A</v>
      </c>
      <c r="HG18" s="1">
        <f t="shared" si="39"/>
        <v>4</v>
      </c>
      <c r="HH18" s="10">
        <v>2</v>
      </c>
      <c r="HI18" s="1">
        <f t="shared" si="127"/>
        <v>8</v>
      </c>
      <c r="HJ18" s="18">
        <v>78.052380952380958</v>
      </c>
      <c r="HK18" s="10" t="str">
        <f t="shared" si="128"/>
        <v>B+</v>
      </c>
      <c r="HL18" s="1">
        <f t="shared" si="40"/>
        <v>3.5</v>
      </c>
      <c r="HM18" s="10">
        <v>3</v>
      </c>
      <c r="HN18" s="1">
        <f t="shared" si="129"/>
        <v>10.5</v>
      </c>
      <c r="HO18" s="12">
        <v>77.674999999999997</v>
      </c>
      <c r="HP18" s="10" t="str">
        <f t="shared" si="130"/>
        <v>B+</v>
      </c>
      <c r="HQ18" s="1">
        <f t="shared" si="41"/>
        <v>3.5</v>
      </c>
      <c r="HR18" s="10">
        <v>3</v>
      </c>
      <c r="HS18" s="1">
        <f t="shared" si="131"/>
        <v>10.5</v>
      </c>
      <c r="HT18" s="10">
        <v>82.2</v>
      </c>
      <c r="HU18" s="10" t="str">
        <f t="shared" si="132"/>
        <v>A</v>
      </c>
      <c r="HV18" s="1">
        <f t="shared" si="133"/>
        <v>4</v>
      </c>
      <c r="HW18" s="10">
        <v>4</v>
      </c>
      <c r="HX18" s="1">
        <f t="shared" si="134"/>
        <v>16</v>
      </c>
      <c r="HY18" s="19">
        <v>84.35</v>
      </c>
      <c r="HZ18" s="10" t="str">
        <f t="shared" si="135"/>
        <v>A</v>
      </c>
      <c r="IA18" s="1">
        <f t="shared" si="136"/>
        <v>4</v>
      </c>
      <c r="IB18" s="10">
        <v>2</v>
      </c>
      <c r="IC18" s="1">
        <f t="shared" si="137"/>
        <v>8</v>
      </c>
      <c r="ID18" s="7">
        <v>80</v>
      </c>
      <c r="IE18" s="10" t="str">
        <f t="shared" si="138"/>
        <v>A</v>
      </c>
      <c r="IF18" s="1">
        <f t="shared" si="139"/>
        <v>4</v>
      </c>
      <c r="IG18" s="10">
        <v>3</v>
      </c>
      <c r="IH18" s="1">
        <f t="shared" si="140"/>
        <v>12</v>
      </c>
      <c r="II18" s="6">
        <v>82.2</v>
      </c>
      <c r="IJ18" s="10" t="str">
        <f t="shared" si="141"/>
        <v>A</v>
      </c>
      <c r="IK18" s="1">
        <f t="shared" si="142"/>
        <v>4</v>
      </c>
      <c r="IL18" s="10">
        <v>2</v>
      </c>
      <c r="IM18" s="1">
        <f t="shared" si="143"/>
        <v>8</v>
      </c>
      <c r="IN18" s="18">
        <v>78.3</v>
      </c>
      <c r="IO18" s="10" t="str">
        <f t="shared" si="144"/>
        <v>B+</v>
      </c>
      <c r="IP18" s="1">
        <f t="shared" si="145"/>
        <v>3.5</v>
      </c>
      <c r="IQ18" s="10">
        <v>2</v>
      </c>
      <c r="IR18" s="1">
        <f t="shared" si="146"/>
        <v>7</v>
      </c>
      <c r="IS18" s="10">
        <v>76</v>
      </c>
      <c r="IT18" s="10" t="str">
        <f t="shared" si="147"/>
        <v>B+</v>
      </c>
      <c r="IU18" s="1">
        <f t="shared" si="148"/>
        <v>3.5</v>
      </c>
      <c r="IV18" s="10">
        <v>4</v>
      </c>
      <c r="IW18" s="1">
        <f t="shared" si="149"/>
        <v>14</v>
      </c>
      <c r="IX18" s="10">
        <v>87</v>
      </c>
      <c r="IY18" s="10" t="str">
        <f t="shared" si="150"/>
        <v>A</v>
      </c>
      <c r="IZ18" s="1">
        <f t="shared" si="151"/>
        <v>4</v>
      </c>
      <c r="JA18" s="10">
        <v>4</v>
      </c>
      <c r="JB18" s="1">
        <f t="shared" si="152"/>
        <v>16</v>
      </c>
      <c r="JC18" s="2">
        <v>73</v>
      </c>
      <c r="JD18" s="2">
        <v>22</v>
      </c>
      <c r="JE18" s="2">
        <v>69</v>
      </c>
      <c r="JF18" s="2">
        <v>19</v>
      </c>
      <c r="JG18" s="2">
        <v>78.5</v>
      </c>
      <c r="JH18" s="2">
        <v>21</v>
      </c>
      <c r="JI18" s="2">
        <v>80</v>
      </c>
      <c r="JJ18" s="2">
        <v>21</v>
      </c>
      <c r="JK18" s="2">
        <v>76.5</v>
      </c>
      <c r="JL18" s="2">
        <v>21</v>
      </c>
      <c r="JM18" s="2">
        <v>67</v>
      </c>
      <c r="JN18" s="2">
        <v>19</v>
      </c>
      <c r="JO18" s="2">
        <v>65</v>
      </c>
      <c r="JP18" s="2">
        <v>17</v>
      </c>
      <c r="JQ18" s="2">
        <v>16</v>
      </c>
      <c r="JR18" s="2">
        <v>4</v>
      </c>
      <c r="JS18" s="2">
        <f t="shared" si="153"/>
        <v>525</v>
      </c>
      <c r="JT18" s="2">
        <f t="shared" si="153"/>
        <v>144</v>
      </c>
      <c r="JU18" s="3">
        <f t="shared" si="154"/>
        <v>3.6458333333333335</v>
      </c>
      <c r="JV18" s="2" t="str">
        <f t="shared" si="155"/>
        <v>Cum Laude</v>
      </c>
      <c r="JW18" s="2" t="str">
        <f t="shared" si="156"/>
        <v>Excellent</v>
      </c>
      <c r="JX18" s="23" t="s">
        <v>208</v>
      </c>
      <c r="JY18" s="23" t="s">
        <v>271</v>
      </c>
    </row>
    <row r="19" spans="1:285" x14ac:dyDescent="0.25">
      <c r="A19" s="55">
        <v>17</v>
      </c>
      <c r="B19" s="22" t="s">
        <v>36</v>
      </c>
      <c r="C19" s="25">
        <v>152111027</v>
      </c>
      <c r="D19" s="2" t="s">
        <v>168</v>
      </c>
      <c r="E19" s="24" t="s">
        <v>145</v>
      </c>
      <c r="F19" s="27" t="s">
        <v>220</v>
      </c>
      <c r="G19" s="2" t="s">
        <v>251</v>
      </c>
      <c r="H19" s="9">
        <v>82.550000000000011</v>
      </c>
      <c r="I19" s="10" t="str">
        <f t="shared" si="42"/>
        <v>A</v>
      </c>
      <c r="J19" s="1">
        <f t="shared" si="0"/>
        <v>4</v>
      </c>
      <c r="K19" s="10">
        <v>2</v>
      </c>
      <c r="L19" s="1">
        <f t="shared" si="43"/>
        <v>8</v>
      </c>
      <c r="M19" s="12">
        <v>74.5</v>
      </c>
      <c r="N19" s="10" t="str">
        <f t="shared" si="44"/>
        <v>B</v>
      </c>
      <c r="O19" s="1">
        <f t="shared" si="1"/>
        <v>3</v>
      </c>
      <c r="P19" s="10">
        <v>3</v>
      </c>
      <c r="Q19" s="1">
        <f t="shared" si="45"/>
        <v>9</v>
      </c>
      <c r="R19" s="31">
        <v>75.066666666666663</v>
      </c>
      <c r="S19" s="10" t="str">
        <f t="shared" si="46"/>
        <v>B+</v>
      </c>
      <c r="T19" s="1">
        <f t="shared" si="2"/>
        <v>3.5</v>
      </c>
      <c r="U19" s="10">
        <v>4</v>
      </c>
      <c r="V19" s="1">
        <f t="shared" si="47"/>
        <v>14</v>
      </c>
      <c r="W19" s="12">
        <v>77.849999999999994</v>
      </c>
      <c r="X19" s="10" t="str">
        <f t="shared" si="48"/>
        <v>B+</v>
      </c>
      <c r="Y19" s="1">
        <f t="shared" si="3"/>
        <v>3.5</v>
      </c>
      <c r="Z19" s="10">
        <v>2</v>
      </c>
      <c r="AA19" s="1">
        <f t="shared" si="49"/>
        <v>7</v>
      </c>
      <c r="AB19" s="12">
        <v>79.099999999999994</v>
      </c>
      <c r="AC19" s="10" t="str">
        <f t="shared" si="50"/>
        <v>B+</v>
      </c>
      <c r="AD19" s="1">
        <f t="shared" si="4"/>
        <v>3.5</v>
      </c>
      <c r="AE19" s="10">
        <v>4</v>
      </c>
      <c r="AF19" s="1">
        <f t="shared" si="51"/>
        <v>14</v>
      </c>
      <c r="AG19" s="12">
        <v>75.400000000000006</v>
      </c>
      <c r="AH19" s="10" t="str">
        <f t="shared" si="52"/>
        <v>B+</v>
      </c>
      <c r="AI19" s="1">
        <f t="shared" si="5"/>
        <v>3.5</v>
      </c>
      <c r="AJ19" s="10">
        <v>4</v>
      </c>
      <c r="AK19" s="1">
        <f t="shared" si="53"/>
        <v>14</v>
      </c>
      <c r="AL19" s="12">
        <v>78.166666666666671</v>
      </c>
      <c r="AM19" s="10" t="str">
        <f t="shared" si="54"/>
        <v>B+</v>
      </c>
      <c r="AN19" s="1">
        <f t="shared" si="6"/>
        <v>3.5</v>
      </c>
      <c r="AO19" s="10">
        <v>3</v>
      </c>
      <c r="AP19" s="1">
        <f t="shared" si="55"/>
        <v>10.5</v>
      </c>
      <c r="AQ19" s="12">
        <v>85</v>
      </c>
      <c r="AR19" s="10" t="str">
        <f t="shared" si="56"/>
        <v>A</v>
      </c>
      <c r="AS19" s="1">
        <f t="shared" si="7"/>
        <v>4</v>
      </c>
      <c r="AT19" s="10">
        <v>3</v>
      </c>
      <c r="AU19" s="1">
        <f t="shared" si="57"/>
        <v>12</v>
      </c>
      <c r="AV19" s="12">
        <v>70</v>
      </c>
      <c r="AW19" s="10" t="str">
        <f t="shared" si="58"/>
        <v>B</v>
      </c>
      <c r="AX19" s="1">
        <f t="shared" si="8"/>
        <v>3</v>
      </c>
      <c r="AY19" s="10">
        <v>2</v>
      </c>
      <c r="AZ19" s="1">
        <f t="shared" si="59"/>
        <v>6</v>
      </c>
      <c r="BA19" s="12">
        <v>80.099999999999994</v>
      </c>
      <c r="BB19" s="10" t="str">
        <f t="shared" si="60"/>
        <v>A</v>
      </c>
      <c r="BC19" s="1">
        <f t="shared" si="9"/>
        <v>4</v>
      </c>
      <c r="BD19" s="10">
        <v>2</v>
      </c>
      <c r="BE19" s="1">
        <f t="shared" si="61"/>
        <v>8</v>
      </c>
      <c r="BF19" s="14">
        <v>73.400000000000006</v>
      </c>
      <c r="BG19" s="10" t="str">
        <f t="shared" si="62"/>
        <v>B</v>
      </c>
      <c r="BH19" s="1">
        <f t="shared" si="10"/>
        <v>3</v>
      </c>
      <c r="BI19" s="10">
        <v>3</v>
      </c>
      <c r="BJ19" s="1">
        <f t="shared" si="63"/>
        <v>9</v>
      </c>
      <c r="BK19" s="15">
        <v>80</v>
      </c>
      <c r="BL19" s="10" t="str">
        <f t="shared" si="64"/>
        <v>A</v>
      </c>
      <c r="BM19" s="1">
        <f t="shared" si="11"/>
        <v>4</v>
      </c>
      <c r="BN19" s="10">
        <v>2</v>
      </c>
      <c r="BO19" s="1">
        <f t="shared" si="65"/>
        <v>8</v>
      </c>
      <c r="BP19" s="12">
        <v>72.25</v>
      </c>
      <c r="BQ19" s="10" t="str">
        <f t="shared" si="66"/>
        <v>B</v>
      </c>
      <c r="BR19" s="1">
        <f t="shared" si="12"/>
        <v>3</v>
      </c>
      <c r="BS19" s="10">
        <v>2</v>
      </c>
      <c r="BT19" s="1">
        <f t="shared" si="67"/>
        <v>6</v>
      </c>
      <c r="BU19" s="4">
        <v>75.349999999999994</v>
      </c>
      <c r="BV19" s="10" t="str">
        <f t="shared" si="68"/>
        <v>B+</v>
      </c>
      <c r="BW19" s="1">
        <f t="shared" si="13"/>
        <v>3.5</v>
      </c>
      <c r="BX19" s="10">
        <v>3</v>
      </c>
      <c r="BY19" s="1">
        <f t="shared" si="69"/>
        <v>10.5</v>
      </c>
      <c r="BZ19" s="12">
        <v>74.183333333333337</v>
      </c>
      <c r="CA19" s="10" t="str">
        <f t="shared" si="70"/>
        <v>B</v>
      </c>
      <c r="CB19" s="1">
        <f t="shared" si="14"/>
        <v>3</v>
      </c>
      <c r="CC19" s="10">
        <v>2</v>
      </c>
      <c r="CD19" s="1">
        <f t="shared" si="71"/>
        <v>6</v>
      </c>
      <c r="CE19" s="19">
        <v>80</v>
      </c>
      <c r="CF19" s="10" t="str">
        <f t="shared" si="72"/>
        <v>A</v>
      </c>
      <c r="CG19" s="1">
        <f t="shared" si="15"/>
        <v>4</v>
      </c>
      <c r="CH19" s="10">
        <v>4</v>
      </c>
      <c r="CI19" s="1">
        <f t="shared" si="73"/>
        <v>16</v>
      </c>
      <c r="CJ19" s="19">
        <v>85.5</v>
      </c>
      <c r="CK19" s="10" t="str">
        <f t="shared" si="74"/>
        <v>A</v>
      </c>
      <c r="CL19" s="1">
        <f t="shared" si="16"/>
        <v>4</v>
      </c>
      <c r="CM19" s="10">
        <v>4</v>
      </c>
      <c r="CN19" s="1">
        <f t="shared" si="75"/>
        <v>16</v>
      </c>
      <c r="CO19" s="19">
        <v>80.875</v>
      </c>
      <c r="CP19" s="10" t="str">
        <f t="shared" si="76"/>
        <v>A</v>
      </c>
      <c r="CQ19" s="1">
        <f t="shared" si="17"/>
        <v>4</v>
      </c>
      <c r="CR19" s="10">
        <v>3</v>
      </c>
      <c r="CS19" s="1">
        <f t="shared" si="77"/>
        <v>12</v>
      </c>
      <c r="CT19" s="17">
        <v>80</v>
      </c>
      <c r="CU19" s="10" t="str">
        <f t="shared" si="78"/>
        <v>A</v>
      </c>
      <c r="CV19" s="1">
        <f t="shared" si="18"/>
        <v>4</v>
      </c>
      <c r="CW19" s="10">
        <v>2</v>
      </c>
      <c r="CX19" s="1">
        <f t="shared" si="79"/>
        <v>8</v>
      </c>
      <c r="CY19" s="18">
        <v>81.325000000000003</v>
      </c>
      <c r="CZ19" s="10" t="str">
        <f t="shared" si="80"/>
        <v>A</v>
      </c>
      <c r="DA19" s="1">
        <f t="shared" si="19"/>
        <v>4</v>
      </c>
      <c r="DB19" s="10">
        <v>2</v>
      </c>
      <c r="DC19" s="1">
        <f t="shared" si="81"/>
        <v>8</v>
      </c>
      <c r="DD19" s="19">
        <v>84.449999999999989</v>
      </c>
      <c r="DE19" s="10" t="str">
        <f t="shared" si="82"/>
        <v>A</v>
      </c>
      <c r="DF19" s="1">
        <f t="shared" si="20"/>
        <v>4</v>
      </c>
      <c r="DG19" s="10">
        <v>2</v>
      </c>
      <c r="DH19" s="1">
        <f t="shared" si="83"/>
        <v>8</v>
      </c>
      <c r="DI19" s="5">
        <v>82</v>
      </c>
      <c r="DJ19" s="10" t="str">
        <f t="shared" si="84"/>
        <v>A</v>
      </c>
      <c r="DK19" s="1">
        <f t="shared" si="21"/>
        <v>4</v>
      </c>
      <c r="DL19" s="10">
        <v>2</v>
      </c>
      <c r="DM19" s="1">
        <f t="shared" si="85"/>
        <v>8</v>
      </c>
      <c r="DN19" s="20">
        <v>80</v>
      </c>
      <c r="DO19" s="10" t="str">
        <f t="shared" si="86"/>
        <v>A</v>
      </c>
      <c r="DP19" s="1">
        <f t="shared" si="22"/>
        <v>4</v>
      </c>
      <c r="DQ19" s="10">
        <v>2</v>
      </c>
      <c r="DR19" s="1">
        <f t="shared" si="87"/>
        <v>8</v>
      </c>
      <c r="DS19" s="19">
        <v>70</v>
      </c>
      <c r="DT19" s="10" t="str">
        <f t="shared" si="88"/>
        <v>B</v>
      </c>
      <c r="DU19" s="1">
        <f t="shared" si="23"/>
        <v>3</v>
      </c>
      <c r="DV19" s="10">
        <v>4</v>
      </c>
      <c r="DW19" s="1">
        <f t="shared" si="89"/>
        <v>12</v>
      </c>
      <c r="DX19" s="19">
        <v>86.75</v>
      </c>
      <c r="DY19" s="10" t="str">
        <f t="shared" si="90"/>
        <v>A</v>
      </c>
      <c r="DZ19" s="1">
        <f t="shared" si="24"/>
        <v>4</v>
      </c>
      <c r="EA19" s="10">
        <v>3</v>
      </c>
      <c r="EB19" s="1">
        <f t="shared" si="91"/>
        <v>12</v>
      </c>
      <c r="EC19" s="19">
        <v>74.599999999999994</v>
      </c>
      <c r="ED19" s="10" t="str">
        <f t="shared" si="92"/>
        <v>B</v>
      </c>
      <c r="EE19" s="1">
        <f t="shared" si="25"/>
        <v>3</v>
      </c>
      <c r="EF19" s="10">
        <v>3</v>
      </c>
      <c r="EG19" s="1">
        <f t="shared" si="93"/>
        <v>9</v>
      </c>
      <c r="EH19" s="6">
        <v>80</v>
      </c>
      <c r="EI19" s="10" t="str">
        <f t="shared" si="94"/>
        <v>A</v>
      </c>
      <c r="EJ19" s="1">
        <f t="shared" si="26"/>
        <v>4</v>
      </c>
      <c r="EK19" s="10">
        <v>3</v>
      </c>
      <c r="EL19" s="1">
        <f t="shared" si="95"/>
        <v>12</v>
      </c>
      <c r="EM19" s="18">
        <v>75.777777777777771</v>
      </c>
      <c r="EN19" s="10" t="str">
        <f t="shared" si="96"/>
        <v>B+</v>
      </c>
      <c r="EO19" s="1">
        <f t="shared" si="27"/>
        <v>3.5</v>
      </c>
      <c r="EP19" s="10">
        <v>3</v>
      </c>
      <c r="EQ19" s="1">
        <f t="shared" si="97"/>
        <v>10.5</v>
      </c>
      <c r="ER19" s="7">
        <v>78.3</v>
      </c>
      <c r="ES19" s="10" t="str">
        <f t="shared" si="98"/>
        <v>B+</v>
      </c>
      <c r="ET19" s="1">
        <f t="shared" si="28"/>
        <v>3.5</v>
      </c>
      <c r="EU19" s="10">
        <v>2</v>
      </c>
      <c r="EV19" s="1">
        <f t="shared" si="99"/>
        <v>7</v>
      </c>
      <c r="EW19" s="5">
        <v>80.3</v>
      </c>
      <c r="EX19" s="10" t="str">
        <f t="shared" si="100"/>
        <v>A</v>
      </c>
      <c r="EY19" s="1">
        <f t="shared" si="29"/>
        <v>4</v>
      </c>
      <c r="EZ19" s="10">
        <v>3</v>
      </c>
      <c r="FA19" s="1">
        <f t="shared" si="101"/>
        <v>12</v>
      </c>
      <c r="FB19" s="19">
        <v>78</v>
      </c>
      <c r="FC19" s="10" t="str">
        <f t="shared" si="102"/>
        <v>B+</v>
      </c>
      <c r="FD19" s="1">
        <f t="shared" si="30"/>
        <v>3.5</v>
      </c>
      <c r="FE19" s="10">
        <v>2</v>
      </c>
      <c r="FF19" s="1">
        <f t="shared" si="103"/>
        <v>7</v>
      </c>
      <c r="FG19" s="19">
        <v>77</v>
      </c>
      <c r="FH19" s="10" t="str">
        <f t="shared" si="104"/>
        <v>B+</v>
      </c>
      <c r="FI19" s="1">
        <f t="shared" si="31"/>
        <v>3.5</v>
      </c>
      <c r="FJ19" s="10">
        <v>3</v>
      </c>
      <c r="FK19" s="1">
        <f t="shared" si="105"/>
        <v>10.5</v>
      </c>
      <c r="FL19" s="19">
        <v>82</v>
      </c>
      <c r="FM19" s="10" t="str">
        <f t="shared" si="106"/>
        <v>A</v>
      </c>
      <c r="FN19" s="1">
        <f t="shared" si="32"/>
        <v>4</v>
      </c>
      <c r="FO19" s="10">
        <v>3</v>
      </c>
      <c r="FP19" s="1">
        <f t="shared" si="107"/>
        <v>12</v>
      </c>
      <c r="FQ19" s="6">
        <v>81.3</v>
      </c>
      <c r="FR19" s="10" t="str">
        <f t="shared" si="108"/>
        <v>A</v>
      </c>
      <c r="FS19" s="1">
        <f t="shared" si="109"/>
        <v>4</v>
      </c>
      <c r="FT19" s="10">
        <v>3</v>
      </c>
      <c r="FU19" s="1">
        <f t="shared" si="110"/>
        <v>12</v>
      </c>
      <c r="FV19" s="18">
        <v>78.3</v>
      </c>
      <c r="FW19" s="10" t="str">
        <f t="shared" si="111"/>
        <v>B+</v>
      </c>
      <c r="FX19" s="1">
        <f t="shared" si="33"/>
        <v>3.5</v>
      </c>
      <c r="FY19" s="10">
        <v>3</v>
      </c>
      <c r="FZ19" s="1">
        <f t="shared" si="112"/>
        <v>10.5</v>
      </c>
      <c r="GA19" s="7">
        <v>72.150000000000006</v>
      </c>
      <c r="GB19" s="10" t="str">
        <f t="shared" si="113"/>
        <v>B</v>
      </c>
      <c r="GC19" s="1">
        <f t="shared" si="34"/>
        <v>3</v>
      </c>
      <c r="GD19" s="10">
        <v>2</v>
      </c>
      <c r="GE19" s="1">
        <f t="shared" si="114"/>
        <v>6</v>
      </c>
      <c r="GF19" s="5">
        <v>78</v>
      </c>
      <c r="GG19" s="10" t="str">
        <f t="shared" si="115"/>
        <v>B+</v>
      </c>
      <c r="GH19" s="1">
        <f t="shared" si="35"/>
        <v>3.5</v>
      </c>
      <c r="GI19" s="10">
        <v>3</v>
      </c>
      <c r="GJ19" s="1">
        <f t="shared" si="116"/>
        <v>10.5</v>
      </c>
      <c r="GK19" s="5">
        <v>75.150000000000006</v>
      </c>
      <c r="GL19" s="10" t="str">
        <f t="shared" si="117"/>
        <v>B+</v>
      </c>
      <c r="GM19" s="1">
        <f t="shared" si="36"/>
        <v>3.5</v>
      </c>
      <c r="GN19" s="10">
        <v>2</v>
      </c>
      <c r="GO19" s="1">
        <f t="shared" si="118"/>
        <v>7</v>
      </c>
      <c r="GP19" s="19">
        <v>80.400000000000006</v>
      </c>
      <c r="GQ19" s="10" t="str">
        <f t="shared" si="119"/>
        <v>A</v>
      </c>
      <c r="GR19" s="1">
        <f t="shared" si="37"/>
        <v>4</v>
      </c>
      <c r="GS19" s="10">
        <v>3</v>
      </c>
      <c r="GT19" s="1">
        <f t="shared" si="120"/>
        <v>12</v>
      </c>
      <c r="GU19" s="19">
        <v>74.52</v>
      </c>
      <c r="GV19" s="10" t="str">
        <f t="shared" si="121"/>
        <v>B</v>
      </c>
      <c r="GW19" s="1">
        <f t="shared" si="38"/>
        <v>3</v>
      </c>
      <c r="GX19" s="10">
        <v>4</v>
      </c>
      <c r="GY19" s="1">
        <f t="shared" si="122"/>
        <v>12</v>
      </c>
      <c r="GZ19" s="7">
        <v>75.5</v>
      </c>
      <c r="HA19" s="10" t="str">
        <f t="shared" si="123"/>
        <v>B+</v>
      </c>
      <c r="HB19" s="1">
        <f t="shared" si="124"/>
        <v>3.5</v>
      </c>
      <c r="HC19" s="10">
        <v>4</v>
      </c>
      <c r="HD19" s="1">
        <f t="shared" si="125"/>
        <v>14</v>
      </c>
      <c r="HE19" s="6">
        <v>76.150000000000006</v>
      </c>
      <c r="HF19" s="10" t="str">
        <f t="shared" si="126"/>
        <v>B+</v>
      </c>
      <c r="HG19" s="1">
        <f t="shared" si="39"/>
        <v>3.5</v>
      </c>
      <c r="HH19" s="10">
        <v>2</v>
      </c>
      <c r="HI19" s="1">
        <f t="shared" si="127"/>
        <v>7</v>
      </c>
      <c r="HJ19" s="18">
        <v>75.433333333333337</v>
      </c>
      <c r="HK19" s="10" t="str">
        <f t="shared" si="128"/>
        <v>B+</v>
      </c>
      <c r="HL19" s="1">
        <f t="shared" si="40"/>
        <v>3.5</v>
      </c>
      <c r="HM19" s="10">
        <v>3</v>
      </c>
      <c r="HN19" s="1">
        <f t="shared" si="129"/>
        <v>10.5</v>
      </c>
      <c r="HO19" s="12">
        <v>74.775000000000006</v>
      </c>
      <c r="HP19" s="10" t="str">
        <f t="shared" si="130"/>
        <v>B</v>
      </c>
      <c r="HQ19" s="1">
        <f t="shared" si="41"/>
        <v>3</v>
      </c>
      <c r="HR19" s="10">
        <v>3</v>
      </c>
      <c r="HS19" s="1">
        <f t="shared" si="131"/>
        <v>9</v>
      </c>
      <c r="HT19" s="10">
        <v>77</v>
      </c>
      <c r="HU19" s="10" t="str">
        <f t="shared" si="132"/>
        <v>B+</v>
      </c>
      <c r="HV19" s="1">
        <f t="shared" si="133"/>
        <v>3.5</v>
      </c>
      <c r="HW19" s="10">
        <v>4</v>
      </c>
      <c r="HX19" s="1">
        <f t="shared" si="134"/>
        <v>14</v>
      </c>
      <c r="HY19" s="19">
        <v>76.75</v>
      </c>
      <c r="HZ19" s="10" t="str">
        <f t="shared" si="135"/>
        <v>B+</v>
      </c>
      <c r="IA19" s="1">
        <f t="shared" si="136"/>
        <v>3.5</v>
      </c>
      <c r="IB19" s="10">
        <v>2</v>
      </c>
      <c r="IC19" s="1">
        <f t="shared" si="137"/>
        <v>7</v>
      </c>
      <c r="ID19" s="7">
        <v>77.95</v>
      </c>
      <c r="IE19" s="10" t="str">
        <f t="shared" si="138"/>
        <v>B+</v>
      </c>
      <c r="IF19" s="1">
        <f t="shared" si="139"/>
        <v>3.5</v>
      </c>
      <c r="IG19" s="10">
        <v>3</v>
      </c>
      <c r="IH19" s="1">
        <f t="shared" si="140"/>
        <v>10.5</v>
      </c>
      <c r="II19" s="6">
        <v>77</v>
      </c>
      <c r="IJ19" s="10" t="str">
        <f t="shared" si="141"/>
        <v>B+</v>
      </c>
      <c r="IK19" s="1">
        <f t="shared" si="142"/>
        <v>3.5</v>
      </c>
      <c r="IL19" s="10">
        <v>2</v>
      </c>
      <c r="IM19" s="1">
        <f t="shared" si="143"/>
        <v>7</v>
      </c>
      <c r="IN19" s="18">
        <v>75.28</v>
      </c>
      <c r="IO19" s="10" t="str">
        <f t="shared" si="144"/>
        <v>B+</v>
      </c>
      <c r="IP19" s="1">
        <f t="shared" si="145"/>
        <v>3.5</v>
      </c>
      <c r="IQ19" s="10">
        <v>2</v>
      </c>
      <c r="IR19" s="1">
        <f t="shared" si="146"/>
        <v>7</v>
      </c>
      <c r="IS19" s="10">
        <v>79</v>
      </c>
      <c r="IT19" s="10" t="str">
        <f t="shared" si="147"/>
        <v>B+</v>
      </c>
      <c r="IU19" s="1">
        <f t="shared" si="148"/>
        <v>3.5</v>
      </c>
      <c r="IV19" s="10">
        <v>4</v>
      </c>
      <c r="IW19" s="1">
        <f t="shared" si="149"/>
        <v>14</v>
      </c>
      <c r="IX19" s="10">
        <v>80.5</v>
      </c>
      <c r="IY19" s="10" t="str">
        <f t="shared" si="150"/>
        <v>A</v>
      </c>
      <c r="IZ19" s="1">
        <f t="shared" si="151"/>
        <v>4</v>
      </c>
      <c r="JA19" s="10">
        <v>4</v>
      </c>
      <c r="JB19" s="1">
        <f t="shared" si="152"/>
        <v>16</v>
      </c>
      <c r="JC19" s="2">
        <v>76.5</v>
      </c>
      <c r="JD19" s="2">
        <v>22</v>
      </c>
      <c r="JE19" s="2">
        <v>65.5</v>
      </c>
      <c r="JF19" s="2">
        <v>19</v>
      </c>
      <c r="JG19" s="2">
        <v>84</v>
      </c>
      <c r="JH19" s="2">
        <v>21</v>
      </c>
      <c r="JI19" s="2">
        <v>74.5</v>
      </c>
      <c r="JJ19" s="2">
        <v>21</v>
      </c>
      <c r="JK19" s="2">
        <v>75.5</v>
      </c>
      <c r="JL19" s="2">
        <v>21</v>
      </c>
      <c r="JM19" s="2">
        <v>64.5</v>
      </c>
      <c r="JN19" s="2">
        <v>19</v>
      </c>
      <c r="JO19" s="2">
        <v>59.5</v>
      </c>
      <c r="JP19" s="2">
        <v>17</v>
      </c>
      <c r="JQ19" s="2">
        <v>16</v>
      </c>
      <c r="JR19" s="2">
        <v>4</v>
      </c>
      <c r="JS19" s="2">
        <f t="shared" si="153"/>
        <v>516</v>
      </c>
      <c r="JT19" s="2">
        <f t="shared" si="153"/>
        <v>144</v>
      </c>
      <c r="JU19" s="3">
        <f t="shared" si="154"/>
        <v>3.5833333333333335</v>
      </c>
      <c r="JV19" s="2" t="str">
        <f t="shared" si="155"/>
        <v>Cum Laude</v>
      </c>
      <c r="JW19" s="2" t="str">
        <f t="shared" si="156"/>
        <v>Excellent</v>
      </c>
      <c r="JX19" s="23" t="s">
        <v>196</v>
      </c>
      <c r="JY19" s="23" t="s">
        <v>272</v>
      </c>
    </row>
    <row r="20" spans="1:285" x14ac:dyDescent="0.25">
      <c r="A20" s="55">
        <v>18</v>
      </c>
      <c r="B20" s="23" t="s">
        <v>37</v>
      </c>
      <c r="C20" s="2">
        <v>152111029</v>
      </c>
      <c r="D20" s="25" t="s">
        <v>135</v>
      </c>
      <c r="E20" s="27" t="s">
        <v>151</v>
      </c>
      <c r="F20" s="27" t="s">
        <v>219</v>
      </c>
      <c r="G20" s="2" t="s">
        <v>237</v>
      </c>
      <c r="H20" s="10">
        <v>86.25</v>
      </c>
      <c r="I20" s="10" t="s">
        <v>38</v>
      </c>
      <c r="J20" s="10">
        <v>4</v>
      </c>
      <c r="K20" s="10">
        <v>2</v>
      </c>
      <c r="L20" s="10">
        <v>8</v>
      </c>
      <c r="M20" s="10">
        <v>75.75</v>
      </c>
      <c r="N20" s="10" t="s">
        <v>39</v>
      </c>
      <c r="O20" s="10">
        <v>3.5</v>
      </c>
      <c r="P20" s="10">
        <v>3</v>
      </c>
      <c r="Q20" s="10">
        <v>10.5</v>
      </c>
      <c r="R20" s="10">
        <v>74.441666666666663</v>
      </c>
      <c r="S20" s="10" t="s">
        <v>40</v>
      </c>
      <c r="T20" s="10">
        <v>3</v>
      </c>
      <c r="U20" s="10">
        <v>4</v>
      </c>
      <c r="V20" s="10">
        <v>12</v>
      </c>
      <c r="W20" s="10">
        <v>84.55</v>
      </c>
      <c r="X20" s="10" t="s">
        <v>38</v>
      </c>
      <c r="Y20" s="10">
        <v>4</v>
      </c>
      <c r="Z20" s="10">
        <v>2</v>
      </c>
      <c r="AA20" s="10">
        <v>8</v>
      </c>
      <c r="AB20" s="10">
        <v>82.5</v>
      </c>
      <c r="AC20" s="10" t="s">
        <v>38</v>
      </c>
      <c r="AD20" s="10">
        <v>4</v>
      </c>
      <c r="AE20" s="10">
        <v>4</v>
      </c>
      <c r="AF20" s="10">
        <v>16</v>
      </c>
      <c r="AG20" s="10">
        <v>84.199999999999989</v>
      </c>
      <c r="AH20" s="10" t="s">
        <v>38</v>
      </c>
      <c r="AI20" s="10">
        <v>4</v>
      </c>
      <c r="AJ20" s="10">
        <v>4</v>
      </c>
      <c r="AK20" s="10">
        <v>16</v>
      </c>
      <c r="AL20" s="10">
        <v>81.766666666666666</v>
      </c>
      <c r="AM20" s="10" t="s">
        <v>38</v>
      </c>
      <c r="AN20" s="10">
        <v>4</v>
      </c>
      <c r="AO20" s="10">
        <v>3</v>
      </c>
      <c r="AP20" s="10">
        <v>12</v>
      </c>
      <c r="AQ20" s="9">
        <v>83.95</v>
      </c>
      <c r="AR20" s="10" t="str">
        <f>IF(AQ20&gt;=80,"A",IF(AQ20&gt;=75,"B+",IF(AQ20&gt;=70,"B",IF(AQ20&gt;=65,"C+",IF(AQ20&gt;=60,"C",IF(AQ20&gt;=55,"D",IF(AQ20&lt;54,"E")))))))</f>
        <v>A</v>
      </c>
      <c r="AS20" s="1">
        <f t="shared" si="7"/>
        <v>4</v>
      </c>
      <c r="AT20" s="10">
        <v>3</v>
      </c>
      <c r="AU20" s="1">
        <f>AS20*AT20</f>
        <v>12</v>
      </c>
      <c r="AV20" s="11">
        <v>75</v>
      </c>
      <c r="AW20" s="10" t="str">
        <f>IF(AV20&gt;=80,"A",IF(AV20&gt;=75,"B+",IF(AV20&gt;=70,"B",IF(AV20&gt;=65,"C+",IF(AV20&gt;=60,"C",IF(AV20&gt;=55,"D",IF(AV20&lt;54,"E")))))))</f>
        <v>B+</v>
      </c>
      <c r="AX20" s="1">
        <f t="shared" si="8"/>
        <v>3.5</v>
      </c>
      <c r="AY20" s="10">
        <v>2</v>
      </c>
      <c r="AZ20" s="1">
        <f>AX20*AY20</f>
        <v>7</v>
      </c>
      <c r="BA20" s="15">
        <v>80.95</v>
      </c>
      <c r="BB20" s="10" t="str">
        <f>IF(BA20&gt;=80,"A",IF(BA20&gt;=75,"B+",IF(BA20&gt;=70,"B",IF(BA20&gt;=65,"C+",IF(BA20&gt;=60,"C",IF(BA20&gt;=55,"D",IF(BA20&lt;54,"E")))))))</f>
        <v>A</v>
      </c>
      <c r="BC20" s="1">
        <f t="shared" si="9"/>
        <v>4</v>
      </c>
      <c r="BD20" s="10">
        <v>2</v>
      </c>
      <c r="BE20" s="1">
        <f>BC20*BD20</f>
        <v>8</v>
      </c>
      <c r="BF20" s="14">
        <v>77.8</v>
      </c>
      <c r="BG20" s="10" t="str">
        <f>IF(BF20&gt;=80,"A",IF(BF20&gt;=75,"B+",IF(BF20&gt;=70,"B",IF(BF20&gt;=65,"C+",IF(BF20&gt;=60,"C",IF(BF20&gt;=55,"D",IF(BF20&lt;54,"E")))))))</f>
        <v>B+</v>
      </c>
      <c r="BH20" s="1">
        <f t="shared" si="10"/>
        <v>3.5</v>
      </c>
      <c r="BI20" s="10">
        <v>3</v>
      </c>
      <c r="BJ20" s="1">
        <f>BH20*BI20</f>
        <v>10.5</v>
      </c>
      <c r="BK20" s="14">
        <v>77.25</v>
      </c>
      <c r="BL20" s="10" t="str">
        <f>IF(BK20&gt;=80,"A",IF(BK20&gt;=75,"B+",IF(BK20&gt;=70,"B",IF(BK20&gt;=65,"C+",IF(BK20&gt;=60,"C",IF(BK20&gt;=55,"D",IF(BK20&lt;54,"E")))))))</f>
        <v>B+</v>
      </c>
      <c r="BM20" s="1">
        <f t="shared" si="11"/>
        <v>3.5</v>
      </c>
      <c r="BN20" s="10">
        <v>2</v>
      </c>
      <c r="BO20" s="1">
        <f>BM20*BN20</f>
        <v>7</v>
      </c>
      <c r="BP20" s="12">
        <v>81.150000000000006</v>
      </c>
      <c r="BQ20" s="10" t="str">
        <f>IF(BP20&gt;=80,"A",IF(BP20&gt;=75,"B+",IF(BP20&gt;=70,"B",IF(BP20&gt;=65,"C+",IF(BP20&gt;=60,"C",IF(BP20&gt;=55,"D",IF(BP20&lt;54,"E")))))))</f>
        <v>A</v>
      </c>
      <c r="BR20" s="1">
        <f t="shared" si="12"/>
        <v>4</v>
      </c>
      <c r="BS20" s="10">
        <v>2</v>
      </c>
      <c r="BT20" s="1">
        <f>BR20*BS20</f>
        <v>8</v>
      </c>
      <c r="BU20" s="12">
        <v>76.949999999999989</v>
      </c>
      <c r="BV20" s="10" t="str">
        <f>IF(BU20&gt;=80,"A",IF(BU20&gt;=75,"B+",IF(BU20&gt;=70,"B",IF(BU20&gt;=65,"C+",IF(BU20&gt;=60,"C",IF(BU20&gt;=55,"D",IF(BU20&lt;54,"E")))))))</f>
        <v>B+</v>
      </c>
      <c r="BW20" s="1">
        <f t="shared" si="13"/>
        <v>3.5</v>
      </c>
      <c r="BX20" s="10">
        <v>3</v>
      </c>
      <c r="BY20" s="1">
        <f>BW20*BX20</f>
        <v>10.5</v>
      </c>
      <c r="BZ20" s="15">
        <v>77.603333333333339</v>
      </c>
      <c r="CA20" s="10" t="str">
        <f>IF(BZ20&gt;=80,"A",IF(BZ20&gt;=75,"B+",IF(BZ20&gt;=70,"B",IF(BZ20&gt;=65,"C+",IF(BZ20&gt;=60,"C",IF(BZ20&gt;=55,"D",IF(BZ20&lt;54,"E")))))))</f>
        <v>B+</v>
      </c>
      <c r="CB20" s="1">
        <f t="shared" si="14"/>
        <v>3.5</v>
      </c>
      <c r="CC20" s="10">
        <v>2</v>
      </c>
      <c r="CD20" s="1">
        <f>CB20*CC20</f>
        <v>7</v>
      </c>
      <c r="CE20" s="19">
        <v>78.89</v>
      </c>
      <c r="CF20" s="10" t="str">
        <f t="shared" si="72"/>
        <v>B+</v>
      </c>
      <c r="CG20" s="1">
        <f t="shared" si="15"/>
        <v>3.5</v>
      </c>
      <c r="CH20" s="10">
        <v>4</v>
      </c>
      <c r="CI20" s="1">
        <f t="shared" si="73"/>
        <v>14</v>
      </c>
      <c r="CJ20" s="19">
        <v>76.05</v>
      </c>
      <c r="CK20" s="10" t="str">
        <f t="shared" si="74"/>
        <v>B+</v>
      </c>
      <c r="CL20" s="1">
        <f t="shared" si="16"/>
        <v>3.5</v>
      </c>
      <c r="CM20" s="10">
        <v>4</v>
      </c>
      <c r="CN20" s="1">
        <f t="shared" si="75"/>
        <v>14</v>
      </c>
      <c r="CO20" s="19">
        <v>78.7</v>
      </c>
      <c r="CP20" s="10" t="str">
        <f t="shared" si="76"/>
        <v>B+</v>
      </c>
      <c r="CQ20" s="1">
        <f t="shared" si="17"/>
        <v>3.5</v>
      </c>
      <c r="CR20" s="10">
        <v>3</v>
      </c>
      <c r="CS20" s="1">
        <f t="shared" si="77"/>
        <v>10.5</v>
      </c>
      <c r="CT20" s="17">
        <v>81.397428571428577</v>
      </c>
      <c r="CU20" s="10" t="str">
        <f t="shared" si="78"/>
        <v>A</v>
      </c>
      <c r="CV20" s="1">
        <f t="shared" si="18"/>
        <v>4</v>
      </c>
      <c r="CW20" s="10">
        <v>2</v>
      </c>
      <c r="CX20" s="1">
        <f t="shared" si="79"/>
        <v>8</v>
      </c>
      <c r="CY20" s="18">
        <v>79.3</v>
      </c>
      <c r="CZ20" s="10" t="str">
        <f t="shared" si="80"/>
        <v>B+</v>
      </c>
      <c r="DA20" s="1">
        <f t="shared" si="19"/>
        <v>3.5</v>
      </c>
      <c r="DB20" s="10">
        <v>2</v>
      </c>
      <c r="DC20" s="1">
        <f t="shared" si="81"/>
        <v>7</v>
      </c>
      <c r="DD20" s="19">
        <v>86.100000000000009</v>
      </c>
      <c r="DE20" s="10" t="str">
        <f t="shared" si="82"/>
        <v>A</v>
      </c>
      <c r="DF20" s="1">
        <f t="shared" si="20"/>
        <v>4</v>
      </c>
      <c r="DG20" s="10">
        <v>2</v>
      </c>
      <c r="DH20" s="1">
        <f t="shared" si="83"/>
        <v>8</v>
      </c>
      <c r="DI20" s="5">
        <v>87.5</v>
      </c>
      <c r="DJ20" s="10" t="str">
        <f t="shared" si="84"/>
        <v>A</v>
      </c>
      <c r="DK20" s="1">
        <f t="shared" si="21"/>
        <v>4</v>
      </c>
      <c r="DL20" s="10">
        <v>2</v>
      </c>
      <c r="DM20" s="1">
        <f t="shared" si="85"/>
        <v>8</v>
      </c>
      <c r="DN20" s="20">
        <v>81</v>
      </c>
      <c r="DO20" s="10" t="str">
        <f t="shared" si="86"/>
        <v>A</v>
      </c>
      <c r="DP20" s="1">
        <f t="shared" si="22"/>
        <v>4</v>
      </c>
      <c r="DQ20" s="10">
        <v>2</v>
      </c>
      <c r="DR20" s="1">
        <f t="shared" si="87"/>
        <v>8</v>
      </c>
      <c r="DS20" s="19">
        <v>80.55</v>
      </c>
      <c r="DT20" s="10" t="str">
        <f t="shared" si="88"/>
        <v>A</v>
      </c>
      <c r="DU20" s="1">
        <f t="shared" si="23"/>
        <v>4</v>
      </c>
      <c r="DV20" s="10">
        <v>4</v>
      </c>
      <c r="DW20" s="1">
        <f t="shared" si="89"/>
        <v>16</v>
      </c>
      <c r="DX20" s="19">
        <v>82.1</v>
      </c>
      <c r="DY20" s="10" t="str">
        <f t="shared" si="90"/>
        <v>A</v>
      </c>
      <c r="DZ20" s="1">
        <f t="shared" si="24"/>
        <v>4</v>
      </c>
      <c r="EA20" s="10">
        <v>3</v>
      </c>
      <c r="EB20" s="1">
        <f t="shared" si="91"/>
        <v>12</v>
      </c>
      <c r="EC20" s="19">
        <v>79.150000000000006</v>
      </c>
      <c r="ED20" s="10" t="str">
        <f t="shared" si="92"/>
        <v>B+</v>
      </c>
      <c r="EE20" s="1">
        <f t="shared" si="25"/>
        <v>3.5</v>
      </c>
      <c r="EF20" s="10">
        <v>3</v>
      </c>
      <c r="EG20" s="1">
        <f t="shared" si="93"/>
        <v>10.5</v>
      </c>
      <c r="EH20" s="6">
        <v>80.7</v>
      </c>
      <c r="EI20" s="10" t="str">
        <f t="shared" si="94"/>
        <v>A</v>
      </c>
      <c r="EJ20" s="1">
        <f t="shared" si="26"/>
        <v>4</v>
      </c>
      <c r="EK20" s="10">
        <v>3</v>
      </c>
      <c r="EL20" s="1">
        <f t="shared" si="95"/>
        <v>12</v>
      </c>
      <c r="EM20" s="18">
        <v>81.411111111111111</v>
      </c>
      <c r="EN20" s="10" t="str">
        <f t="shared" si="96"/>
        <v>A</v>
      </c>
      <c r="EO20" s="1">
        <f t="shared" si="27"/>
        <v>4</v>
      </c>
      <c r="EP20" s="10">
        <v>3</v>
      </c>
      <c r="EQ20" s="1">
        <f t="shared" si="97"/>
        <v>12</v>
      </c>
      <c r="ER20" s="7">
        <v>81</v>
      </c>
      <c r="ES20" s="10" t="str">
        <f t="shared" si="98"/>
        <v>A</v>
      </c>
      <c r="ET20" s="1">
        <f t="shared" si="28"/>
        <v>4</v>
      </c>
      <c r="EU20" s="10">
        <v>2</v>
      </c>
      <c r="EV20" s="1">
        <f t="shared" si="99"/>
        <v>8</v>
      </c>
      <c r="EW20" s="5">
        <v>80</v>
      </c>
      <c r="EX20" s="10" t="str">
        <f t="shared" si="100"/>
        <v>A</v>
      </c>
      <c r="EY20" s="1">
        <f t="shared" si="29"/>
        <v>4</v>
      </c>
      <c r="EZ20" s="10">
        <v>3</v>
      </c>
      <c r="FA20" s="1">
        <f t="shared" si="101"/>
        <v>12</v>
      </c>
      <c r="FB20" s="19">
        <v>79</v>
      </c>
      <c r="FC20" s="10" t="str">
        <f t="shared" si="102"/>
        <v>B+</v>
      </c>
      <c r="FD20" s="1">
        <f t="shared" si="30"/>
        <v>3.5</v>
      </c>
      <c r="FE20" s="10">
        <v>2</v>
      </c>
      <c r="FF20" s="1">
        <f t="shared" si="103"/>
        <v>7</v>
      </c>
      <c r="FG20" s="19">
        <v>78</v>
      </c>
      <c r="FH20" s="10" t="str">
        <f t="shared" si="104"/>
        <v>B+</v>
      </c>
      <c r="FI20" s="1">
        <f t="shared" si="31"/>
        <v>3.5</v>
      </c>
      <c r="FJ20" s="10">
        <v>3</v>
      </c>
      <c r="FK20" s="1">
        <f t="shared" si="105"/>
        <v>10.5</v>
      </c>
      <c r="FL20" s="19">
        <v>78.933333333333337</v>
      </c>
      <c r="FM20" s="10" t="str">
        <f t="shared" si="106"/>
        <v>B+</v>
      </c>
      <c r="FN20" s="1">
        <f t="shared" si="32"/>
        <v>3.5</v>
      </c>
      <c r="FO20" s="10">
        <v>3</v>
      </c>
      <c r="FP20" s="1">
        <f t="shared" si="107"/>
        <v>10.5</v>
      </c>
      <c r="FQ20" s="6">
        <v>78.739999999999995</v>
      </c>
      <c r="FR20" s="10" t="str">
        <f t="shared" si="108"/>
        <v>B+</v>
      </c>
      <c r="FS20" s="1">
        <f t="shared" si="109"/>
        <v>3.5</v>
      </c>
      <c r="FT20" s="10">
        <v>3</v>
      </c>
      <c r="FU20" s="1">
        <f t="shared" si="110"/>
        <v>10.5</v>
      </c>
      <c r="FV20" s="18">
        <v>80</v>
      </c>
      <c r="FW20" s="10" t="str">
        <f t="shared" si="111"/>
        <v>A</v>
      </c>
      <c r="FX20" s="1">
        <f t="shared" si="33"/>
        <v>4</v>
      </c>
      <c r="FY20" s="10">
        <v>3</v>
      </c>
      <c r="FZ20" s="1">
        <f t="shared" si="112"/>
        <v>12</v>
      </c>
      <c r="GA20" s="7">
        <v>80</v>
      </c>
      <c r="GB20" s="10" t="str">
        <f t="shared" si="113"/>
        <v>A</v>
      </c>
      <c r="GC20" s="1">
        <f t="shared" si="34"/>
        <v>4</v>
      </c>
      <c r="GD20" s="10">
        <v>2</v>
      </c>
      <c r="GE20" s="1">
        <f t="shared" si="114"/>
        <v>8</v>
      </c>
      <c r="GF20" s="5">
        <v>82</v>
      </c>
      <c r="GG20" s="10" t="str">
        <f t="shared" si="115"/>
        <v>A</v>
      </c>
      <c r="GH20" s="1">
        <f t="shared" si="35"/>
        <v>4</v>
      </c>
      <c r="GI20" s="10">
        <v>3</v>
      </c>
      <c r="GJ20" s="1">
        <f t="shared" si="116"/>
        <v>12</v>
      </c>
      <c r="GK20" s="5">
        <v>78.2</v>
      </c>
      <c r="GL20" s="10" t="str">
        <f t="shared" si="117"/>
        <v>B+</v>
      </c>
      <c r="GM20" s="1">
        <f t="shared" si="36"/>
        <v>3.5</v>
      </c>
      <c r="GN20" s="10">
        <v>2</v>
      </c>
      <c r="GO20" s="1">
        <f t="shared" si="118"/>
        <v>7</v>
      </c>
      <c r="GP20" s="19">
        <v>76.599999999999994</v>
      </c>
      <c r="GQ20" s="10" t="str">
        <f t="shared" si="119"/>
        <v>B+</v>
      </c>
      <c r="GR20" s="1">
        <f t="shared" si="37"/>
        <v>3.5</v>
      </c>
      <c r="GS20" s="10">
        <v>3</v>
      </c>
      <c r="GT20" s="1">
        <f t="shared" si="120"/>
        <v>10.5</v>
      </c>
      <c r="GU20" s="19">
        <v>77.28</v>
      </c>
      <c r="GV20" s="10" t="str">
        <f t="shared" si="121"/>
        <v>B+</v>
      </c>
      <c r="GW20" s="1">
        <f t="shared" si="38"/>
        <v>3.5</v>
      </c>
      <c r="GX20" s="10">
        <v>4</v>
      </c>
      <c r="GY20" s="1">
        <f t="shared" si="122"/>
        <v>14</v>
      </c>
      <c r="GZ20" s="7">
        <v>75.5</v>
      </c>
      <c r="HA20" s="10" t="str">
        <f t="shared" si="123"/>
        <v>B+</v>
      </c>
      <c r="HB20" s="1">
        <f t="shared" si="124"/>
        <v>3.5</v>
      </c>
      <c r="HC20" s="10">
        <v>4</v>
      </c>
      <c r="HD20" s="1">
        <f t="shared" si="125"/>
        <v>14</v>
      </c>
      <c r="HE20" s="6">
        <v>80.25</v>
      </c>
      <c r="HF20" s="10" t="str">
        <f t="shared" si="126"/>
        <v>A</v>
      </c>
      <c r="HG20" s="1">
        <f t="shared" si="39"/>
        <v>4</v>
      </c>
      <c r="HH20" s="10">
        <v>2</v>
      </c>
      <c r="HI20" s="1">
        <f t="shared" si="127"/>
        <v>8</v>
      </c>
      <c r="HJ20" s="18">
        <v>77.033333333333331</v>
      </c>
      <c r="HK20" s="10" t="str">
        <f t="shared" si="128"/>
        <v>B+</v>
      </c>
      <c r="HL20" s="1">
        <f t="shared" si="40"/>
        <v>3.5</v>
      </c>
      <c r="HM20" s="10">
        <v>3</v>
      </c>
      <c r="HN20" s="1">
        <f t="shared" si="129"/>
        <v>10.5</v>
      </c>
      <c r="HO20" s="12">
        <v>80.075000000000003</v>
      </c>
      <c r="HP20" s="10" t="str">
        <f t="shared" si="130"/>
        <v>A</v>
      </c>
      <c r="HQ20" s="1">
        <f t="shared" si="41"/>
        <v>4</v>
      </c>
      <c r="HR20" s="10">
        <v>3</v>
      </c>
      <c r="HS20" s="1">
        <f t="shared" si="131"/>
        <v>12</v>
      </c>
      <c r="HT20" s="10">
        <v>84</v>
      </c>
      <c r="HU20" s="10" t="str">
        <f t="shared" si="132"/>
        <v>A</v>
      </c>
      <c r="HV20" s="1">
        <f t="shared" si="133"/>
        <v>4</v>
      </c>
      <c r="HW20" s="10">
        <v>4</v>
      </c>
      <c r="HX20" s="1">
        <f t="shared" si="134"/>
        <v>16</v>
      </c>
      <c r="HY20" s="19">
        <v>81.75</v>
      </c>
      <c r="HZ20" s="10" t="str">
        <f t="shared" si="135"/>
        <v>A</v>
      </c>
      <c r="IA20" s="1">
        <f t="shared" si="136"/>
        <v>4</v>
      </c>
      <c r="IB20" s="10">
        <v>2</v>
      </c>
      <c r="IC20" s="1">
        <f t="shared" si="137"/>
        <v>8</v>
      </c>
      <c r="ID20" s="7">
        <v>80.08</v>
      </c>
      <c r="IE20" s="10" t="str">
        <f t="shared" si="138"/>
        <v>A</v>
      </c>
      <c r="IF20" s="1">
        <f t="shared" si="139"/>
        <v>4</v>
      </c>
      <c r="IG20" s="10">
        <v>3</v>
      </c>
      <c r="IH20" s="1">
        <f t="shared" si="140"/>
        <v>12</v>
      </c>
      <c r="II20" s="6">
        <v>84</v>
      </c>
      <c r="IJ20" s="10" t="str">
        <f t="shared" si="141"/>
        <v>A</v>
      </c>
      <c r="IK20" s="1">
        <f t="shared" si="142"/>
        <v>4</v>
      </c>
      <c r="IL20" s="10">
        <v>2</v>
      </c>
      <c r="IM20" s="1">
        <f t="shared" si="143"/>
        <v>8</v>
      </c>
      <c r="IN20" s="18">
        <v>75.45</v>
      </c>
      <c r="IO20" s="10" t="str">
        <f t="shared" si="144"/>
        <v>B+</v>
      </c>
      <c r="IP20" s="1">
        <f t="shared" si="145"/>
        <v>3.5</v>
      </c>
      <c r="IQ20" s="10">
        <v>2</v>
      </c>
      <c r="IR20" s="1">
        <f t="shared" si="146"/>
        <v>7</v>
      </c>
      <c r="IS20" s="10">
        <v>76.599999999999994</v>
      </c>
      <c r="IT20" s="10" t="str">
        <f t="shared" si="147"/>
        <v>B+</v>
      </c>
      <c r="IU20" s="1">
        <f t="shared" si="148"/>
        <v>3.5</v>
      </c>
      <c r="IV20" s="10">
        <v>4</v>
      </c>
      <c r="IW20" s="1">
        <f t="shared" si="149"/>
        <v>14</v>
      </c>
      <c r="IX20" s="10">
        <v>80.5</v>
      </c>
      <c r="IY20" s="10" t="str">
        <f t="shared" si="150"/>
        <v>A</v>
      </c>
      <c r="IZ20" s="1">
        <f t="shared" si="151"/>
        <v>4</v>
      </c>
      <c r="JA20" s="10">
        <v>4</v>
      </c>
      <c r="JB20" s="1">
        <f t="shared" si="152"/>
        <v>16</v>
      </c>
      <c r="JC20" s="2">
        <v>82.5</v>
      </c>
      <c r="JD20" s="2">
        <v>22</v>
      </c>
      <c r="JE20" s="2">
        <v>70</v>
      </c>
      <c r="JF20" s="2">
        <v>19</v>
      </c>
      <c r="JG20" s="2">
        <v>77.5</v>
      </c>
      <c r="JH20" s="2">
        <v>21</v>
      </c>
      <c r="JI20" s="2">
        <v>82.5</v>
      </c>
      <c r="JJ20" s="2">
        <v>21</v>
      </c>
      <c r="JK20" s="2">
        <v>77.5</v>
      </c>
      <c r="JL20" s="2">
        <v>21</v>
      </c>
      <c r="JM20" s="2">
        <v>69</v>
      </c>
      <c r="JN20" s="2">
        <v>19</v>
      </c>
      <c r="JO20" s="2">
        <v>65</v>
      </c>
      <c r="JP20" s="2">
        <v>17</v>
      </c>
      <c r="JQ20" s="2">
        <v>16</v>
      </c>
      <c r="JR20" s="2">
        <v>4</v>
      </c>
      <c r="JS20" s="2">
        <f t="shared" si="153"/>
        <v>540</v>
      </c>
      <c r="JT20" s="2">
        <f t="shared" si="153"/>
        <v>144</v>
      </c>
      <c r="JU20" s="3">
        <f t="shared" si="154"/>
        <v>3.75</v>
      </c>
      <c r="JV20" s="2" t="str">
        <f t="shared" si="155"/>
        <v>Cum Laude</v>
      </c>
      <c r="JW20" s="2" t="str">
        <f t="shared" si="156"/>
        <v>Excellent</v>
      </c>
      <c r="JX20" s="23" t="s">
        <v>197</v>
      </c>
      <c r="JY20" s="23" t="s">
        <v>273</v>
      </c>
    </row>
    <row r="21" spans="1:285" x14ac:dyDescent="0.25">
      <c r="A21" s="55">
        <v>19</v>
      </c>
      <c r="B21" s="40" t="s">
        <v>41</v>
      </c>
      <c r="C21" s="2">
        <v>152111030</v>
      </c>
      <c r="D21" s="10" t="s">
        <v>184</v>
      </c>
      <c r="E21" s="24" t="s">
        <v>185</v>
      </c>
      <c r="F21" s="27" t="s">
        <v>219</v>
      </c>
      <c r="G21" s="2" t="s">
        <v>238</v>
      </c>
      <c r="H21" s="10">
        <v>84.75</v>
      </c>
      <c r="I21" s="10" t="s">
        <v>38</v>
      </c>
      <c r="J21" s="10">
        <v>4</v>
      </c>
      <c r="K21" s="10">
        <v>2</v>
      </c>
      <c r="L21" s="10">
        <v>8</v>
      </c>
      <c r="M21" s="10">
        <v>75.75</v>
      </c>
      <c r="N21" s="10" t="s">
        <v>39</v>
      </c>
      <c r="O21" s="10">
        <v>3.5</v>
      </c>
      <c r="P21" s="10">
        <v>3</v>
      </c>
      <c r="Q21" s="10">
        <v>10.5</v>
      </c>
      <c r="R21" s="10">
        <v>73.208333333333343</v>
      </c>
      <c r="S21" s="10" t="s">
        <v>40</v>
      </c>
      <c r="T21" s="10">
        <v>3</v>
      </c>
      <c r="U21" s="10">
        <v>4</v>
      </c>
      <c r="V21" s="10">
        <v>12</v>
      </c>
      <c r="W21" s="10">
        <v>80.05</v>
      </c>
      <c r="X21" s="10" t="s">
        <v>38</v>
      </c>
      <c r="Y21" s="10">
        <v>4</v>
      </c>
      <c r="Z21" s="10">
        <v>2</v>
      </c>
      <c r="AA21" s="10">
        <v>8</v>
      </c>
      <c r="AB21" s="10">
        <v>72</v>
      </c>
      <c r="AC21" s="10" t="s">
        <v>40</v>
      </c>
      <c r="AD21" s="10">
        <v>3</v>
      </c>
      <c r="AE21" s="10">
        <v>4</v>
      </c>
      <c r="AF21" s="10">
        <v>12</v>
      </c>
      <c r="AG21" s="10">
        <v>72</v>
      </c>
      <c r="AH21" s="10" t="s">
        <v>40</v>
      </c>
      <c r="AI21" s="10">
        <v>3</v>
      </c>
      <c r="AJ21" s="10">
        <v>4</v>
      </c>
      <c r="AK21" s="10">
        <v>12</v>
      </c>
      <c r="AL21" s="10">
        <v>77.63333333333334</v>
      </c>
      <c r="AM21" s="10" t="s">
        <v>39</v>
      </c>
      <c r="AN21" s="10">
        <v>3.5</v>
      </c>
      <c r="AO21" s="10">
        <v>3</v>
      </c>
      <c r="AP21" s="10">
        <v>10.5</v>
      </c>
      <c r="AQ21" s="9">
        <v>82.100000000000009</v>
      </c>
      <c r="AR21" s="10" t="str">
        <f t="shared" ref="AR21:AR35" si="157">IF(AQ21&gt;=80,"A",IF(AQ21&gt;=75,"B+",IF(AQ21&gt;=70,"B",IF(AQ21&gt;=65,"C+",IF(AQ21&gt;=60,"C",IF(AQ21&gt;=55,"D",IF(AQ21&lt;54,"E")))))))</f>
        <v>A</v>
      </c>
      <c r="AS21" s="1">
        <f t="shared" si="7"/>
        <v>4</v>
      </c>
      <c r="AT21" s="10">
        <v>3</v>
      </c>
      <c r="AU21" s="1">
        <f t="shared" ref="AU21:AU35" si="158">AS21*AT21</f>
        <v>12</v>
      </c>
      <c r="AV21" s="11">
        <v>70</v>
      </c>
      <c r="AW21" s="10" t="str">
        <f t="shared" ref="AW21:AW35" si="159">IF(AV21&gt;=80,"A",IF(AV21&gt;=75,"B+",IF(AV21&gt;=70,"B",IF(AV21&gt;=65,"C+",IF(AV21&gt;=60,"C",IF(AV21&gt;=55,"D",IF(AV21&lt;54,"E")))))))</f>
        <v>B</v>
      </c>
      <c r="AX21" s="1">
        <f t="shared" si="8"/>
        <v>3</v>
      </c>
      <c r="AY21" s="10">
        <v>2</v>
      </c>
      <c r="AZ21" s="1">
        <f t="shared" ref="AZ21:AZ35" si="160">AX21*AY21</f>
        <v>6</v>
      </c>
      <c r="BA21" s="15">
        <v>81.55</v>
      </c>
      <c r="BB21" s="10" t="str">
        <f t="shared" ref="BB21:BB35" si="161">IF(BA21&gt;=80,"A",IF(BA21&gt;=75,"B+",IF(BA21&gt;=70,"B",IF(BA21&gt;=65,"C+",IF(BA21&gt;=60,"C",IF(BA21&gt;=55,"D",IF(BA21&lt;54,"E")))))))</f>
        <v>A</v>
      </c>
      <c r="BC21" s="1">
        <f t="shared" si="9"/>
        <v>4</v>
      </c>
      <c r="BD21" s="10">
        <v>2</v>
      </c>
      <c r="BE21" s="1">
        <f t="shared" ref="BE21:BE35" si="162">BC21*BD21</f>
        <v>8</v>
      </c>
      <c r="BF21" s="14">
        <v>68.449999999999989</v>
      </c>
      <c r="BG21" s="10" t="str">
        <f t="shared" ref="BG21:BG35" si="163">IF(BF21&gt;=80,"A",IF(BF21&gt;=75,"B+",IF(BF21&gt;=70,"B",IF(BF21&gt;=65,"C+",IF(BF21&gt;=60,"C",IF(BF21&gt;=55,"D",IF(BF21&lt;54,"E")))))))</f>
        <v>C+</v>
      </c>
      <c r="BH21" s="1">
        <f t="shared" si="10"/>
        <v>2.5</v>
      </c>
      <c r="BI21" s="10">
        <v>3</v>
      </c>
      <c r="BJ21" s="1">
        <f t="shared" ref="BJ21:BJ35" si="164">BH21*BI21</f>
        <v>7.5</v>
      </c>
      <c r="BK21" s="14">
        <v>80</v>
      </c>
      <c r="BL21" s="10" t="str">
        <f t="shared" ref="BL21:BL35" si="165">IF(BK21&gt;=80,"A",IF(BK21&gt;=75,"B+",IF(BK21&gt;=70,"B",IF(BK21&gt;=65,"C+",IF(BK21&gt;=60,"C",IF(BK21&gt;=55,"D",IF(BK21&lt;54,"E")))))))</f>
        <v>A</v>
      </c>
      <c r="BM21" s="1">
        <f t="shared" si="11"/>
        <v>4</v>
      </c>
      <c r="BN21" s="10">
        <v>2</v>
      </c>
      <c r="BO21" s="1">
        <f t="shared" ref="BO21:BO35" si="166">BM21*BN21</f>
        <v>8</v>
      </c>
      <c r="BP21" s="12">
        <v>77.150000000000006</v>
      </c>
      <c r="BQ21" s="10" t="str">
        <f t="shared" ref="BQ21:BQ35" si="167">IF(BP21&gt;=80,"A",IF(BP21&gt;=75,"B+",IF(BP21&gt;=70,"B",IF(BP21&gt;=65,"C+",IF(BP21&gt;=60,"C",IF(BP21&gt;=55,"D",IF(BP21&lt;54,"E")))))))</f>
        <v>B+</v>
      </c>
      <c r="BR21" s="1">
        <f t="shared" si="12"/>
        <v>3.5</v>
      </c>
      <c r="BS21" s="10">
        <v>2</v>
      </c>
      <c r="BT21" s="1">
        <f t="shared" ref="BT21:BT35" si="168">BR21*BS21</f>
        <v>7</v>
      </c>
      <c r="BU21" s="12">
        <v>72.650000000000006</v>
      </c>
      <c r="BV21" s="10" t="str">
        <f t="shared" ref="BV21:BV35" si="169">IF(BU21&gt;=80,"A",IF(BU21&gt;=75,"B+",IF(BU21&gt;=70,"B",IF(BU21&gt;=65,"C+",IF(BU21&gt;=60,"C",IF(BU21&gt;=55,"D",IF(BU21&lt;54,"E")))))))</f>
        <v>B</v>
      </c>
      <c r="BW21" s="1">
        <f t="shared" si="13"/>
        <v>3</v>
      </c>
      <c r="BX21" s="10">
        <v>3</v>
      </c>
      <c r="BY21" s="1">
        <f t="shared" ref="BY21:BY35" si="170">BW21*BX21</f>
        <v>9</v>
      </c>
      <c r="BZ21" s="15">
        <v>75.349999999999994</v>
      </c>
      <c r="CA21" s="10" t="str">
        <f t="shared" ref="CA21:CA35" si="171">IF(BZ21&gt;=80,"A",IF(BZ21&gt;=75,"B+",IF(BZ21&gt;=70,"B",IF(BZ21&gt;=65,"C+",IF(BZ21&gt;=60,"C",IF(BZ21&gt;=55,"D",IF(BZ21&lt;54,"E")))))))</f>
        <v>B+</v>
      </c>
      <c r="CB21" s="1">
        <f t="shared" si="14"/>
        <v>3.5</v>
      </c>
      <c r="CC21" s="10">
        <v>2</v>
      </c>
      <c r="CD21" s="1">
        <f t="shared" ref="CD21:CD35" si="172">CB21*CC21</f>
        <v>7</v>
      </c>
      <c r="CE21" s="19">
        <v>74.94</v>
      </c>
      <c r="CF21" s="10" t="str">
        <f t="shared" si="72"/>
        <v>B</v>
      </c>
      <c r="CG21" s="1">
        <f t="shared" si="15"/>
        <v>3</v>
      </c>
      <c r="CH21" s="10">
        <v>4</v>
      </c>
      <c r="CI21" s="1">
        <f t="shared" si="73"/>
        <v>12</v>
      </c>
      <c r="CJ21" s="19">
        <v>76.75</v>
      </c>
      <c r="CK21" s="10" t="str">
        <f t="shared" si="74"/>
        <v>B+</v>
      </c>
      <c r="CL21" s="1">
        <f t="shared" si="16"/>
        <v>3.5</v>
      </c>
      <c r="CM21" s="10">
        <v>4</v>
      </c>
      <c r="CN21" s="1">
        <f t="shared" si="75"/>
        <v>14</v>
      </c>
      <c r="CO21" s="19">
        <v>76.900000000000006</v>
      </c>
      <c r="CP21" s="10" t="str">
        <f t="shared" si="76"/>
        <v>B+</v>
      </c>
      <c r="CQ21" s="1">
        <f t="shared" si="17"/>
        <v>3.5</v>
      </c>
      <c r="CR21" s="10">
        <v>3</v>
      </c>
      <c r="CS21" s="1">
        <f t="shared" si="77"/>
        <v>10.5</v>
      </c>
      <c r="CT21" s="17">
        <v>78.535428571428568</v>
      </c>
      <c r="CU21" s="10" t="str">
        <f t="shared" si="78"/>
        <v>B+</v>
      </c>
      <c r="CV21" s="1">
        <f t="shared" si="18"/>
        <v>3.5</v>
      </c>
      <c r="CW21" s="10">
        <v>2</v>
      </c>
      <c r="CX21" s="1">
        <f t="shared" si="79"/>
        <v>7</v>
      </c>
      <c r="CY21" s="18">
        <v>81.25</v>
      </c>
      <c r="CZ21" s="10" t="str">
        <f t="shared" si="80"/>
        <v>A</v>
      </c>
      <c r="DA21" s="1">
        <f t="shared" si="19"/>
        <v>4</v>
      </c>
      <c r="DB21" s="10">
        <v>2</v>
      </c>
      <c r="DC21" s="1">
        <f t="shared" si="81"/>
        <v>8</v>
      </c>
      <c r="DD21" s="19">
        <v>84.85</v>
      </c>
      <c r="DE21" s="10" t="str">
        <f t="shared" si="82"/>
        <v>A</v>
      </c>
      <c r="DF21" s="1">
        <f t="shared" si="20"/>
        <v>4</v>
      </c>
      <c r="DG21" s="10">
        <v>2</v>
      </c>
      <c r="DH21" s="1">
        <f t="shared" si="83"/>
        <v>8</v>
      </c>
      <c r="DI21" s="5">
        <v>76.5</v>
      </c>
      <c r="DJ21" s="10" t="str">
        <f t="shared" si="84"/>
        <v>B+</v>
      </c>
      <c r="DK21" s="1">
        <f t="shared" si="21"/>
        <v>3.5</v>
      </c>
      <c r="DL21" s="10">
        <v>2</v>
      </c>
      <c r="DM21" s="1">
        <f t="shared" si="85"/>
        <v>7</v>
      </c>
      <c r="DN21" s="20">
        <v>76</v>
      </c>
      <c r="DO21" s="10" t="str">
        <f t="shared" si="86"/>
        <v>B+</v>
      </c>
      <c r="DP21" s="1">
        <f t="shared" si="22"/>
        <v>3.5</v>
      </c>
      <c r="DQ21" s="10">
        <v>2</v>
      </c>
      <c r="DR21" s="1">
        <f t="shared" si="87"/>
        <v>7</v>
      </c>
      <c r="DS21" s="19">
        <v>77.25</v>
      </c>
      <c r="DT21" s="10" t="str">
        <f t="shared" si="88"/>
        <v>B+</v>
      </c>
      <c r="DU21" s="1">
        <f t="shared" si="23"/>
        <v>3.5</v>
      </c>
      <c r="DV21" s="10">
        <v>4</v>
      </c>
      <c r="DW21" s="1">
        <f t="shared" si="89"/>
        <v>14</v>
      </c>
      <c r="DX21" s="19">
        <v>79.25</v>
      </c>
      <c r="DY21" s="10" t="str">
        <f t="shared" si="90"/>
        <v>B+</v>
      </c>
      <c r="DZ21" s="1">
        <f t="shared" si="24"/>
        <v>3.5</v>
      </c>
      <c r="EA21" s="10">
        <v>3</v>
      </c>
      <c r="EB21" s="1">
        <f t="shared" si="91"/>
        <v>10.5</v>
      </c>
      <c r="EC21" s="19">
        <v>74.400000000000006</v>
      </c>
      <c r="ED21" s="10" t="str">
        <f t="shared" si="92"/>
        <v>B</v>
      </c>
      <c r="EE21" s="1">
        <f t="shared" si="25"/>
        <v>3</v>
      </c>
      <c r="EF21" s="10">
        <v>3</v>
      </c>
      <c r="EG21" s="1">
        <f t="shared" si="93"/>
        <v>9</v>
      </c>
      <c r="EH21" s="6">
        <v>76.099999999999994</v>
      </c>
      <c r="EI21" s="10" t="str">
        <f t="shared" si="94"/>
        <v>B+</v>
      </c>
      <c r="EJ21" s="1">
        <f t="shared" si="26"/>
        <v>3.5</v>
      </c>
      <c r="EK21" s="10">
        <v>3</v>
      </c>
      <c r="EL21" s="1">
        <f t="shared" si="95"/>
        <v>10.5</v>
      </c>
      <c r="EM21" s="18">
        <v>70.305555555555557</v>
      </c>
      <c r="EN21" s="10" t="str">
        <f t="shared" si="96"/>
        <v>B</v>
      </c>
      <c r="EO21" s="1">
        <f t="shared" si="27"/>
        <v>3</v>
      </c>
      <c r="EP21" s="10">
        <v>3</v>
      </c>
      <c r="EQ21" s="1">
        <f t="shared" si="97"/>
        <v>9</v>
      </c>
      <c r="ER21" s="7">
        <v>78.3</v>
      </c>
      <c r="ES21" s="10" t="str">
        <f t="shared" si="98"/>
        <v>B+</v>
      </c>
      <c r="ET21" s="1">
        <f t="shared" si="28"/>
        <v>3.5</v>
      </c>
      <c r="EU21" s="10">
        <v>2</v>
      </c>
      <c r="EV21" s="1">
        <f t="shared" si="99"/>
        <v>7</v>
      </c>
      <c r="EW21" s="5">
        <v>80.3</v>
      </c>
      <c r="EX21" s="10" t="str">
        <f t="shared" si="100"/>
        <v>A</v>
      </c>
      <c r="EY21" s="1">
        <f t="shared" si="29"/>
        <v>4</v>
      </c>
      <c r="EZ21" s="10">
        <v>3</v>
      </c>
      <c r="FA21" s="1">
        <f t="shared" si="101"/>
        <v>12</v>
      </c>
      <c r="FB21" s="19">
        <v>77</v>
      </c>
      <c r="FC21" s="10" t="str">
        <f t="shared" si="102"/>
        <v>B+</v>
      </c>
      <c r="FD21" s="1">
        <f t="shared" si="30"/>
        <v>3.5</v>
      </c>
      <c r="FE21" s="10">
        <v>2</v>
      </c>
      <c r="FF21" s="1">
        <f t="shared" si="103"/>
        <v>7</v>
      </c>
      <c r="FG21" s="19">
        <v>72</v>
      </c>
      <c r="FH21" s="10" t="str">
        <f t="shared" si="104"/>
        <v>B</v>
      </c>
      <c r="FI21" s="1">
        <f t="shared" si="31"/>
        <v>3</v>
      </c>
      <c r="FJ21" s="10">
        <v>3</v>
      </c>
      <c r="FK21" s="1">
        <f t="shared" si="105"/>
        <v>9</v>
      </c>
      <c r="FL21" s="19">
        <v>78.933333333333337</v>
      </c>
      <c r="FM21" s="10" t="str">
        <f t="shared" si="106"/>
        <v>B+</v>
      </c>
      <c r="FN21" s="1">
        <f t="shared" si="32"/>
        <v>3.5</v>
      </c>
      <c r="FO21" s="10">
        <v>3</v>
      </c>
      <c r="FP21" s="1">
        <f t="shared" si="107"/>
        <v>10.5</v>
      </c>
      <c r="FQ21" s="6">
        <v>73.27</v>
      </c>
      <c r="FR21" s="10" t="str">
        <f t="shared" si="108"/>
        <v>B</v>
      </c>
      <c r="FS21" s="1">
        <f t="shared" si="109"/>
        <v>3</v>
      </c>
      <c r="FT21" s="10">
        <v>3</v>
      </c>
      <c r="FU21" s="1">
        <f t="shared" si="110"/>
        <v>9</v>
      </c>
      <c r="FV21" s="18">
        <v>76.599999999999994</v>
      </c>
      <c r="FW21" s="10" t="str">
        <f t="shared" si="111"/>
        <v>B+</v>
      </c>
      <c r="FX21" s="1">
        <f t="shared" si="33"/>
        <v>3.5</v>
      </c>
      <c r="FY21" s="10">
        <v>3</v>
      </c>
      <c r="FZ21" s="1">
        <f t="shared" si="112"/>
        <v>10.5</v>
      </c>
      <c r="GA21" s="7">
        <v>70.599999999999994</v>
      </c>
      <c r="GB21" s="10" t="str">
        <f t="shared" si="113"/>
        <v>B</v>
      </c>
      <c r="GC21" s="1">
        <f t="shared" si="34"/>
        <v>3</v>
      </c>
      <c r="GD21" s="10">
        <v>2</v>
      </c>
      <c r="GE21" s="1">
        <f t="shared" si="114"/>
        <v>6</v>
      </c>
      <c r="GF21" s="5">
        <v>76</v>
      </c>
      <c r="GG21" s="10" t="str">
        <f t="shared" si="115"/>
        <v>B+</v>
      </c>
      <c r="GH21" s="1">
        <f t="shared" si="35"/>
        <v>3.5</v>
      </c>
      <c r="GI21" s="10">
        <v>3</v>
      </c>
      <c r="GJ21" s="1">
        <f t="shared" si="116"/>
        <v>10.5</v>
      </c>
      <c r="GK21" s="5">
        <v>71.099999999999994</v>
      </c>
      <c r="GL21" s="10" t="str">
        <f t="shared" si="117"/>
        <v>B</v>
      </c>
      <c r="GM21" s="1">
        <f t="shared" si="36"/>
        <v>3</v>
      </c>
      <c r="GN21" s="10">
        <v>2</v>
      </c>
      <c r="GO21" s="1">
        <f t="shared" si="118"/>
        <v>6</v>
      </c>
      <c r="GP21" s="19">
        <v>76.599999999999994</v>
      </c>
      <c r="GQ21" s="10" t="str">
        <f t="shared" si="119"/>
        <v>B+</v>
      </c>
      <c r="GR21" s="1">
        <f t="shared" si="37"/>
        <v>3.5</v>
      </c>
      <c r="GS21" s="10">
        <v>3</v>
      </c>
      <c r="GT21" s="1">
        <f t="shared" si="120"/>
        <v>10.5</v>
      </c>
      <c r="GU21" s="19">
        <v>76.599999999999994</v>
      </c>
      <c r="GV21" s="10" t="str">
        <f t="shared" si="121"/>
        <v>B+</v>
      </c>
      <c r="GW21" s="1">
        <f t="shared" si="38"/>
        <v>3.5</v>
      </c>
      <c r="GX21" s="10">
        <v>4</v>
      </c>
      <c r="GY21" s="1">
        <f t="shared" si="122"/>
        <v>14</v>
      </c>
      <c r="GZ21" s="7">
        <v>74.25</v>
      </c>
      <c r="HA21" s="10" t="str">
        <f t="shared" si="123"/>
        <v>B</v>
      </c>
      <c r="HB21" s="1">
        <f t="shared" si="124"/>
        <v>3</v>
      </c>
      <c r="HC21" s="10">
        <v>4</v>
      </c>
      <c r="HD21" s="1">
        <f t="shared" si="125"/>
        <v>12</v>
      </c>
      <c r="HE21" s="6">
        <v>70.599999999999994</v>
      </c>
      <c r="HF21" s="10" t="str">
        <f t="shared" si="126"/>
        <v>B</v>
      </c>
      <c r="HG21" s="1">
        <f t="shared" si="39"/>
        <v>3</v>
      </c>
      <c r="HH21" s="10">
        <v>2</v>
      </c>
      <c r="HI21" s="1">
        <f t="shared" si="127"/>
        <v>6</v>
      </c>
      <c r="HJ21" s="18">
        <v>73.866666666666674</v>
      </c>
      <c r="HK21" s="10" t="str">
        <f t="shared" si="128"/>
        <v>B</v>
      </c>
      <c r="HL21" s="1">
        <f t="shared" si="40"/>
        <v>3</v>
      </c>
      <c r="HM21" s="10">
        <v>3</v>
      </c>
      <c r="HN21" s="1">
        <f t="shared" si="129"/>
        <v>9</v>
      </c>
      <c r="HO21" s="12">
        <v>69.174999999999997</v>
      </c>
      <c r="HP21" s="10" t="str">
        <f t="shared" si="130"/>
        <v>C+</v>
      </c>
      <c r="HQ21" s="1">
        <f t="shared" si="41"/>
        <v>2.5</v>
      </c>
      <c r="HR21" s="10">
        <v>3</v>
      </c>
      <c r="HS21" s="1">
        <f t="shared" si="131"/>
        <v>7.5</v>
      </c>
      <c r="HT21" s="10">
        <v>80.400000000000006</v>
      </c>
      <c r="HU21" s="10" t="str">
        <f t="shared" si="132"/>
        <v>A</v>
      </c>
      <c r="HV21" s="1">
        <f t="shared" si="133"/>
        <v>4</v>
      </c>
      <c r="HW21" s="10">
        <v>4</v>
      </c>
      <c r="HX21" s="1">
        <f t="shared" si="134"/>
        <v>16</v>
      </c>
      <c r="HY21" s="19">
        <v>76.75</v>
      </c>
      <c r="HZ21" s="10" t="str">
        <f t="shared" si="135"/>
        <v>B+</v>
      </c>
      <c r="IA21" s="1">
        <f t="shared" si="136"/>
        <v>3.5</v>
      </c>
      <c r="IB21" s="10">
        <v>2</v>
      </c>
      <c r="IC21" s="1">
        <f t="shared" si="137"/>
        <v>7</v>
      </c>
      <c r="ID21" s="7">
        <v>76.849999999999994</v>
      </c>
      <c r="IE21" s="10" t="str">
        <f t="shared" si="138"/>
        <v>B+</v>
      </c>
      <c r="IF21" s="1">
        <f t="shared" si="139"/>
        <v>3.5</v>
      </c>
      <c r="IG21" s="10">
        <v>3</v>
      </c>
      <c r="IH21" s="1">
        <f t="shared" si="140"/>
        <v>10.5</v>
      </c>
      <c r="II21" s="6">
        <v>80.400000000000006</v>
      </c>
      <c r="IJ21" s="10" t="str">
        <f t="shared" si="141"/>
        <v>A</v>
      </c>
      <c r="IK21" s="1">
        <f t="shared" si="142"/>
        <v>4</v>
      </c>
      <c r="IL21" s="10">
        <v>2</v>
      </c>
      <c r="IM21" s="1">
        <f t="shared" si="143"/>
        <v>8</v>
      </c>
      <c r="IN21" s="18">
        <v>75.13</v>
      </c>
      <c r="IO21" s="10" t="str">
        <f t="shared" si="144"/>
        <v>B+</v>
      </c>
      <c r="IP21" s="1">
        <f t="shared" si="145"/>
        <v>3.5</v>
      </c>
      <c r="IQ21" s="10">
        <v>2</v>
      </c>
      <c r="IR21" s="1">
        <f t="shared" si="146"/>
        <v>7</v>
      </c>
      <c r="IS21" s="10">
        <v>74.900000000000006</v>
      </c>
      <c r="IT21" s="10" t="str">
        <f t="shared" si="147"/>
        <v>B</v>
      </c>
      <c r="IU21" s="1">
        <f t="shared" si="148"/>
        <v>3</v>
      </c>
      <c r="IV21" s="10">
        <v>4</v>
      </c>
      <c r="IW21" s="1">
        <f t="shared" si="149"/>
        <v>12</v>
      </c>
      <c r="IX21" s="10">
        <v>82.9</v>
      </c>
      <c r="IY21" s="10" t="str">
        <f t="shared" si="150"/>
        <v>A</v>
      </c>
      <c r="IZ21" s="1">
        <f t="shared" si="151"/>
        <v>4</v>
      </c>
      <c r="JA21" s="10">
        <v>4</v>
      </c>
      <c r="JB21" s="1">
        <f t="shared" si="152"/>
        <v>16</v>
      </c>
      <c r="JC21" s="2">
        <v>73</v>
      </c>
      <c r="JD21" s="2">
        <v>22</v>
      </c>
      <c r="JE21" s="2">
        <v>64.5</v>
      </c>
      <c r="JF21" s="2">
        <v>19</v>
      </c>
      <c r="JG21" s="2">
        <v>73.5</v>
      </c>
      <c r="JH21" s="2">
        <v>21</v>
      </c>
      <c r="JI21" s="2">
        <v>72</v>
      </c>
      <c r="JJ21" s="2">
        <v>21</v>
      </c>
      <c r="JK21" s="2">
        <v>68.5</v>
      </c>
      <c r="JL21" s="2">
        <v>21</v>
      </c>
      <c r="JM21" s="2">
        <v>59</v>
      </c>
      <c r="JN21" s="2">
        <v>19</v>
      </c>
      <c r="JO21" s="2">
        <v>60.5</v>
      </c>
      <c r="JP21" s="2">
        <v>17</v>
      </c>
      <c r="JQ21" s="2">
        <v>16</v>
      </c>
      <c r="JR21" s="2">
        <v>4</v>
      </c>
      <c r="JS21" s="2">
        <f t="shared" si="153"/>
        <v>487</v>
      </c>
      <c r="JT21" s="2">
        <f t="shared" si="153"/>
        <v>144</v>
      </c>
      <c r="JU21" s="3">
        <f t="shared" si="154"/>
        <v>3.3819444444444446</v>
      </c>
      <c r="JV21" s="2" t="str">
        <f t="shared" si="155"/>
        <v>Sangat Memuaskan</v>
      </c>
      <c r="JW21" s="2" t="str">
        <f t="shared" si="156"/>
        <v>Highly Satisfactory</v>
      </c>
      <c r="JX21" s="23" t="s">
        <v>209</v>
      </c>
      <c r="JY21" s="23" t="s">
        <v>274</v>
      </c>
    </row>
    <row r="22" spans="1:285" x14ac:dyDescent="0.25">
      <c r="A22" s="55">
        <v>20</v>
      </c>
      <c r="B22" s="40" t="s">
        <v>42</v>
      </c>
      <c r="C22" s="2">
        <v>152111031</v>
      </c>
      <c r="D22" s="10" t="s">
        <v>135</v>
      </c>
      <c r="E22" s="24" t="s">
        <v>175</v>
      </c>
      <c r="F22" s="27" t="s">
        <v>219</v>
      </c>
      <c r="G22" s="2" t="s">
        <v>239</v>
      </c>
      <c r="H22" s="10">
        <v>80.7</v>
      </c>
      <c r="I22" s="10" t="s">
        <v>38</v>
      </c>
      <c r="J22" s="10">
        <v>4</v>
      </c>
      <c r="K22" s="10">
        <v>2</v>
      </c>
      <c r="L22" s="10">
        <v>8</v>
      </c>
      <c r="M22" s="10">
        <v>75.75</v>
      </c>
      <c r="N22" s="10" t="s">
        <v>39</v>
      </c>
      <c r="O22" s="10">
        <v>3.5</v>
      </c>
      <c r="P22" s="10">
        <v>3</v>
      </c>
      <c r="Q22" s="10">
        <v>10.5</v>
      </c>
      <c r="R22" s="10">
        <v>77.066666666666663</v>
      </c>
      <c r="S22" s="10" t="s">
        <v>39</v>
      </c>
      <c r="T22" s="10">
        <v>3.5</v>
      </c>
      <c r="U22" s="10">
        <v>4</v>
      </c>
      <c r="V22" s="10">
        <v>14</v>
      </c>
      <c r="W22" s="10">
        <v>77.650000000000006</v>
      </c>
      <c r="X22" s="10" t="s">
        <v>39</v>
      </c>
      <c r="Y22" s="10">
        <v>3.5</v>
      </c>
      <c r="Z22" s="10">
        <v>2</v>
      </c>
      <c r="AA22" s="10">
        <v>7</v>
      </c>
      <c r="AB22" s="10">
        <v>68.849999999999994</v>
      </c>
      <c r="AC22" s="10" t="s">
        <v>43</v>
      </c>
      <c r="AD22" s="10">
        <v>2.5</v>
      </c>
      <c r="AE22" s="10">
        <v>4</v>
      </c>
      <c r="AF22" s="10">
        <v>10</v>
      </c>
      <c r="AG22" s="10">
        <v>74.8</v>
      </c>
      <c r="AH22" s="10" t="s">
        <v>40</v>
      </c>
      <c r="AI22" s="10">
        <v>3</v>
      </c>
      <c r="AJ22" s="10">
        <v>4</v>
      </c>
      <c r="AK22" s="10">
        <v>12</v>
      </c>
      <c r="AL22" s="10">
        <v>78.166666666666671</v>
      </c>
      <c r="AM22" s="10" t="s">
        <v>39</v>
      </c>
      <c r="AN22" s="10">
        <v>3.5</v>
      </c>
      <c r="AO22" s="10">
        <v>3</v>
      </c>
      <c r="AP22" s="10">
        <v>10.5</v>
      </c>
      <c r="AQ22" s="9">
        <v>80.599999999999994</v>
      </c>
      <c r="AR22" s="10" t="str">
        <f t="shared" si="157"/>
        <v>A</v>
      </c>
      <c r="AS22" s="1">
        <f t="shared" si="7"/>
        <v>4</v>
      </c>
      <c r="AT22" s="10">
        <v>3</v>
      </c>
      <c r="AU22" s="1">
        <f t="shared" si="158"/>
        <v>12</v>
      </c>
      <c r="AV22" s="11">
        <v>70</v>
      </c>
      <c r="AW22" s="10" t="str">
        <f t="shared" si="159"/>
        <v>B</v>
      </c>
      <c r="AX22" s="1">
        <f t="shared" si="8"/>
        <v>3</v>
      </c>
      <c r="AY22" s="10">
        <v>2</v>
      </c>
      <c r="AZ22" s="1">
        <f t="shared" si="160"/>
        <v>6</v>
      </c>
      <c r="BA22" s="15">
        <v>80.95</v>
      </c>
      <c r="BB22" s="10" t="str">
        <f t="shared" si="161"/>
        <v>A</v>
      </c>
      <c r="BC22" s="1">
        <f t="shared" si="9"/>
        <v>4</v>
      </c>
      <c r="BD22" s="10">
        <v>2</v>
      </c>
      <c r="BE22" s="1">
        <f t="shared" si="162"/>
        <v>8</v>
      </c>
      <c r="BF22" s="14">
        <v>68.449999999999989</v>
      </c>
      <c r="BG22" s="10" t="str">
        <f t="shared" si="163"/>
        <v>C+</v>
      </c>
      <c r="BH22" s="1">
        <f t="shared" si="10"/>
        <v>2.5</v>
      </c>
      <c r="BI22" s="10">
        <v>3</v>
      </c>
      <c r="BJ22" s="1">
        <f t="shared" si="164"/>
        <v>7.5</v>
      </c>
      <c r="BK22" s="14">
        <v>85.5</v>
      </c>
      <c r="BL22" s="10" t="str">
        <f t="shared" si="165"/>
        <v>A</v>
      </c>
      <c r="BM22" s="1">
        <f t="shared" si="11"/>
        <v>4</v>
      </c>
      <c r="BN22" s="10">
        <v>2</v>
      </c>
      <c r="BO22" s="1">
        <f t="shared" si="166"/>
        <v>8</v>
      </c>
      <c r="BP22" s="12">
        <v>65.650000000000006</v>
      </c>
      <c r="BQ22" s="10" t="str">
        <f t="shared" si="167"/>
        <v>C+</v>
      </c>
      <c r="BR22" s="1">
        <f t="shared" si="12"/>
        <v>2.5</v>
      </c>
      <c r="BS22" s="10">
        <v>2</v>
      </c>
      <c r="BT22" s="1">
        <f t="shared" si="168"/>
        <v>5</v>
      </c>
      <c r="BU22" s="12">
        <v>73.95</v>
      </c>
      <c r="BV22" s="10" t="str">
        <f t="shared" si="169"/>
        <v>B</v>
      </c>
      <c r="BW22" s="1">
        <f t="shared" si="13"/>
        <v>3</v>
      </c>
      <c r="BX22" s="10">
        <v>3</v>
      </c>
      <c r="BY22" s="1">
        <f t="shared" si="170"/>
        <v>9</v>
      </c>
      <c r="BZ22" s="15">
        <v>75.433333333333337</v>
      </c>
      <c r="CA22" s="10" t="str">
        <f t="shared" si="171"/>
        <v>B+</v>
      </c>
      <c r="CB22" s="1">
        <f t="shared" si="14"/>
        <v>3.5</v>
      </c>
      <c r="CC22" s="10">
        <v>2</v>
      </c>
      <c r="CD22" s="1">
        <f t="shared" si="172"/>
        <v>7</v>
      </c>
      <c r="CE22" s="19">
        <v>77.23</v>
      </c>
      <c r="CF22" s="10" t="str">
        <f t="shared" si="72"/>
        <v>B+</v>
      </c>
      <c r="CG22" s="1">
        <f t="shared" si="15"/>
        <v>3.5</v>
      </c>
      <c r="CH22" s="10">
        <v>4</v>
      </c>
      <c r="CI22" s="1">
        <f t="shared" si="73"/>
        <v>14</v>
      </c>
      <c r="CJ22" s="19">
        <v>75.349999999999994</v>
      </c>
      <c r="CK22" s="10" t="str">
        <f t="shared" si="74"/>
        <v>B+</v>
      </c>
      <c r="CL22" s="1">
        <f t="shared" si="16"/>
        <v>3.5</v>
      </c>
      <c r="CM22" s="10">
        <v>4</v>
      </c>
      <c r="CN22" s="1">
        <f t="shared" si="75"/>
        <v>14</v>
      </c>
      <c r="CO22" s="19">
        <v>77.95</v>
      </c>
      <c r="CP22" s="10" t="str">
        <f t="shared" si="76"/>
        <v>B+</v>
      </c>
      <c r="CQ22" s="1">
        <f t="shared" si="17"/>
        <v>3.5</v>
      </c>
      <c r="CR22" s="10">
        <v>3</v>
      </c>
      <c r="CS22" s="1">
        <f t="shared" si="77"/>
        <v>10.5</v>
      </c>
      <c r="CT22" s="17">
        <v>78.85371428571429</v>
      </c>
      <c r="CU22" s="10" t="str">
        <f t="shared" si="78"/>
        <v>B+</v>
      </c>
      <c r="CV22" s="1">
        <f t="shared" si="18"/>
        <v>3.5</v>
      </c>
      <c r="CW22" s="10">
        <v>2</v>
      </c>
      <c r="CX22" s="1">
        <f t="shared" si="79"/>
        <v>7</v>
      </c>
      <c r="CY22" s="18">
        <v>80.650000000000006</v>
      </c>
      <c r="CZ22" s="10" t="str">
        <f t="shared" si="80"/>
        <v>A</v>
      </c>
      <c r="DA22" s="1">
        <f t="shared" si="19"/>
        <v>4</v>
      </c>
      <c r="DB22" s="10">
        <v>2</v>
      </c>
      <c r="DC22" s="1">
        <f t="shared" si="81"/>
        <v>8</v>
      </c>
      <c r="DD22" s="19">
        <v>87.45</v>
      </c>
      <c r="DE22" s="10" t="str">
        <f t="shared" si="82"/>
        <v>A</v>
      </c>
      <c r="DF22" s="1">
        <f t="shared" si="20"/>
        <v>4</v>
      </c>
      <c r="DG22" s="10">
        <v>2</v>
      </c>
      <c r="DH22" s="1">
        <f t="shared" si="83"/>
        <v>8</v>
      </c>
      <c r="DI22" s="5">
        <v>79.25</v>
      </c>
      <c r="DJ22" s="10" t="str">
        <f t="shared" si="84"/>
        <v>B+</v>
      </c>
      <c r="DK22" s="1">
        <f t="shared" si="21"/>
        <v>3.5</v>
      </c>
      <c r="DL22" s="10">
        <v>2</v>
      </c>
      <c r="DM22" s="1">
        <f t="shared" si="85"/>
        <v>7</v>
      </c>
      <c r="DN22" s="20">
        <v>79</v>
      </c>
      <c r="DO22" s="10" t="str">
        <f t="shared" si="86"/>
        <v>B+</v>
      </c>
      <c r="DP22" s="1">
        <f t="shared" si="22"/>
        <v>3.5</v>
      </c>
      <c r="DQ22" s="10">
        <v>2</v>
      </c>
      <c r="DR22" s="1">
        <f t="shared" si="87"/>
        <v>7</v>
      </c>
      <c r="DS22" s="19">
        <v>73.949999999999989</v>
      </c>
      <c r="DT22" s="10" t="str">
        <f t="shared" si="88"/>
        <v>B</v>
      </c>
      <c r="DU22" s="1">
        <f t="shared" si="23"/>
        <v>3</v>
      </c>
      <c r="DV22" s="10">
        <v>4</v>
      </c>
      <c r="DW22" s="1">
        <f t="shared" si="89"/>
        <v>12</v>
      </c>
      <c r="DX22" s="19">
        <v>70.400000000000006</v>
      </c>
      <c r="DY22" s="10" t="str">
        <f t="shared" si="90"/>
        <v>B</v>
      </c>
      <c r="DZ22" s="1">
        <f t="shared" si="24"/>
        <v>3</v>
      </c>
      <c r="EA22" s="10">
        <v>3</v>
      </c>
      <c r="EB22" s="1">
        <f t="shared" si="91"/>
        <v>9</v>
      </c>
      <c r="EC22" s="19">
        <v>75.75</v>
      </c>
      <c r="ED22" s="10" t="str">
        <f t="shared" si="92"/>
        <v>B+</v>
      </c>
      <c r="EE22" s="1">
        <f t="shared" si="25"/>
        <v>3.5</v>
      </c>
      <c r="EF22" s="10">
        <v>3</v>
      </c>
      <c r="EG22" s="1">
        <f t="shared" si="93"/>
        <v>10.5</v>
      </c>
      <c r="EH22" s="6">
        <v>79.5</v>
      </c>
      <c r="EI22" s="10" t="str">
        <f t="shared" si="94"/>
        <v>B+</v>
      </c>
      <c r="EJ22" s="1">
        <f t="shared" si="26"/>
        <v>3.5</v>
      </c>
      <c r="EK22" s="10">
        <v>3</v>
      </c>
      <c r="EL22" s="1">
        <f t="shared" si="95"/>
        <v>10.5</v>
      </c>
      <c r="EM22" s="18">
        <v>66.056666666666672</v>
      </c>
      <c r="EN22" s="10" t="str">
        <f t="shared" si="96"/>
        <v>C+</v>
      </c>
      <c r="EO22" s="1">
        <f t="shared" si="27"/>
        <v>2.5</v>
      </c>
      <c r="EP22" s="10">
        <v>3</v>
      </c>
      <c r="EQ22" s="1">
        <f t="shared" si="97"/>
        <v>7.5</v>
      </c>
      <c r="ER22" s="7">
        <v>77.5</v>
      </c>
      <c r="ES22" s="10" t="str">
        <f t="shared" si="98"/>
        <v>B+</v>
      </c>
      <c r="ET22" s="1">
        <f t="shared" si="28"/>
        <v>3.5</v>
      </c>
      <c r="EU22" s="10">
        <v>2</v>
      </c>
      <c r="EV22" s="1">
        <f t="shared" si="99"/>
        <v>7</v>
      </c>
      <c r="EW22" s="5">
        <v>80.400000000000006</v>
      </c>
      <c r="EX22" s="10" t="str">
        <f t="shared" si="100"/>
        <v>A</v>
      </c>
      <c r="EY22" s="1">
        <f t="shared" si="29"/>
        <v>4</v>
      </c>
      <c r="EZ22" s="10">
        <v>3</v>
      </c>
      <c r="FA22" s="1">
        <f t="shared" si="101"/>
        <v>12</v>
      </c>
      <c r="FB22" s="19">
        <v>74</v>
      </c>
      <c r="FC22" s="10" t="str">
        <f t="shared" si="102"/>
        <v>B</v>
      </c>
      <c r="FD22" s="1">
        <f t="shared" si="30"/>
        <v>3</v>
      </c>
      <c r="FE22" s="10">
        <v>2</v>
      </c>
      <c r="FF22" s="1">
        <f t="shared" si="103"/>
        <v>6</v>
      </c>
      <c r="FG22" s="19">
        <v>71</v>
      </c>
      <c r="FH22" s="10" t="str">
        <f t="shared" si="104"/>
        <v>B</v>
      </c>
      <c r="FI22" s="1">
        <f t="shared" si="31"/>
        <v>3</v>
      </c>
      <c r="FJ22" s="10">
        <v>3</v>
      </c>
      <c r="FK22" s="1">
        <f t="shared" si="105"/>
        <v>9</v>
      </c>
      <c r="FL22" s="19">
        <v>79.733333333333334</v>
      </c>
      <c r="FM22" s="10" t="str">
        <f t="shared" si="106"/>
        <v>B+</v>
      </c>
      <c r="FN22" s="1">
        <f t="shared" si="32"/>
        <v>3.5</v>
      </c>
      <c r="FO22" s="10">
        <v>3</v>
      </c>
      <c r="FP22" s="1">
        <f t="shared" si="107"/>
        <v>10.5</v>
      </c>
      <c r="FQ22" s="6">
        <v>71.98</v>
      </c>
      <c r="FR22" s="10" t="str">
        <f t="shared" si="108"/>
        <v>B</v>
      </c>
      <c r="FS22" s="1">
        <f t="shared" si="109"/>
        <v>3</v>
      </c>
      <c r="FT22" s="10">
        <v>3</v>
      </c>
      <c r="FU22" s="1">
        <f t="shared" si="110"/>
        <v>9</v>
      </c>
      <c r="FV22" s="18">
        <v>76.599999999999994</v>
      </c>
      <c r="FW22" s="10" t="str">
        <f t="shared" si="111"/>
        <v>B+</v>
      </c>
      <c r="FX22" s="1">
        <f t="shared" si="33"/>
        <v>3.5</v>
      </c>
      <c r="FY22" s="10">
        <v>3</v>
      </c>
      <c r="FZ22" s="1">
        <f t="shared" si="112"/>
        <v>10.5</v>
      </c>
      <c r="GA22" s="7">
        <v>72</v>
      </c>
      <c r="GB22" s="10" t="str">
        <f t="shared" si="113"/>
        <v>B</v>
      </c>
      <c r="GC22" s="1">
        <f t="shared" si="34"/>
        <v>3</v>
      </c>
      <c r="GD22" s="10">
        <v>2</v>
      </c>
      <c r="GE22" s="1">
        <f t="shared" si="114"/>
        <v>6</v>
      </c>
      <c r="GF22" s="5">
        <v>77</v>
      </c>
      <c r="GG22" s="10" t="str">
        <f t="shared" si="115"/>
        <v>B+</v>
      </c>
      <c r="GH22" s="1">
        <f t="shared" si="35"/>
        <v>3.5</v>
      </c>
      <c r="GI22" s="10">
        <v>3</v>
      </c>
      <c r="GJ22" s="1">
        <f t="shared" si="116"/>
        <v>10.5</v>
      </c>
      <c r="GK22" s="5">
        <v>73.05</v>
      </c>
      <c r="GL22" s="10" t="str">
        <f t="shared" si="117"/>
        <v>B</v>
      </c>
      <c r="GM22" s="1">
        <f t="shared" si="36"/>
        <v>3</v>
      </c>
      <c r="GN22" s="10">
        <v>2</v>
      </c>
      <c r="GO22" s="1">
        <f t="shared" si="118"/>
        <v>6</v>
      </c>
      <c r="GP22" s="19">
        <v>72</v>
      </c>
      <c r="GQ22" s="10" t="str">
        <f t="shared" si="119"/>
        <v>B</v>
      </c>
      <c r="GR22" s="1">
        <f t="shared" si="37"/>
        <v>3</v>
      </c>
      <c r="GS22" s="10">
        <v>3</v>
      </c>
      <c r="GT22" s="1">
        <f t="shared" si="120"/>
        <v>9</v>
      </c>
      <c r="GU22" s="19">
        <v>73.14</v>
      </c>
      <c r="GV22" s="10" t="str">
        <f t="shared" si="121"/>
        <v>B</v>
      </c>
      <c r="GW22" s="1">
        <f t="shared" si="38"/>
        <v>3</v>
      </c>
      <c r="GX22" s="10">
        <v>4</v>
      </c>
      <c r="GY22" s="1">
        <f t="shared" si="122"/>
        <v>12</v>
      </c>
      <c r="GZ22" s="7">
        <v>74.25</v>
      </c>
      <c r="HA22" s="10" t="str">
        <f t="shared" si="123"/>
        <v>B</v>
      </c>
      <c r="HB22" s="1">
        <f t="shared" si="124"/>
        <v>3</v>
      </c>
      <c r="HC22" s="10">
        <v>4</v>
      </c>
      <c r="HD22" s="1">
        <f t="shared" si="125"/>
        <v>12</v>
      </c>
      <c r="HE22" s="6">
        <v>73.400000000000006</v>
      </c>
      <c r="HF22" s="10" t="str">
        <f t="shared" si="126"/>
        <v>B</v>
      </c>
      <c r="HG22" s="1">
        <f t="shared" si="39"/>
        <v>3</v>
      </c>
      <c r="HH22" s="10">
        <v>2</v>
      </c>
      <c r="HI22" s="1">
        <f t="shared" si="127"/>
        <v>6</v>
      </c>
      <c r="HJ22" s="18">
        <v>70.071428571428569</v>
      </c>
      <c r="HK22" s="10" t="str">
        <f t="shared" si="128"/>
        <v>B</v>
      </c>
      <c r="HL22" s="1">
        <f t="shared" si="40"/>
        <v>3</v>
      </c>
      <c r="HM22" s="10">
        <v>3</v>
      </c>
      <c r="HN22" s="1">
        <f t="shared" si="129"/>
        <v>9</v>
      </c>
      <c r="HO22" s="12">
        <v>70.174999999999997</v>
      </c>
      <c r="HP22" s="10" t="str">
        <f t="shared" si="130"/>
        <v>B</v>
      </c>
      <c r="HQ22" s="1">
        <f t="shared" si="41"/>
        <v>3</v>
      </c>
      <c r="HR22" s="10">
        <v>3</v>
      </c>
      <c r="HS22" s="1">
        <f t="shared" si="131"/>
        <v>9</v>
      </c>
      <c r="HT22" s="10">
        <v>77.599999999999994</v>
      </c>
      <c r="HU22" s="10" t="str">
        <f t="shared" si="132"/>
        <v>B+</v>
      </c>
      <c r="HV22" s="1">
        <f t="shared" si="133"/>
        <v>3.5</v>
      </c>
      <c r="HW22" s="10">
        <v>4</v>
      </c>
      <c r="HX22" s="1">
        <f t="shared" si="134"/>
        <v>14</v>
      </c>
      <c r="HY22" s="19">
        <v>78.95</v>
      </c>
      <c r="HZ22" s="10" t="str">
        <f t="shared" si="135"/>
        <v>B+</v>
      </c>
      <c r="IA22" s="1">
        <f t="shared" si="136"/>
        <v>3.5</v>
      </c>
      <c r="IB22" s="10">
        <v>2</v>
      </c>
      <c r="IC22" s="1">
        <f t="shared" si="137"/>
        <v>7</v>
      </c>
      <c r="ID22" s="7">
        <v>74.599999999999994</v>
      </c>
      <c r="IE22" s="10" t="str">
        <f t="shared" si="138"/>
        <v>B</v>
      </c>
      <c r="IF22" s="1">
        <f t="shared" si="139"/>
        <v>3</v>
      </c>
      <c r="IG22" s="10">
        <v>3</v>
      </c>
      <c r="IH22" s="1">
        <f t="shared" si="140"/>
        <v>9</v>
      </c>
      <c r="II22" s="6">
        <v>77.599999999999994</v>
      </c>
      <c r="IJ22" s="10" t="str">
        <f t="shared" si="141"/>
        <v>B+</v>
      </c>
      <c r="IK22" s="1">
        <f t="shared" si="142"/>
        <v>3.5</v>
      </c>
      <c r="IL22" s="10">
        <v>2</v>
      </c>
      <c r="IM22" s="1">
        <f t="shared" si="143"/>
        <v>7</v>
      </c>
      <c r="IN22" s="18">
        <v>57.63</v>
      </c>
      <c r="IO22" s="10" t="str">
        <f t="shared" si="144"/>
        <v>D</v>
      </c>
      <c r="IP22" s="1">
        <f t="shared" si="145"/>
        <v>1</v>
      </c>
      <c r="IQ22" s="10">
        <v>2</v>
      </c>
      <c r="IR22" s="1">
        <f t="shared" si="146"/>
        <v>2</v>
      </c>
      <c r="IS22" s="10">
        <v>74</v>
      </c>
      <c r="IT22" s="10" t="str">
        <f t="shared" si="147"/>
        <v>B</v>
      </c>
      <c r="IU22" s="1">
        <f t="shared" si="148"/>
        <v>3</v>
      </c>
      <c r="IV22" s="10">
        <v>4</v>
      </c>
      <c r="IW22" s="1">
        <f t="shared" si="149"/>
        <v>12</v>
      </c>
      <c r="IX22" s="10">
        <v>80</v>
      </c>
      <c r="IY22" s="10" t="str">
        <f t="shared" si="150"/>
        <v>A</v>
      </c>
      <c r="IZ22" s="1">
        <f t="shared" si="151"/>
        <v>4</v>
      </c>
      <c r="JA22" s="10">
        <v>4</v>
      </c>
      <c r="JB22" s="1">
        <f t="shared" si="152"/>
        <v>16</v>
      </c>
      <c r="JC22" s="2">
        <v>72</v>
      </c>
      <c r="JD22" s="2">
        <v>22</v>
      </c>
      <c r="JE22" s="2">
        <v>62.5</v>
      </c>
      <c r="JF22" s="2">
        <v>19</v>
      </c>
      <c r="JG22" s="2">
        <v>75.5</v>
      </c>
      <c r="JH22" s="2">
        <v>21</v>
      </c>
      <c r="JI22" s="2">
        <v>68.5</v>
      </c>
      <c r="JJ22" s="2">
        <v>21</v>
      </c>
      <c r="JK22" s="2">
        <v>67.5</v>
      </c>
      <c r="JL22" s="2">
        <v>21</v>
      </c>
      <c r="JM22" s="2">
        <v>57</v>
      </c>
      <c r="JN22" s="2">
        <v>19</v>
      </c>
      <c r="JO22" s="2">
        <v>51</v>
      </c>
      <c r="JP22" s="2">
        <v>17</v>
      </c>
      <c r="JQ22" s="2">
        <v>16</v>
      </c>
      <c r="JR22" s="2">
        <v>4</v>
      </c>
      <c r="JS22" s="2">
        <f t="shared" si="153"/>
        <v>470</v>
      </c>
      <c r="JT22" s="2">
        <f t="shared" si="153"/>
        <v>144</v>
      </c>
      <c r="JU22" s="3">
        <f t="shared" si="154"/>
        <v>3.2638888888888888</v>
      </c>
      <c r="JV22" s="2" t="str">
        <f t="shared" si="155"/>
        <v>Sangat Memuaskan</v>
      </c>
      <c r="JW22" s="2" t="str">
        <f t="shared" si="156"/>
        <v>Highly Satisfactory</v>
      </c>
      <c r="JX22" s="23" t="s">
        <v>210</v>
      </c>
      <c r="JY22" s="23" t="s">
        <v>275</v>
      </c>
    </row>
    <row r="23" spans="1:285" x14ac:dyDescent="0.25">
      <c r="A23" s="55">
        <v>21</v>
      </c>
      <c r="B23" s="22" t="s">
        <v>44</v>
      </c>
      <c r="C23" s="2">
        <v>152111032</v>
      </c>
      <c r="D23" s="10" t="s">
        <v>152</v>
      </c>
      <c r="E23" s="24" t="s">
        <v>153</v>
      </c>
      <c r="F23" s="27" t="s">
        <v>219</v>
      </c>
      <c r="G23" s="2" t="s">
        <v>240</v>
      </c>
      <c r="H23" s="10">
        <v>87.75</v>
      </c>
      <c r="I23" s="10" t="s">
        <v>38</v>
      </c>
      <c r="J23" s="10">
        <v>4</v>
      </c>
      <c r="K23" s="10">
        <v>2</v>
      </c>
      <c r="L23" s="10">
        <v>8</v>
      </c>
      <c r="M23" s="10">
        <v>75.125</v>
      </c>
      <c r="N23" s="10" t="s">
        <v>39</v>
      </c>
      <c r="O23" s="10">
        <v>3.5</v>
      </c>
      <c r="P23" s="10">
        <v>3</v>
      </c>
      <c r="Q23" s="10">
        <v>10.5</v>
      </c>
      <c r="R23" s="10">
        <v>75.491666666666674</v>
      </c>
      <c r="S23" s="10" t="s">
        <v>39</v>
      </c>
      <c r="T23" s="10">
        <v>3.5</v>
      </c>
      <c r="U23" s="10">
        <v>4</v>
      </c>
      <c r="V23" s="10">
        <v>14</v>
      </c>
      <c r="W23" s="10">
        <v>81.05</v>
      </c>
      <c r="X23" s="10" t="s">
        <v>38</v>
      </c>
      <c r="Y23" s="10">
        <v>4</v>
      </c>
      <c r="Z23" s="10">
        <v>2</v>
      </c>
      <c r="AA23" s="10">
        <v>8</v>
      </c>
      <c r="AB23" s="10">
        <v>82.35</v>
      </c>
      <c r="AC23" s="10" t="s">
        <v>38</v>
      </c>
      <c r="AD23" s="10">
        <v>4</v>
      </c>
      <c r="AE23" s="10">
        <v>4</v>
      </c>
      <c r="AF23" s="10">
        <v>16</v>
      </c>
      <c r="AG23" s="10">
        <v>78</v>
      </c>
      <c r="AH23" s="10" t="s">
        <v>39</v>
      </c>
      <c r="AI23" s="10">
        <v>3.5</v>
      </c>
      <c r="AJ23" s="10">
        <v>4</v>
      </c>
      <c r="AK23" s="10">
        <v>14</v>
      </c>
      <c r="AL23" s="10">
        <v>78.166666666666671</v>
      </c>
      <c r="AM23" s="10" t="s">
        <v>39</v>
      </c>
      <c r="AN23" s="10">
        <v>3.5</v>
      </c>
      <c r="AO23" s="10">
        <v>3</v>
      </c>
      <c r="AP23" s="10">
        <v>10.5</v>
      </c>
      <c r="AQ23" s="9">
        <v>87</v>
      </c>
      <c r="AR23" s="10" t="str">
        <f t="shared" si="157"/>
        <v>A</v>
      </c>
      <c r="AS23" s="1">
        <f t="shared" si="7"/>
        <v>4</v>
      </c>
      <c r="AT23" s="10">
        <v>3</v>
      </c>
      <c r="AU23" s="1">
        <f t="shared" si="158"/>
        <v>12</v>
      </c>
      <c r="AV23" s="11">
        <v>70</v>
      </c>
      <c r="AW23" s="10" t="str">
        <f t="shared" si="159"/>
        <v>B</v>
      </c>
      <c r="AX23" s="1">
        <f t="shared" si="8"/>
        <v>3</v>
      </c>
      <c r="AY23" s="10">
        <v>2</v>
      </c>
      <c r="AZ23" s="1">
        <f t="shared" si="160"/>
        <v>6</v>
      </c>
      <c r="BA23" s="15">
        <v>80.55</v>
      </c>
      <c r="BB23" s="10" t="str">
        <f t="shared" si="161"/>
        <v>A</v>
      </c>
      <c r="BC23" s="1">
        <f t="shared" si="9"/>
        <v>4</v>
      </c>
      <c r="BD23" s="10">
        <v>2</v>
      </c>
      <c r="BE23" s="1">
        <f t="shared" si="162"/>
        <v>8</v>
      </c>
      <c r="BF23" s="21">
        <v>60.7</v>
      </c>
      <c r="BG23" s="10" t="str">
        <f t="shared" si="163"/>
        <v>C</v>
      </c>
      <c r="BH23" s="1">
        <f t="shared" si="10"/>
        <v>2</v>
      </c>
      <c r="BI23" s="10">
        <v>3</v>
      </c>
      <c r="BJ23" s="1">
        <f t="shared" si="164"/>
        <v>6</v>
      </c>
      <c r="BK23" s="14">
        <v>85.5</v>
      </c>
      <c r="BL23" s="10" t="str">
        <f t="shared" si="165"/>
        <v>A</v>
      </c>
      <c r="BM23" s="1">
        <f t="shared" si="11"/>
        <v>4</v>
      </c>
      <c r="BN23" s="10">
        <v>2</v>
      </c>
      <c r="BO23" s="1">
        <f t="shared" si="166"/>
        <v>8</v>
      </c>
      <c r="BP23" s="12">
        <v>71.55</v>
      </c>
      <c r="BQ23" s="10" t="str">
        <f t="shared" si="167"/>
        <v>B</v>
      </c>
      <c r="BR23" s="1">
        <f t="shared" si="12"/>
        <v>3</v>
      </c>
      <c r="BS23" s="10">
        <v>2</v>
      </c>
      <c r="BT23" s="1">
        <f t="shared" si="168"/>
        <v>6</v>
      </c>
      <c r="BU23" s="12">
        <v>73.45</v>
      </c>
      <c r="BV23" s="10" t="str">
        <f t="shared" si="169"/>
        <v>B</v>
      </c>
      <c r="BW23" s="1">
        <f t="shared" si="13"/>
        <v>3</v>
      </c>
      <c r="BX23" s="10">
        <v>3</v>
      </c>
      <c r="BY23" s="1">
        <f t="shared" si="170"/>
        <v>9</v>
      </c>
      <c r="BZ23" s="15">
        <v>73.349999999999994</v>
      </c>
      <c r="CA23" s="10" t="str">
        <f t="shared" si="171"/>
        <v>B</v>
      </c>
      <c r="CB23" s="1">
        <f t="shared" si="14"/>
        <v>3</v>
      </c>
      <c r="CC23" s="10">
        <v>2</v>
      </c>
      <c r="CD23" s="1">
        <f t="shared" si="172"/>
        <v>6</v>
      </c>
      <c r="CE23" s="19">
        <v>79.39</v>
      </c>
      <c r="CF23" s="10" t="str">
        <f t="shared" si="72"/>
        <v>B+</v>
      </c>
      <c r="CG23" s="1">
        <f t="shared" si="15"/>
        <v>3.5</v>
      </c>
      <c r="CH23" s="10">
        <v>4</v>
      </c>
      <c r="CI23" s="1">
        <f t="shared" si="73"/>
        <v>14</v>
      </c>
      <c r="CJ23" s="19">
        <v>80.599999999999994</v>
      </c>
      <c r="CK23" s="10" t="str">
        <f t="shared" si="74"/>
        <v>A</v>
      </c>
      <c r="CL23" s="1">
        <f t="shared" si="16"/>
        <v>4</v>
      </c>
      <c r="CM23" s="10">
        <v>4</v>
      </c>
      <c r="CN23" s="1">
        <f t="shared" si="75"/>
        <v>16</v>
      </c>
      <c r="CO23" s="19">
        <v>76.75</v>
      </c>
      <c r="CP23" s="10" t="str">
        <f t="shared" si="76"/>
        <v>B+</v>
      </c>
      <c r="CQ23" s="1">
        <f t="shared" si="17"/>
        <v>3.5</v>
      </c>
      <c r="CR23" s="10">
        <v>3</v>
      </c>
      <c r="CS23" s="1">
        <f t="shared" si="77"/>
        <v>10.5</v>
      </c>
      <c r="CT23" s="17">
        <v>78.574000000000012</v>
      </c>
      <c r="CU23" s="10" t="str">
        <f t="shared" si="78"/>
        <v>B+</v>
      </c>
      <c r="CV23" s="1">
        <f t="shared" si="18"/>
        <v>3.5</v>
      </c>
      <c r="CW23" s="10">
        <v>2</v>
      </c>
      <c r="CX23" s="1">
        <f t="shared" si="79"/>
        <v>7</v>
      </c>
      <c r="CY23" s="18">
        <v>76.3</v>
      </c>
      <c r="CZ23" s="10" t="str">
        <f t="shared" si="80"/>
        <v>B+</v>
      </c>
      <c r="DA23" s="1">
        <f t="shared" si="19"/>
        <v>3.5</v>
      </c>
      <c r="DB23" s="10">
        <v>2</v>
      </c>
      <c r="DC23" s="1">
        <f t="shared" si="81"/>
        <v>7</v>
      </c>
      <c r="DD23" s="19">
        <v>86.600000000000009</v>
      </c>
      <c r="DE23" s="10" t="str">
        <f t="shared" si="82"/>
        <v>A</v>
      </c>
      <c r="DF23" s="1">
        <f t="shared" si="20"/>
        <v>4</v>
      </c>
      <c r="DG23" s="10">
        <v>2</v>
      </c>
      <c r="DH23" s="1">
        <f t="shared" si="83"/>
        <v>8</v>
      </c>
      <c r="DI23" s="5">
        <v>84.75</v>
      </c>
      <c r="DJ23" s="10" t="str">
        <f t="shared" si="84"/>
        <v>A</v>
      </c>
      <c r="DK23" s="1">
        <f t="shared" si="21"/>
        <v>4</v>
      </c>
      <c r="DL23" s="10">
        <v>2</v>
      </c>
      <c r="DM23" s="1">
        <f t="shared" si="85"/>
        <v>8</v>
      </c>
      <c r="DN23" s="20">
        <v>79</v>
      </c>
      <c r="DO23" s="10" t="str">
        <f t="shared" si="86"/>
        <v>B+</v>
      </c>
      <c r="DP23" s="1">
        <f t="shared" si="22"/>
        <v>3.5</v>
      </c>
      <c r="DQ23" s="10">
        <v>2</v>
      </c>
      <c r="DR23" s="1">
        <f t="shared" si="87"/>
        <v>7</v>
      </c>
      <c r="DS23" s="19">
        <v>82.75</v>
      </c>
      <c r="DT23" s="10" t="str">
        <f t="shared" si="88"/>
        <v>A</v>
      </c>
      <c r="DU23" s="1">
        <f t="shared" si="23"/>
        <v>4</v>
      </c>
      <c r="DV23" s="10">
        <v>4</v>
      </c>
      <c r="DW23" s="1">
        <f t="shared" si="89"/>
        <v>16</v>
      </c>
      <c r="DX23" s="19">
        <v>82.95</v>
      </c>
      <c r="DY23" s="10" t="str">
        <f t="shared" si="90"/>
        <v>A</v>
      </c>
      <c r="DZ23" s="1">
        <f t="shared" si="24"/>
        <v>4</v>
      </c>
      <c r="EA23" s="10">
        <v>3</v>
      </c>
      <c r="EB23" s="1">
        <f t="shared" si="91"/>
        <v>12</v>
      </c>
      <c r="EC23" s="19">
        <v>77.25</v>
      </c>
      <c r="ED23" s="10" t="str">
        <f t="shared" si="92"/>
        <v>B+</v>
      </c>
      <c r="EE23" s="1">
        <f t="shared" si="25"/>
        <v>3.5</v>
      </c>
      <c r="EF23" s="10">
        <v>3</v>
      </c>
      <c r="EG23" s="1">
        <f t="shared" si="93"/>
        <v>10.5</v>
      </c>
      <c r="EH23" s="6">
        <v>80.5</v>
      </c>
      <c r="EI23" s="10" t="str">
        <f t="shared" si="94"/>
        <v>A</v>
      </c>
      <c r="EJ23" s="1">
        <f t="shared" si="26"/>
        <v>4</v>
      </c>
      <c r="EK23" s="10">
        <v>3</v>
      </c>
      <c r="EL23" s="1">
        <f t="shared" si="95"/>
        <v>12</v>
      </c>
      <c r="EM23" s="18">
        <v>78.438888888888883</v>
      </c>
      <c r="EN23" s="10" t="str">
        <f t="shared" si="96"/>
        <v>B+</v>
      </c>
      <c r="EO23" s="1">
        <f t="shared" si="27"/>
        <v>3.5</v>
      </c>
      <c r="EP23" s="10">
        <v>3</v>
      </c>
      <c r="EQ23" s="1">
        <f t="shared" si="97"/>
        <v>10.5</v>
      </c>
      <c r="ER23" s="7">
        <v>78.5</v>
      </c>
      <c r="ES23" s="10" t="str">
        <f t="shared" si="98"/>
        <v>B+</v>
      </c>
      <c r="ET23" s="1">
        <f t="shared" si="28"/>
        <v>3.5</v>
      </c>
      <c r="EU23" s="10">
        <v>2</v>
      </c>
      <c r="EV23" s="1">
        <f t="shared" si="99"/>
        <v>7</v>
      </c>
      <c r="EW23" s="5">
        <v>73.5</v>
      </c>
      <c r="EX23" s="10" t="str">
        <f t="shared" si="100"/>
        <v>B</v>
      </c>
      <c r="EY23" s="1">
        <f t="shared" si="29"/>
        <v>3</v>
      </c>
      <c r="EZ23" s="10">
        <v>3</v>
      </c>
      <c r="FA23" s="1">
        <f t="shared" si="101"/>
        <v>9</v>
      </c>
      <c r="FB23" s="19">
        <v>79</v>
      </c>
      <c r="FC23" s="10" t="str">
        <f t="shared" si="102"/>
        <v>B+</v>
      </c>
      <c r="FD23" s="1">
        <f t="shared" si="30"/>
        <v>3.5</v>
      </c>
      <c r="FE23" s="10">
        <v>2</v>
      </c>
      <c r="FF23" s="1">
        <f t="shared" si="103"/>
        <v>7</v>
      </c>
      <c r="FG23" s="19">
        <v>72</v>
      </c>
      <c r="FH23" s="10" t="str">
        <f t="shared" si="104"/>
        <v>B</v>
      </c>
      <c r="FI23" s="1">
        <f t="shared" si="31"/>
        <v>3</v>
      </c>
      <c r="FJ23" s="10">
        <v>3</v>
      </c>
      <c r="FK23" s="1">
        <f t="shared" si="105"/>
        <v>9</v>
      </c>
      <c r="FL23" s="19">
        <v>79.466666666666669</v>
      </c>
      <c r="FM23" s="10" t="str">
        <f t="shared" si="106"/>
        <v>B+</v>
      </c>
      <c r="FN23" s="1">
        <f t="shared" si="32"/>
        <v>3.5</v>
      </c>
      <c r="FO23" s="10">
        <v>3</v>
      </c>
      <c r="FP23" s="1">
        <f t="shared" si="107"/>
        <v>10.5</v>
      </c>
      <c r="FQ23" s="6">
        <v>78.89</v>
      </c>
      <c r="FR23" s="10" t="str">
        <f t="shared" si="108"/>
        <v>B+</v>
      </c>
      <c r="FS23" s="1">
        <f t="shared" si="109"/>
        <v>3.5</v>
      </c>
      <c r="FT23" s="10">
        <v>3</v>
      </c>
      <c r="FU23" s="1">
        <f t="shared" si="110"/>
        <v>10.5</v>
      </c>
      <c r="FV23" s="18">
        <v>78.599999999999994</v>
      </c>
      <c r="FW23" s="10" t="str">
        <f t="shared" si="111"/>
        <v>B+</v>
      </c>
      <c r="FX23" s="1">
        <f t="shared" si="33"/>
        <v>3.5</v>
      </c>
      <c r="FY23" s="10">
        <v>3</v>
      </c>
      <c r="FZ23" s="1">
        <f t="shared" si="112"/>
        <v>10.5</v>
      </c>
      <c r="GA23" s="7">
        <v>72.400000000000006</v>
      </c>
      <c r="GB23" s="10" t="str">
        <f t="shared" si="113"/>
        <v>B</v>
      </c>
      <c r="GC23" s="1">
        <f t="shared" si="34"/>
        <v>3</v>
      </c>
      <c r="GD23" s="10">
        <v>2</v>
      </c>
      <c r="GE23" s="1">
        <f t="shared" si="114"/>
        <v>6</v>
      </c>
      <c r="GF23" s="5">
        <v>81</v>
      </c>
      <c r="GG23" s="10" t="str">
        <f t="shared" si="115"/>
        <v>A</v>
      </c>
      <c r="GH23" s="1">
        <f t="shared" si="35"/>
        <v>4</v>
      </c>
      <c r="GI23" s="10">
        <v>3</v>
      </c>
      <c r="GJ23" s="1">
        <f t="shared" si="116"/>
        <v>12</v>
      </c>
      <c r="GK23" s="5">
        <v>75.900000000000006</v>
      </c>
      <c r="GL23" s="10" t="str">
        <f t="shared" si="117"/>
        <v>B+</v>
      </c>
      <c r="GM23" s="1">
        <f t="shared" si="36"/>
        <v>3.5</v>
      </c>
      <c r="GN23" s="10">
        <v>2</v>
      </c>
      <c r="GO23" s="1">
        <f t="shared" si="118"/>
        <v>7</v>
      </c>
      <c r="GP23" s="19">
        <v>76.2</v>
      </c>
      <c r="GQ23" s="10" t="str">
        <f t="shared" si="119"/>
        <v>B+</v>
      </c>
      <c r="GR23" s="1">
        <f t="shared" si="37"/>
        <v>3.5</v>
      </c>
      <c r="GS23" s="10">
        <v>3</v>
      </c>
      <c r="GT23" s="1">
        <f t="shared" si="120"/>
        <v>10.5</v>
      </c>
      <c r="GU23" s="19">
        <v>75.320000000000007</v>
      </c>
      <c r="GV23" s="10" t="str">
        <f t="shared" si="121"/>
        <v>B+</v>
      </c>
      <c r="GW23" s="1">
        <f t="shared" si="38"/>
        <v>3.5</v>
      </c>
      <c r="GX23" s="10">
        <v>4</v>
      </c>
      <c r="GY23" s="1">
        <f t="shared" si="122"/>
        <v>14</v>
      </c>
      <c r="GZ23" s="7">
        <v>74.25</v>
      </c>
      <c r="HA23" s="10" t="str">
        <f t="shared" si="123"/>
        <v>B</v>
      </c>
      <c r="HB23" s="1">
        <f t="shared" si="124"/>
        <v>3</v>
      </c>
      <c r="HC23" s="10">
        <v>4</v>
      </c>
      <c r="HD23" s="1">
        <f t="shared" si="125"/>
        <v>12</v>
      </c>
      <c r="HE23" s="6">
        <v>71.900000000000006</v>
      </c>
      <c r="HF23" s="10" t="str">
        <f t="shared" si="126"/>
        <v>B</v>
      </c>
      <c r="HG23" s="1">
        <f t="shared" si="39"/>
        <v>3</v>
      </c>
      <c r="HH23" s="10">
        <v>2</v>
      </c>
      <c r="HI23" s="1">
        <f t="shared" si="127"/>
        <v>6</v>
      </c>
      <c r="HJ23" s="18">
        <v>74.7</v>
      </c>
      <c r="HK23" s="10" t="str">
        <f t="shared" si="128"/>
        <v>B</v>
      </c>
      <c r="HL23" s="1">
        <f t="shared" si="40"/>
        <v>3</v>
      </c>
      <c r="HM23" s="10">
        <v>3</v>
      </c>
      <c r="HN23" s="1">
        <f t="shared" si="129"/>
        <v>9</v>
      </c>
      <c r="HO23" s="12">
        <v>80.625</v>
      </c>
      <c r="HP23" s="10" t="str">
        <f t="shared" si="130"/>
        <v>A</v>
      </c>
      <c r="HQ23" s="1">
        <f t="shared" si="41"/>
        <v>4</v>
      </c>
      <c r="HR23" s="10">
        <v>3</v>
      </c>
      <c r="HS23" s="1">
        <f t="shared" si="131"/>
        <v>12</v>
      </c>
      <c r="HT23" s="10">
        <v>80</v>
      </c>
      <c r="HU23" s="10" t="str">
        <f t="shared" si="132"/>
        <v>A</v>
      </c>
      <c r="HV23" s="1">
        <f t="shared" si="133"/>
        <v>4</v>
      </c>
      <c r="HW23" s="10">
        <v>4</v>
      </c>
      <c r="HX23" s="1">
        <f t="shared" si="134"/>
        <v>16</v>
      </c>
      <c r="HY23" s="19">
        <v>76.75</v>
      </c>
      <c r="HZ23" s="10" t="str">
        <f t="shared" si="135"/>
        <v>B+</v>
      </c>
      <c r="IA23" s="1">
        <f t="shared" si="136"/>
        <v>3.5</v>
      </c>
      <c r="IB23" s="10">
        <v>2</v>
      </c>
      <c r="IC23" s="1">
        <f t="shared" si="137"/>
        <v>7</v>
      </c>
      <c r="ID23" s="7">
        <v>75.849999999999994</v>
      </c>
      <c r="IE23" s="10" t="str">
        <f t="shared" si="138"/>
        <v>B+</v>
      </c>
      <c r="IF23" s="1">
        <f t="shared" si="139"/>
        <v>3.5</v>
      </c>
      <c r="IG23" s="10">
        <v>3</v>
      </c>
      <c r="IH23" s="1">
        <f t="shared" si="140"/>
        <v>10.5</v>
      </c>
      <c r="II23" s="6">
        <v>80</v>
      </c>
      <c r="IJ23" s="10" t="str">
        <f t="shared" si="141"/>
        <v>A</v>
      </c>
      <c r="IK23" s="1">
        <f t="shared" si="142"/>
        <v>4</v>
      </c>
      <c r="IL23" s="10">
        <v>2</v>
      </c>
      <c r="IM23" s="1">
        <f t="shared" si="143"/>
        <v>8</v>
      </c>
      <c r="IN23" s="18">
        <v>75.63</v>
      </c>
      <c r="IO23" s="10" t="str">
        <f t="shared" si="144"/>
        <v>B+</v>
      </c>
      <c r="IP23" s="1">
        <f t="shared" si="145"/>
        <v>3.5</v>
      </c>
      <c r="IQ23" s="10">
        <v>2</v>
      </c>
      <c r="IR23" s="1">
        <f t="shared" si="146"/>
        <v>7</v>
      </c>
      <c r="IS23" s="10">
        <v>79</v>
      </c>
      <c r="IT23" s="10" t="str">
        <f t="shared" si="147"/>
        <v>B+</v>
      </c>
      <c r="IU23" s="1">
        <f t="shared" si="148"/>
        <v>3.5</v>
      </c>
      <c r="IV23" s="10">
        <v>4</v>
      </c>
      <c r="IW23" s="1">
        <f t="shared" si="149"/>
        <v>14</v>
      </c>
      <c r="IX23" s="10">
        <v>80</v>
      </c>
      <c r="IY23" s="10" t="str">
        <f t="shared" si="150"/>
        <v>A</v>
      </c>
      <c r="IZ23" s="1">
        <f t="shared" si="151"/>
        <v>4</v>
      </c>
      <c r="JA23" s="10">
        <v>4</v>
      </c>
      <c r="JB23" s="1">
        <f t="shared" si="152"/>
        <v>16</v>
      </c>
      <c r="JC23" s="2">
        <v>81</v>
      </c>
      <c r="JD23" s="2">
        <v>22</v>
      </c>
      <c r="JE23" s="2">
        <v>61</v>
      </c>
      <c r="JF23" s="2">
        <v>19</v>
      </c>
      <c r="JG23" s="2">
        <v>77.5</v>
      </c>
      <c r="JH23" s="2">
        <v>21</v>
      </c>
      <c r="JI23" s="2">
        <v>77</v>
      </c>
      <c r="JJ23" s="2">
        <v>21</v>
      </c>
      <c r="JK23" s="2">
        <v>72.5</v>
      </c>
      <c r="JL23" s="2">
        <v>21</v>
      </c>
      <c r="JM23" s="2">
        <v>63.5</v>
      </c>
      <c r="JN23" s="2">
        <v>19</v>
      </c>
      <c r="JO23" s="2">
        <v>62.5</v>
      </c>
      <c r="JP23" s="2">
        <v>17</v>
      </c>
      <c r="JQ23" s="2">
        <v>16</v>
      </c>
      <c r="JR23" s="2">
        <v>4</v>
      </c>
      <c r="JS23" s="2">
        <f t="shared" si="153"/>
        <v>511</v>
      </c>
      <c r="JT23" s="2">
        <f t="shared" si="153"/>
        <v>144</v>
      </c>
      <c r="JU23" s="3">
        <f t="shared" si="154"/>
        <v>3.5486111111111112</v>
      </c>
      <c r="JV23" s="2" t="str">
        <f t="shared" si="155"/>
        <v>Cum Laude</v>
      </c>
      <c r="JW23" s="2" t="str">
        <f t="shared" si="156"/>
        <v>Excellent</v>
      </c>
      <c r="JX23" s="23" t="s">
        <v>198</v>
      </c>
      <c r="JY23" s="23" t="s">
        <v>276</v>
      </c>
    </row>
    <row r="24" spans="1:285" x14ac:dyDescent="0.25">
      <c r="A24" s="55">
        <v>22</v>
      </c>
      <c r="B24" s="39" t="s">
        <v>45</v>
      </c>
      <c r="C24" s="2">
        <v>152111033</v>
      </c>
      <c r="D24" s="10" t="s">
        <v>154</v>
      </c>
      <c r="E24" s="24" t="s">
        <v>155</v>
      </c>
      <c r="F24" s="27" t="s">
        <v>219</v>
      </c>
      <c r="G24" s="2" t="s">
        <v>241</v>
      </c>
      <c r="H24" s="10">
        <v>89.55</v>
      </c>
      <c r="I24" s="10" t="s">
        <v>38</v>
      </c>
      <c r="J24" s="10">
        <v>4</v>
      </c>
      <c r="K24" s="10">
        <v>2</v>
      </c>
      <c r="L24" s="10">
        <v>8</v>
      </c>
      <c r="M24" s="10">
        <v>74.5</v>
      </c>
      <c r="N24" s="10" t="s">
        <v>40</v>
      </c>
      <c r="O24" s="10">
        <v>3</v>
      </c>
      <c r="P24" s="10">
        <v>3</v>
      </c>
      <c r="Q24" s="10">
        <v>9</v>
      </c>
      <c r="R24" s="10">
        <v>74.724999999999994</v>
      </c>
      <c r="S24" s="10" t="s">
        <v>40</v>
      </c>
      <c r="T24" s="10">
        <v>3</v>
      </c>
      <c r="U24" s="10">
        <v>4</v>
      </c>
      <c r="V24" s="10">
        <v>12</v>
      </c>
      <c r="W24" s="10">
        <v>79.05</v>
      </c>
      <c r="X24" s="10" t="s">
        <v>39</v>
      </c>
      <c r="Y24" s="10">
        <v>3.5</v>
      </c>
      <c r="Z24" s="10">
        <v>2</v>
      </c>
      <c r="AA24" s="10">
        <v>7</v>
      </c>
      <c r="AB24" s="10">
        <v>77.2</v>
      </c>
      <c r="AC24" s="10" t="s">
        <v>39</v>
      </c>
      <c r="AD24" s="10">
        <v>3.5</v>
      </c>
      <c r="AE24" s="10">
        <v>4</v>
      </c>
      <c r="AF24" s="10">
        <v>14</v>
      </c>
      <c r="AG24" s="10">
        <v>73.349999999999994</v>
      </c>
      <c r="AH24" s="10" t="s">
        <v>40</v>
      </c>
      <c r="AI24" s="10">
        <v>3</v>
      </c>
      <c r="AJ24" s="10">
        <v>4</v>
      </c>
      <c r="AK24" s="10">
        <v>12</v>
      </c>
      <c r="AL24" s="10">
        <v>77.899999999999991</v>
      </c>
      <c r="AM24" s="10" t="s">
        <v>39</v>
      </c>
      <c r="AN24" s="10">
        <v>3.5</v>
      </c>
      <c r="AO24" s="10">
        <v>3</v>
      </c>
      <c r="AP24" s="10">
        <v>10.5</v>
      </c>
      <c r="AQ24" s="9">
        <v>88.850000000000009</v>
      </c>
      <c r="AR24" s="10" t="str">
        <f t="shared" si="157"/>
        <v>A</v>
      </c>
      <c r="AS24" s="1">
        <f t="shared" si="7"/>
        <v>4</v>
      </c>
      <c r="AT24" s="10">
        <v>3</v>
      </c>
      <c r="AU24" s="1">
        <f t="shared" si="158"/>
        <v>12</v>
      </c>
      <c r="AV24" s="11">
        <v>70</v>
      </c>
      <c r="AW24" s="10" t="str">
        <f t="shared" si="159"/>
        <v>B</v>
      </c>
      <c r="AX24" s="1">
        <f t="shared" si="8"/>
        <v>3</v>
      </c>
      <c r="AY24" s="10">
        <v>2</v>
      </c>
      <c r="AZ24" s="1">
        <f t="shared" si="160"/>
        <v>6</v>
      </c>
      <c r="BA24" s="15">
        <v>80.150000000000006</v>
      </c>
      <c r="BB24" s="10" t="str">
        <f t="shared" si="161"/>
        <v>A</v>
      </c>
      <c r="BC24" s="1">
        <f t="shared" si="9"/>
        <v>4</v>
      </c>
      <c r="BD24" s="10">
        <v>2</v>
      </c>
      <c r="BE24" s="1">
        <f t="shared" si="162"/>
        <v>8</v>
      </c>
      <c r="BF24" s="14">
        <v>68.449999999999989</v>
      </c>
      <c r="BG24" s="10" t="str">
        <f t="shared" si="163"/>
        <v>C+</v>
      </c>
      <c r="BH24" s="1">
        <f t="shared" si="10"/>
        <v>2.5</v>
      </c>
      <c r="BI24" s="10">
        <v>3</v>
      </c>
      <c r="BJ24" s="1">
        <f t="shared" si="164"/>
        <v>7.5</v>
      </c>
      <c r="BK24" s="14">
        <v>85.5</v>
      </c>
      <c r="BL24" s="10" t="str">
        <f t="shared" si="165"/>
        <v>A</v>
      </c>
      <c r="BM24" s="1">
        <f t="shared" si="11"/>
        <v>4</v>
      </c>
      <c r="BN24" s="10">
        <v>2</v>
      </c>
      <c r="BO24" s="1">
        <f t="shared" si="166"/>
        <v>8</v>
      </c>
      <c r="BP24" s="12">
        <v>69.849999999999994</v>
      </c>
      <c r="BQ24" s="10" t="str">
        <f t="shared" si="167"/>
        <v>C+</v>
      </c>
      <c r="BR24" s="1">
        <f t="shared" si="12"/>
        <v>2.5</v>
      </c>
      <c r="BS24" s="10">
        <v>2</v>
      </c>
      <c r="BT24" s="1">
        <f t="shared" si="168"/>
        <v>5</v>
      </c>
      <c r="BU24" s="12">
        <v>77.150000000000006</v>
      </c>
      <c r="BV24" s="10" t="str">
        <f t="shared" si="169"/>
        <v>B+</v>
      </c>
      <c r="BW24" s="1">
        <f t="shared" si="13"/>
        <v>3.5</v>
      </c>
      <c r="BX24" s="10">
        <v>3</v>
      </c>
      <c r="BY24" s="1">
        <f t="shared" si="170"/>
        <v>10.5</v>
      </c>
      <c r="BZ24" s="15">
        <v>67.183333333333337</v>
      </c>
      <c r="CA24" s="10" t="str">
        <f t="shared" si="171"/>
        <v>C+</v>
      </c>
      <c r="CB24" s="1">
        <f t="shared" si="14"/>
        <v>2.5</v>
      </c>
      <c r="CC24" s="10">
        <v>2</v>
      </c>
      <c r="CD24" s="1">
        <f t="shared" si="172"/>
        <v>5</v>
      </c>
      <c r="CE24" s="19">
        <v>76.31</v>
      </c>
      <c r="CF24" s="10" t="str">
        <f t="shared" si="72"/>
        <v>B+</v>
      </c>
      <c r="CG24" s="1">
        <f t="shared" si="15"/>
        <v>3.5</v>
      </c>
      <c r="CH24" s="10">
        <v>4</v>
      </c>
      <c r="CI24" s="1">
        <f t="shared" si="73"/>
        <v>14</v>
      </c>
      <c r="CJ24" s="19">
        <v>72.2</v>
      </c>
      <c r="CK24" s="10" t="str">
        <f t="shared" si="74"/>
        <v>B</v>
      </c>
      <c r="CL24" s="1">
        <f t="shared" si="16"/>
        <v>3</v>
      </c>
      <c r="CM24" s="10">
        <v>4</v>
      </c>
      <c r="CN24" s="1">
        <f t="shared" si="75"/>
        <v>12</v>
      </c>
      <c r="CO24" s="19">
        <v>76.45</v>
      </c>
      <c r="CP24" s="10" t="str">
        <f t="shared" si="76"/>
        <v>B+</v>
      </c>
      <c r="CQ24" s="1">
        <f t="shared" si="17"/>
        <v>3.5</v>
      </c>
      <c r="CR24" s="10">
        <v>3</v>
      </c>
      <c r="CS24" s="1">
        <f t="shared" si="77"/>
        <v>10.5</v>
      </c>
      <c r="CT24" s="17">
        <v>81.200285714285712</v>
      </c>
      <c r="CU24" s="10" t="str">
        <f t="shared" si="78"/>
        <v>A</v>
      </c>
      <c r="CV24" s="1">
        <f t="shared" si="18"/>
        <v>4</v>
      </c>
      <c r="CW24" s="10">
        <v>2</v>
      </c>
      <c r="CX24" s="1">
        <f t="shared" si="79"/>
        <v>8</v>
      </c>
      <c r="CY24" s="18">
        <v>79.375</v>
      </c>
      <c r="CZ24" s="10" t="str">
        <f t="shared" si="80"/>
        <v>B+</v>
      </c>
      <c r="DA24" s="1">
        <f t="shared" si="19"/>
        <v>3.5</v>
      </c>
      <c r="DB24" s="10">
        <v>2</v>
      </c>
      <c r="DC24" s="1">
        <f t="shared" si="81"/>
        <v>7</v>
      </c>
      <c r="DD24" s="19">
        <v>88.35</v>
      </c>
      <c r="DE24" s="10" t="str">
        <f t="shared" si="82"/>
        <v>A</v>
      </c>
      <c r="DF24" s="1">
        <f t="shared" si="20"/>
        <v>4</v>
      </c>
      <c r="DG24" s="10">
        <v>2</v>
      </c>
      <c r="DH24" s="1">
        <f t="shared" si="83"/>
        <v>8</v>
      </c>
      <c r="DI24" s="5">
        <v>84.75</v>
      </c>
      <c r="DJ24" s="10" t="str">
        <f t="shared" si="84"/>
        <v>A</v>
      </c>
      <c r="DK24" s="1">
        <f t="shared" si="21"/>
        <v>4</v>
      </c>
      <c r="DL24" s="10">
        <v>2</v>
      </c>
      <c r="DM24" s="1">
        <f t="shared" si="85"/>
        <v>8</v>
      </c>
      <c r="DN24" s="20">
        <v>76</v>
      </c>
      <c r="DO24" s="10" t="str">
        <f t="shared" si="86"/>
        <v>B+</v>
      </c>
      <c r="DP24" s="1">
        <f t="shared" si="22"/>
        <v>3.5</v>
      </c>
      <c r="DQ24" s="10">
        <v>2</v>
      </c>
      <c r="DR24" s="1">
        <f t="shared" si="87"/>
        <v>7</v>
      </c>
      <c r="DS24" s="19">
        <v>80</v>
      </c>
      <c r="DT24" s="10" t="str">
        <f t="shared" si="88"/>
        <v>A</v>
      </c>
      <c r="DU24" s="1">
        <f t="shared" si="23"/>
        <v>4</v>
      </c>
      <c r="DV24" s="10">
        <v>4</v>
      </c>
      <c r="DW24" s="1">
        <f t="shared" si="89"/>
        <v>16</v>
      </c>
      <c r="DX24" s="19">
        <v>82.95</v>
      </c>
      <c r="DY24" s="10" t="str">
        <f t="shared" si="90"/>
        <v>A</v>
      </c>
      <c r="DZ24" s="1">
        <f t="shared" si="24"/>
        <v>4</v>
      </c>
      <c r="EA24" s="10">
        <v>3</v>
      </c>
      <c r="EB24" s="1">
        <f t="shared" si="91"/>
        <v>12</v>
      </c>
      <c r="EC24" s="19">
        <v>80.75</v>
      </c>
      <c r="ED24" s="10" t="str">
        <f t="shared" si="92"/>
        <v>A</v>
      </c>
      <c r="EE24" s="1">
        <f t="shared" si="25"/>
        <v>4</v>
      </c>
      <c r="EF24" s="10">
        <v>3</v>
      </c>
      <c r="EG24" s="1">
        <f t="shared" si="93"/>
        <v>12</v>
      </c>
      <c r="EH24" s="6">
        <v>80.8</v>
      </c>
      <c r="EI24" s="10" t="str">
        <f t="shared" si="94"/>
        <v>A</v>
      </c>
      <c r="EJ24" s="1">
        <f t="shared" si="26"/>
        <v>4</v>
      </c>
      <c r="EK24" s="10">
        <v>3</v>
      </c>
      <c r="EL24" s="1">
        <f t="shared" si="95"/>
        <v>12</v>
      </c>
      <c r="EM24" s="18">
        <v>78.010000000000005</v>
      </c>
      <c r="EN24" s="10" t="str">
        <f t="shared" si="96"/>
        <v>B+</v>
      </c>
      <c r="EO24" s="1">
        <f t="shared" si="27"/>
        <v>3.5</v>
      </c>
      <c r="EP24" s="10">
        <v>3</v>
      </c>
      <c r="EQ24" s="1">
        <f t="shared" si="97"/>
        <v>10.5</v>
      </c>
      <c r="ER24" s="7">
        <v>78.5</v>
      </c>
      <c r="ES24" s="10" t="str">
        <f t="shared" si="98"/>
        <v>B+</v>
      </c>
      <c r="ET24" s="1">
        <f t="shared" si="28"/>
        <v>3.5</v>
      </c>
      <c r="EU24" s="10">
        <v>2</v>
      </c>
      <c r="EV24" s="1">
        <f t="shared" si="99"/>
        <v>7</v>
      </c>
      <c r="EW24" s="5">
        <v>71.5</v>
      </c>
      <c r="EX24" s="10" t="str">
        <f t="shared" si="100"/>
        <v>B</v>
      </c>
      <c r="EY24" s="1">
        <f t="shared" si="29"/>
        <v>3</v>
      </c>
      <c r="EZ24" s="10">
        <v>3</v>
      </c>
      <c r="FA24" s="1">
        <f t="shared" si="101"/>
        <v>9</v>
      </c>
      <c r="FB24" s="19">
        <v>78</v>
      </c>
      <c r="FC24" s="10" t="str">
        <f t="shared" si="102"/>
        <v>B+</v>
      </c>
      <c r="FD24" s="1">
        <f t="shared" si="30"/>
        <v>3.5</v>
      </c>
      <c r="FE24" s="10">
        <v>2</v>
      </c>
      <c r="FF24" s="1">
        <f t="shared" si="103"/>
        <v>7</v>
      </c>
      <c r="FG24" s="19">
        <v>72.5</v>
      </c>
      <c r="FH24" s="10" t="str">
        <f t="shared" si="104"/>
        <v>B</v>
      </c>
      <c r="FI24" s="1">
        <f t="shared" si="31"/>
        <v>3</v>
      </c>
      <c r="FJ24" s="10">
        <v>3</v>
      </c>
      <c r="FK24" s="1">
        <f t="shared" si="105"/>
        <v>9</v>
      </c>
      <c r="FL24" s="19">
        <v>79.466666666666669</v>
      </c>
      <c r="FM24" s="10" t="str">
        <f t="shared" si="106"/>
        <v>B+</v>
      </c>
      <c r="FN24" s="1">
        <f t="shared" si="32"/>
        <v>3.5</v>
      </c>
      <c r="FO24" s="10">
        <v>3</v>
      </c>
      <c r="FP24" s="1">
        <f t="shared" si="107"/>
        <v>10.5</v>
      </c>
      <c r="FQ24" s="6">
        <v>78.34</v>
      </c>
      <c r="FR24" s="10" t="str">
        <f t="shared" si="108"/>
        <v>B+</v>
      </c>
      <c r="FS24" s="1">
        <f t="shared" si="109"/>
        <v>3.5</v>
      </c>
      <c r="FT24" s="10">
        <v>3</v>
      </c>
      <c r="FU24" s="1">
        <f t="shared" si="110"/>
        <v>10.5</v>
      </c>
      <c r="FV24" s="18">
        <v>78.3</v>
      </c>
      <c r="FW24" s="10" t="str">
        <f t="shared" si="111"/>
        <v>B+</v>
      </c>
      <c r="FX24" s="1">
        <f t="shared" si="33"/>
        <v>3.5</v>
      </c>
      <c r="FY24" s="10">
        <v>3</v>
      </c>
      <c r="FZ24" s="1">
        <f t="shared" si="112"/>
        <v>10.5</v>
      </c>
      <c r="GA24" s="7">
        <v>73.400000000000006</v>
      </c>
      <c r="GB24" s="10" t="str">
        <f t="shared" si="113"/>
        <v>B</v>
      </c>
      <c r="GC24" s="1">
        <f t="shared" si="34"/>
        <v>3</v>
      </c>
      <c r="GD24" s="10">
        <v>2</v>
      </c>
      <c r="GE24" s="1">
        <f t="shared" si="114"/>
        <v>6</v>
      </c>
      <c r="GF24" s="5">
        <v>80.599999999999994</v>
      </c>
      <c r="GG24" s="10" t="str">
        <f t="shared" si="115"/>
        <v>A</v>
      </c>
      <c r="GH24" s="1">
        <f t="shared" si="35"/>
        <v>4</v>
      </c>
      <c r="GI24" s="10">
        <v>3</v>
      </c>
      <c r="GJ24" s="1">
        <f t="shared" si="116"/>
        <v>12</v>
      </c>
      <c r="GK24" s="5">
        <v>75.3</v>
      </c>
      <c r="GL24" s="10" t="str">
        <f t="shared" si="117"/>
        <v>B+</v>
      </c>
      <c r="GM24" s="1">
        <f t="shared" si="36"/>
        <v>3.5</v>
      </c>
      <c r="GN24" s="10">
        <v>2</v>
      </c>
      <c r="GO24" s="1">
        <f t="shared" si="118"/>
        <v>7</v>
      </c>
      <c r="GP24" s="19">
        <v>76</v>
      </c>
      <c r="GQ24" s="10" t="str">
        <f t="shared" si="119"/>
        <v>B+</v>
      </c>
      <c r="GR24" s="1">
        <f t="shared" si="37"/>
        <v>3.5</v>
      </c>
      <c r="GS24" s="10">
        <v>3</v>
      </c>
      <c r="GT24" s="1">
        <f t="shared" si="120"/>
        <v>10.5</v>
      </c>
      <c r="GU24" s="19">
        <v>77.62</v>
      </c>
      <c r="GV24" s="10" t="str">
        <f t="shared" si="121"/>
        <v>B+</v>
      </c>
      <c r="GW24" s="1">
        <f t="shared" si="38"/>
        <v>3.5</v>
      </c>
      <c r="GX24" s="10">
        <v>4</v>
      </c>
      <c r="GY24" s="1">
        <f t="shared" si="122"/>
        <v>14</v>
      </c>
      <c r="GZ24" s="7">
        <v>74.25</v>
      </c>
      <c r="HA24" s="10" t="str">
        <f t="shared" si="123"/>
        <v>B</v>
      </c>
      <c r="HB24" s="1">
        <f t="shared" si="124"/>
        <v>3</v>
      </c>
      <c r="HC24" s="10">
        <v>4</v>
      </c>
      <c r="HD24" s="1">
        <f t="shared" si="125"/>
        <v>12</v>
      </c>
      <c r="HE24" s="6">
        <v>77.650000000000006</v>
      </c>
      <c r="HF24" s="10" t="str">
        <f t="shared" si="126"/>
        <v>B+</v>
      </c>
      <c r="HG24" s="1">
        <f t="shared" si="39"/>
        <v>3.5</v>
      </c>
      <c r="HH24" s="10">
        <v>2</v>
      </c>
      <c r="HI24" s="1">
        <f t="shared" si="127"/>
        <v>7</v>
      </c>
      <c r="HJ24" s="18">
        <v>77.400000000000006</v>
      </c>
      <c r="HK24" s="10" t="str">
        <f t="shared" si="128"/>
        <v>B+</v>
      </c>
      <c r="HL24" s="1">
        <f t="shared" si="40"/>
        <v>3.5</v>
      </c>
      <c r="HM24" s="10">
        <v>3</v>
      </c>
      <c r="HN24" s="1">
        <f t="shared" si="129"/>
        <v>10.5</v>
      </c>
      <c r="HO24" s="12">
        <v>74.174999999999997</v>
      </c>
      <c r="HP24" s="10" t="str">
        <f t="shared" si="130"/>
        <v>B</v>
      </c>
      <c r="HQ24" s="1">
        <f t="shared" si="41"/>
        <v>3</v>
      </c>
      <c r="HR24" s="10">
        <v>3</v>
      </c>
      <c r="HS24" s="1">
        <f t="shared" si="131"/>
        <v>9</v>
      </c>
      <c r="HT24" s="10">
        <v>80.599999999999994</v>
      </c>
      <c r="HU24" s="10" t="str">
        <f t="shared" si="132"/>
        <v>A</v>
      </c>
      <c r="HV24" s="1">
        <f t="shared" si="133"/>
        <v>4</v>
      </c>
      <c r="HW24" s="10">
        <v>4</v>
      </c>
      <c r="HX24" s="1">
        <f t="shared" si="134"/>
        <v>16</v>
      </c>
      <c r="HY24" s="19">
        <v>76.349999999999994</v>
      </c>
      <c r="HZ24" s="10" t="str">
        <f t="shared" si="135"/>
        <v>B+</v>
      </c>
      <c r="IA24" s="1">
        <f t="shared" si="136"/>
        <v>3.5</v>
      </c>
      <c r="IB24" s="10">
        <v>2</v>
      </c>
      <c r="IC24" s="1">
        <f t="shared" si="137"/>
        <v>7</v>
      </c>
      <c r="ID24" s="7">
        <v>79</v>
      </c>
      <c r="IE24" s="10" t="str">
        <f t="shared" si="138"/>
        <v>B+</v>
      </c>
      <c r="IF24" s="1">
        <f t="shared" si="139"/>
        <v>3.5</v>
      </c>
      <c r="IG24" s="10">
        <v>3</v>
      </c>
      <c r="IH24" s="1">
        <f t="shared" si="140"/>
        <v>10.5</v>
      </c>
      <c r="II24" s="6">
        <v>80.599999999999994</v>
      </c>
      <c r="IJ24" s="10" t="str">
        <f t="shared" si="141"/>
        <v>A</v>
      </c>
      <c r="IK24" s="1">
        <f t="shared" si="142"/>
        <v>4</v>
      </c>
      <c r="IL24" s="10">
        <v>2</v>
      </c>
      <c r="IM24" s="1">
        <f t="shared" si="143"/>
        <v>8</v>
      </c>
      <c r="IN24" s="18">
        <v>72.28</v>
      </c>
      <c r="IO24" s="10" t="str">
        <f t="shared" si="144"/>
        <v>B</v>
      </c>
      <c r="IP24" s="1">
        <f t="shared" si="145"/>
        <v>3</v>
      </c>
      <c r="IQ24" s="10">
        <v>2</v>
      </c>
      <c r="IR24" s="1">
        <f t="shared" si="146"/>
        <v>6</v>
      </c>
      <c r="IS24" s="10">
        <v>76.599999999999994</v>
      </c>
      <c r="IT24" s="10" t="str">
        <f t="shared" si="147"/>
        <v>B+</v>
      </c>
      <c r="IU24" s="1">
        <f t="shared" si="148"/>
        <v>3.5</v>
      </c>
      <c r="IV24" s="10">
        <v>4</v>
      </c>
      <c r="IW24" s="1">
        <f t="shared" si="149"/>
        <v>14</v>
      </c>
      <c r="IX24" s="10">
        <v>82</v>
      </c>
      <c r="IY24" s="10" t="str">
        <f t="shared" si="150"/>
        <v>A</v>
      </c>
      <c r="IZ24" s="1">
        <f t="shared" si="151"/>
        <v>4</v>
      </c>
      <c r="JA24" s="10">
        <v>4</v>
      </c>
      <c r="JB24" s="1">
        <f t="shared" si="152"/>
        <v>16</v>
      </c>
      <c r="JC24" s="2">
        <v>72.5</v>
      </c>
      <c r="JD24" s="2">
        <v>22</v>
      </c>
      <c r="JE24" s="2">
        <v>62</v>
      </c>
      <c r="JF24" s="2">
        <v>19</v>
      </c>
      <c r="JG24" s="2">
        <v>74.5</v>
      </c>
      <c r="JH24" s="2">
        <v>21</v>
      </c>
      <c r="JI24" s="2">
        <v>78.5</v>
      </c>
      <c r="JJ24" s="2">
        <v>21</v>
      </c>
      <c r="JK24" s="2">
        <v>72.5</v>
      </c>
      <c r="JL24" s="2">
        <v>21</v>
      </c>
      <c r="JM24" s="2">
        <v>63</v>
      </c>
      <c r="JN24" s="2">
        <v>19</v>
      </c>
      <c r="JO24" s="2">
        <v>61.5</v>
      </c>
      <c r="JP24" s="2">
        <v>17</v>
      </c>
      <c r="JQ24" s="2">
        <v>16</v>
      </c>
      <c r="JR24" s="2">
        <v>4</v>
      </c>
      <c r="JS24" s="2">
        <f t="shared" si="153"/>
        <v>500.5</v>
      </c>
      <c r="JT24" s="2">
        <f t="shared" si="153"/>
        <v>144</v>
      </c>
      <c r="JU24" s="3">
        <f t="shared" si="154"/>
        <v>3.4756944444444446</v>
      </c>
      <c r="JV24" s="2" t="str">
        <f t="shared" si="155"/>
        <v>Sangat Memuaskan</v>
      </c>
      <c r="JW24" s="2" t="str">
        <f t="shared" si="156"/>
        <v>Highly Satisfactory</v>
      </c>
      <c r="JX24" s="23" t="s">
        <v>211</v>
      </c>
      <c r="JY24" s="23" t="s">
        <v>277</v>
      </c>
    </row>
    <row r="25" spans="1:285" x14ac:dyDescent="0.25">
      <c r="A25" s="55">
        <v>23</v>
      </c>
      <c r="B25" s="40" t="s">
        <v>49</v>
      </c>
      <c r="C25" s="2">
        <v>152111036</v>
      </c>
      <c r="D25" s="10" t="s">
        <v>135</v>
      </c>
      <c r="E25" s="24" t="s">
        <v>156</v>
      </c>
      <c r="F25" s="27" t="s">
        <v>219</v>
      </c>
      <c r="G25" s="2" t="s">
        <v>242</v>
      </c>
      <c r="H25" s="10">
        <v>80.100000000000009</v>
      </c>
      <c r="I25" s="10" t="s">
        <v>38</v>
      </c>
      <c r="J25" s="10">
        <v>4</v>
      </c>
      <c r="K25" s="10">
        <v>2</v>
      </c>
      <c r="L25" s="10">
        <v>8</v>
      </c>
      <c r="M25" s="10">
        <v>73.875</v>
      </c>
      <c r="N25" s="10" t="s">
        <v>40</v>
      </c>
      <c r="O25" s="10">
        <v>3</v>
      </c>
      <c r="P25" s="10">
        <v>3</v>
      </c>
      <c r="Q25" s="10">
        <v>9</v>
      </c>
      <c r="R25" s="10">
        <v>76.11666666666666</v>
      </c>
      <c r="S25" s="10" t="s">
        <v>39</v>
      </c>
      <c r="T25" s="10">
        <v>3.5</v>
      </c>
      <c r="U25" s="10">
        <v>4</v>
      </c>
      <c r="V25" s="10">
        <v>14</v>
      </c>
      <c r="W25" s="10">
        <v>79.05</v>
      </c>
      <c r="X25" s="10" t="s">
        <v>39</v>
      </c>
      <c r="Y25" s="10">
        <v>3.5</v>
      </c>
      <c r="Z25" s="10">
        <v>2</v>
      </c>
      <c r="AA25" s="10">
        <v>7</v>
      </c>
      <c r="AB25" s="10">
        <v>70.45</v>
      </c>
      <c r="AC25" s="10" t="s">
        <v>40</v>
      </c>
      <c r="AD25" s="10">
        <v>3</v>
      </c>
      <c r="AE25" s="10">
        <v>4</v>
      </c>
      <c r="AF25" s="10">
        <v>12</v>
      </c>
      <c r="AG25" s="10">
        <v>76.05</v>
      </c>
      <c r="AH25" s="10" t="s">
        <v>39</v>
      </c>
      <c r="AI25" s="10">
        <v>3.5</v>
      </c>
      <c r="AJ25" s="10">
        <v>4</v>
      </c>
      <c r="AK25" s="10">
        <v>14</v>
      </c>
      <c r="AL25" s="10">
        <v>79.666666666666671</v>
      </c>
      <c r="AM25" s="10" t="s">
        <v>39</v>
      </c>
      <c r="AN25" s="10">
        <v>3.5</v>
      </c>
      <c r="AO25" s="10">
        <v>3</v>
      </c>
      <c r="AP25" s="10">
        <v>10.5</v>
      </c>
      <c r="AQ25" s="9">
        <v>83.1</v>
      </c>
      <c r="AR25" s="10" t="str">
        <f t="shared" si="157"/>
        <v>A</v>
      </c>
      <c r="AS25" s="1">
        <f t="shared" si="7"/>
        <v>4</v>
      </c>
      <c r="AT25" s="10">
        <v>3</v>
      </c>
      <c r="AU25" s="1">
        <f t="shared" si="158"/>
        <v>12</v>
      </c>
      <c r="AV25" s="11">
        <v>70</v>
      </c>
      <c r="AW25" s="10" t="str">
        <f t="shared" si="159"/>
        <v>B</v>
      </c>
      <c r="AX25" s="1">
        <f t="shared" si="8"/>
        <v>3</v>
      </c>
      <c r="AY25" s="10">
        <v>2</v>
      </c>
      <c r="AZ25" s="1">
        <f t="shared" si="160"/>
        <v>6</v>
      </c>
      <c r="BA25" s="12">
        <v>80.349999999999994</v>
      </c>
      <c r="BB25" s="10" t="str">
        <f t="shared" si="161"/>
        <v>A</v>
      </c>
      <c r="BC25" s="1">
        <f t="shared" si="9"/>
        <v>4</v>
      </c>
      <c r="BD25" s="10">
        <v>2</v>
      </c>
      <c r="BE25" s="1">
        <f t="shared" si="162"/>
        <v>8</v>
      </c>
      <c r="BF25" s="14">
        <v>78.349999999999994</v>
      </c>
      <c r="BG25" s="10" t="str">
        <f t="shared" si="163"/>
        <v>B+</v>
      </c>
      <c r="BH25" s="1">
        <f t="shared" si="10"/>
        <v>3.5</v>
      </c>
      <c r="BI25" s="10">
        <v>3</v>
      </c>
      <c r="BJ25" s="1">
        <f t="shared" si="164"/>
        <v>10.5</v>
      </c>
      <c r="BK25" s="14">
        <v>74.5</v>
      </c>
      <c r="BL25" s="10" t="str">
        <f t="shared" si="165"/>
        <v>B</v>
      </c>
      <c r="BM25" s="1">
        <f t="shared" si="11"/>
        <v>3</v>
      </c>
      <c r="BN25" s="10">
        <v>2</v>
      </c>
      <c r="BO25" s="1">
        <f t="shared" si="166"/>
        <v>6</v>
      </c>
      <c r="BP25" s="12">
        <v>81.449999999999989</v>
      </c>
      <c r="BQ25" s="10" t="str">
        <f t="shared" si="167"/>
        <v>A</v>
      </c>
      <c r="BR25" s="1">
        <f t="shared" si="12"/>
        <v>4</v>
      </c>
      <c r="BS25" s="10">
        <v>2</v>
      </c>
      <c r="BT25" s="1">
        <f t="shared" si="168"/>
        <v>8</v>
      </c>
      <c r="BU25" s="12">
        <v>74.75</v>
      </c>
      <c r="BV25" s="10" t="str">
        <f t="shared" si="169"/>
        <v>B</v>
      </c>
      <c r="BW25" s="1">
        <f t="shared" si="13"/>
        <v>3</v>
      </c>
      <c r="BX25" s="10">
        <v>3</v>
      </c>
      <c r="BY25" s="1">
        <f t="shared" si="170"/>
        <v>9</v>
      </c>
      <c r="BZ25" s="15">
        <v>69.349999999999994</v>
      </c>
      <c r="CA25" s="10" t="str">
        <f t="shared" si="171"/>
        <v>C+</v>
      </c>
      <c r="CB25" s="1">
        <f t="shared" si="14"/>
        <v>2.5</v>
      </c>
      <c r="CC25" s="10">
        <v>2</v>
      </c>
      <c r="CD25" s="1">
        <f t="shared" si="172"/>
        <v>5</v>
      </c>
      <c r="CE25" s="19">
        <v>79.599999999999994</v>
      </c>
      <c r="CF25" s="10" t="str">
        <f t="shared" si="72"/>
        <v>B+</v>
      </c>
      <c r="CG25" s="1">
        <f t="shared" si="15"/>
        <v>3.5</v>
      </c>
      <c r="CH25" s="10">
        <v>4</v>
      </c>
      <c r="CI25" s="1">
        <f t="shared" si="73"/>
        <v>14</v>
      </c>
      <c r="CJ25" s="19">
        <v>78.5</v>
      </c>
      <c r="CK25" s="10" t="str">
        <f t="shared" si="74"/>
        <v>B+</v>
      </c>
      <c r="CL25" s="1">
        <f t="shared" si="16"/>
        <v>3.5</v>
      </c>
      <c r="CM25" s="10">
        <v>4</v>
      </c>
      <c r="CN25" s="1">
        <f t="shared" si="75"/>
        <v>14</v>
      </c>
      <c r="CO25" s="19">
        <v>79.224999999999994</v>
      </c>
      <c r="CP25" s="10" t="str">
        <f t="shared" si="76"/>
        <v>B+</v>
      </c>
      <c r="CQ25" s="1">
        <f t="shared" si="17"/>
        <v>3.5</v>
      </c>
      <c r="CR25" s="10">
        <v>3</v>
      </c>
      <c r="CS25" s="1">
        <f t="shared" si="77"/>
        <v>10.5</v>
      </c>
      <c r="CT25" s="17">
        <v>80.488285714285723</v>
      </c>
      <c r="CU25" s="10" t="str">
        <f t="shared" si="78"/>
        <v>A</v>
      </c>
      <c r="CV25" s="1">
        <f t="shared" si="18"/>
        <v>4</v>
      </c>
      <c r="CW25" s="10">
        <v>2</v>
      </c>
      <c r="CX25" s="1">
        <f t="shared" si="79"/>
        <v>8</v>
      </c>
      <c r="CY25" s="18">
        <v>81.625</v>
      </c>
      <c r="CZ25" s="10" t="str">
        <f t="shared" si="80"/>
        <v>A</v>
      </c>
      <c r="DA25" s="1">
        <f t="shared" si="19"/>
        <v>4</v>
      </c>
      <c r="DB25" s="10">
        <v>2</v>
      </c>
      <c r="DC25" s="1">
        <f t="shared" si="81"/>
        <v>8</v>
      </c>
      <c r="DD25" s="19">
        <v>83.1</v>
      </c>
      <c r="DE25" s="10" t="str">
        <f t="shared" si="82"/>
        <v>A</v>
      </c>
      <c r="DF25" s="1">
        <f t="shared" si="20"/>
        <v>4</v>
      </c>
      <c r="DG25" s="10">
        <v>2</v>
      </c>
      <c r="DH25" s="1">
        <f t="shared" si="83"/>
        <v>8</v>
      </c>
      <c r="DI25" s="5">
        <v>79.25</v>
      </c>
      <c r="DJ25" s="10" t="str">
        <f t="shared" si="84"/>
        <v>B+</v>
      </c>
      <c r="DK25" s="1">
        <f t="shared" si="21"/>
        <v>3.5</v>
      </c>
      <c r="DL25" s="10">
        <v>2</v>
      </c>
      <c r="DM25" s="1">
        <f t="shared" si="85"/>
        <v>7</v>
      </c>
      <c r="DN25" s="20">
        <v>78</v>
      </c>
      <c r="DO25" s="10" t="str">
        <f t="shared" si="86"/>
        <v>B+</v>
      </c>
      <c r="DP25" s="1">
        <f t="shared" si="22"/>
        <v>3.5</v>
      </c>
      <c r="DQ25" s="10">
        <v>2</v>
      </c>
      <c r="DR25" s="1">
        <f t="shared" si="87"/>
        <v>7</v>
      </c>
      <c r="DS25" s="19">
        <v>84.4</v>
      </c>
      <c r="DT25" s="10" t="str">
        <f t="shared" si="88"/>
        <v>A</v>
      </c>
      <c r="DU25" s="1">
        <f t="shared" si="23"/>
        <v>4</v>
      </c>
      <c r="DV25" s="10">
        <v>4</v>
      </c>
      <c r="DW25" s="1">
        <f t="shared" si="89"/>
        <v>16</v>
      </c>
      <c r="DX25" s="19">
        <v>78.7</v>
      </c>
      <c r="DY25" s="10" t="str">
        <f t="shared" si="90"/>
        <v>B+</v>
      </c>
      <c r="DZ25" s="1">
        <f t="shared" si="24"/>
        <v>3.5</v>
      </c>
      <c r="EA25" s="10">
        <v>3</v>
      </c>
      <c r="EB25" s="1">
        <f t="shared" si="91"/>
        <v>10.5</v>
      </c>
      <c r="EC25" s="19">
        <v>80.55</v>
      </c>
      <c r="ED25" s="10" t="str">
        <f t="shared" si="92"/>
        <v>A</v>
      </c>
      <c r="EE25" s="1">
        <f t="shared" si="25"/>
        <v>4</v>
      </c>
      <c r="EF25" s="10">
        <v>3</v>
      </c>
      <c r="EG25" s="1">
        <f t="shared" si="93"/>
        <v>12</v>
      </c>
      <c r="EH25" s="6">
        <v>80.2</v>
      </c>
      <c r="EI25" s="10" t="str">
        <f t="shared" si="94"/>
        <v>A</v>
      </c>
      <c r="EJ25" s="1">
        <f t="shared" si="26"/>
        <v>4</v>
      </c>
      <c r="EK25" s="10">
        <v>3</v>
      </c>
      <c r="EL25" s="1">
        <f t="shared" si="95"/>
        <v>12</v>
      </c>
      <c r="EM25" s="18">
        <v>81.941911111111111</v>
      </c>
      <c r="EN25" s="10" t="str">
        <f t="shared" si="96"/>
        <v>A</v>
      </c>
      <c r="EO25" s="1">
        <f t="shared" si="27"/>
        <v>4</v>
      </c>
      <c r="EP25" s="10">
        <v>3</v>
      </c>
      <c r="EQ25" s="1">
        <f t="shared" si="97"/>
        <v>12</v>
      </c>
      <c r="ER25" s="7">
        <v>80</v>
      </c>
      <c r="ES25" s="10" t="str">
        <f t="shared" si="98"/>
        <v>A</v>
      </c>
      <c r="ET25" s="1">
        <f t="shared" si="28"/>
        <v>4</v>
      </c>
      <c r="EU25" s="10">
        <v>2</v>
      </c>
      <c r="EV25" s="1">
        <f t="shared" si="99"/>
        <v>8</v>
      </c>
      <c r="EW25" s="5">
        <v>80.2</v>
      </c>
      <c r="EX25" s="10" t="str">
        <f t="shared" si="100"/>
        <v>A</v>
      </c>
      <c r="EY25" s="1">
        <f t="shared" si="29"/>
        <v>4</v>
      </c>
      <c r="EZ25" s="10">
        <v>3</v>
      </c>
      <c r="FA25" s="1">
        <f t="shared" si="101"/>
        <v>12</v>
      </c>
      <c r="FB25" s="19">
        <v>76</v>
      </c>
      <c r="FC25" s="10" t="str">
        <f t="shared" si="102"/>
        <v>B+</v>
      </c>
      <c r="FD25" s="1">
        <f t="shared" si="30"/>
        <v>3.5</v>
      </c>
      <c r="FE25" s="10">
        <v>2</v>
      </c>
      <c r="FF25" s="1">
        <f t="shared" si="103"/>
        <v>7</v>
      </c>
      <c r="FG25" s="19">
        <v>77</v>
      </c>
      <c r="FH25" s="10" t="str">
        <f t="shared" si="104"/>
        <v>B+</v>
      </c>
      <c r="FI25" s="1">
        <f t="shared" si="31"/>
        <v>3.5</v>
      </c>
      <c r="FJ25" s="10">
        <v>3</v>
      </c>
      <c r="FK25" s="1">
        <f t="shared" si="105"/>
        <v>10.5</v>
      </c>
      <c r="FL25" s="19">
        <v>80.26666666666668</v>
      </c>
      <c r="FM25" s="10" t="str">
        <f t="shared" si="106"/>
        <v>A</v>
      </c>
      <c r="FN25" s="1">
        <f t="shared" si="32"/>
        <v>4</v>
      </c>
      <c r="FO25" s="10">
        <v>3</v>
      </c>
      <c r="FP25" s="1">
        <f t="shared" si="107"/>
        <v>12</v>
      </c>
      <c r="FQ25" s="6">
        <v>76.849999999999994</v>
      </c>
      <c r="FR25" s="10" t="str">
        <f t="shared" si="108"/>
        <v>B+</v>
      </c>
      <c r="FS25" s="1">
        <f t="shared" si="109"/>
        <v>3.5</v>
      </c>
      <c r="FT25" s="10">
        <v>3</v>
      </c>
      <c r="FU25" s="1">
        <f t="shared" si="110"/>
        <v>10.5</v>
      </c>
      <c r="FV25" s="18">
        <v>77.900000000000006</v>
      </c>
      <c r="FW25" s="10" t="str">
        <f t="shared" si="111"/>
        <v>B+</v>
      </c>
      <c r="FX25" s="1">
        <f t="shared" si="33"/>
        <v>3.5</v>
      </c>
      <c r="FY25" s="10">
        <v>3</v>
      </c>
      <c r="FZ25" s="1">
        <f t="shared" si="112"/>
        <v>10.5</v>
      </c>
      <c r="GA25" s="7">
        <v>75</v>
      </c>
      <c r="GB25" s="10" t="str">
        <f t="shared" si="113"/>
        <v>B+</v>
      </c>
      <c r="GC25" s="1">
        <f t="shared" si="34"/>
        <v>3.5</v>
      </c>
      <c r="GD25" s="10">
        <v>2</v>
      </c>
      <c r="GE25" s="1">
        <f t="shared" si="114"/>
        <v>7</v>
      </c>
      <c r="GF25" s="5">
        <v>82</v>
      </c>
      <c r="GG25" s="10" t="str">
        <f t="shared" si="115"/>
        <v>A</v>
      </c>
      <c r="GH25" s="1">
        <f t="shared" si="35"/>
        <v>4</v>
      </c>
      <c r="GI25" s="10">
        <v>3</v>
      </c>
      <c r="GJ25" s="1">
        <f t="shared" si="116"/>
        <v>12</v>
      </c>
      <c r="GK25" s="5">
        <v>73.099999999999994</v>
      </c>
      <c r="GL25" s="10" t="str">
        <f t="shared" si="117"/>
        <v>B</v>
      </c>
      <c r="GM25" s="1">
        <f t="shared" si="36"/>
        <v>3</v>
      </c>
      <c r="GN25" s="10">
        <v>2</v>
      </c>
      <c r="GO25" s="1">
        <f t="shared" si="118"/>
        <v>6</v>
      </c>
      <c r="GP25" s="19">
        <v>77.8</v>
      </c>
      <c r="GQ25" s="10" t="str">
        <f t="shared" si="119"/>
        <v>B+</v>
      </c>
      <c r="GR25" s="1">
        <f t="shared" si="37"/>
        <v>3.5</v>
      </c>
      <c r="GS25" s="10">
        <v>3</v>
      </c>
      <c r="GT25" s="1">
        <f t="shared" si="120"/>
        <v>10.5</v>
      </c>
      <c r="GU25" s="19">
        <v>77.16</v>
      </c>
      <c r="GV25" s="10" t="str">
        <f t="shared" si="121"/>
        <v>B+</v>
      </c>
      <c r="GW25" s="1">
        <f t="shared" si="38"/>
        <v>3.5</v>
      </c>
      <c r="GX25" s="10">
        <v>4</v>
      </c>
      <c r="GY25" s="1">
        <f t="shared" si="122"/>
        <v>14</v>
      </c>
      <c r="GZ25" s="7">
        <v>74.25</v>
      </c>
      <c r="HA25" s="10" t="str">
        <f t="shared" si="123"/>
        <v>B</v>
      </c>
      <c r="HB25" s="1">
        <f t="shared" si="124"/>
        <v>3</v>
      </c>
      <c r="HC25" s="10">
        <v>4</v>
      </c>
      <c r="HD25" s="1">
        <f t="shared" si="125"/>
        <v>12</v>
      </c>
      <c r="HE25" s="6">
        <v>73.699999999999989</v>
      </c>
      <c r="HF25" s="10" t="str">
        <f t="shared" si="126"/>
        <v>B</v>
      </c>
      <c r="HG25" s="1">
        <f t="shared" si="39"/>
        <v>3</v>
      </c>
      <c r="HH25" s="10">
        <v>2</v>
      </c>
      <c r="HI25" s="1">
        <f t="shared" si="127"/>
        <v>6</v>
      </c>
      <c r="HJ25" s="18">
        <v>75.069047619047623</v>
      </c>
      <c r="HK25" s="10" t="str">
        <f t="shared" si="128"/>
        <v>B+</v>
      </c>
      <c r="HL25" s="1">
        <f t="shared" si="40"/>
        <v>3.5</v>
      </c>
      <c r="HM25" s="10">
        <v>3</v>
      </c>
      <c r="HN25" s="1">
        <f t="shared" si="129"/>
        <v>10.5</v>
      </c>
      <c r="HO25" s="12">
        <v>75.025000000000006</v>
      </c>
      <c r="HP25" s="10" t="str">
        <f t="shared" si="130"/>
        <v>B+</v>
      </c>
      <c r="HQ25" s="1">
        <f t="shared" si="41"/>
        <v>3.5</v>
      </c>
      <c r="HR25" s="10">
        <v>3</v>
      </c>
      <c r="HS25" s="1">
        <f t="shared" si="131"/>
        <v>10.5</v>
      </c>
      <c r="HT25" s="10">
        <v>82.4</v>
      </c>
      <c r="HU25" s="10" t="str">
        <f t="shared" si="132"/>
        <v>A</v>
      </c>
      <c r="HV25" s="1">
        <f t="shared" si="133"/>
        <v>4</v>
      </c>
      <c r="HW25" s="10">
        <v>4</v>
      </c>
      <c r="HX25" s="1">
        <f t="shared" si="134"/>
        <v>16</v>
      </c>
      <c r="HY25" s="19">
        <v>81.150000000000006</v>
      </c>
      <c r="HZ25" s="10" t="str">
        <f t="shared" si="135"/>
        <v>A</v>
      </c>
      <c r="IA25" s="1">
        <f t="shared" si="136"/>
        <v>4</v>
      </c>
      <c r="IB25" s="10">
        <v>2</v>
      </c>
      <c r="IC25" s="1">
        <f t="shared" si="137"/>
        <v>8</v>
      </c>
      <c r="ID25" s="7">
        <v>80</v>
      </c>
      <c r="IE25" s="10" t="str">
        <f t="shared" si="138"/>
        <v>A</v>
      </c>
      <c r="IF25" s="1">
        <f t="shared" si="139"/>
        <v>4</v>
      </c>
      <c r="IG25" s="10">
        <v>3</v>
      </c>
      <c r="IH25" s="1">
        <f t="shared" si="140"/>
        <v>12</v>
      </c>
      <c r="II25" s="6">
        <v>82.4</v>
      </c>
      <c r="IJ25" s="10" t="str">
        <f t="shared" si="141"/>
        <v>A</v>
      </c>
      <c r="IK25" s="1">
        <f t="shared" si="142"/>
        <v>4</v>
      </c>
      <c r="IL25" s="10">
        <v>2</v>
      </c>
      <c r="IM25" s="1">
        <f t="shared" si="143"/>
        <v>8</v>
      </c>
      <c r="IN25" s="18">
        <v>74.930000000000007</v>
      </c>
      <c r="IO25" s="10" t="str">
        <f t="shared" si="144"/>
        <v>B</v>
      </c>
      <c r="IP25" s="1">
        <f t="shared" si="145"/>
        <v>3</v>
      </c>
      <c r="IQ25" s="10">
        <v>2</v>
      </c>
      <c r="IR25" s="1">
        <f t="shared" si="146"/>
        <v>6</v>
      </c>
      <c r="IS25" s="10">
        <v>77.8</v>
      </c>
      <c r="IT25" s="10" t="str">
        <f t="shared" si="147"/>
        <v>B+</v>
      </c>
      <c r="IU25" s="1">
        <f t="shared" si="148"/>
        <v>3.5</v>
      </c>
      <c r="IV25" s="10">
        <v>4</v>
      </c>
      <c r="IW25" s="1">
        <f t="shared" si="149"/>
        <v>14</v>
      </c>
      <c r="IX25" s="10">
        <v>39</v>
      </c>
      <c r="IY25" s="10" t="str">
        <f t="shared" si="150"/>
        <v>E</v>
      </c>
      <c r="IZ25" s="1">
        <f t="shared" si="151"/>
        <v>0</v>
      </c>
      <c r="JA25" s="10">
        <v>4</v>
      </c>
      <c r="JB25" s="1">
        <f t="shared" si="152"/>
        <v>0</v>
      </c>
      <c r="JC25" s="2">
        <v>74.5</v>
      </c>
      <c r="JD25" s="2">
        <v>22</v>
      </c>
      <c r="JE25" s="2">
        <v>64.5</v>
      </c>
      <c r="JF25" s="2">
        <v>19</v>
      </c>
      <c r="JG25" s="2">
        <v>76.5</v>
      </c>
      <c r="JH25" s="2">
        <v>21</v>
      </c>
      <c r="JI25" s="2">
        <v>82.5</v>
      </c>
      <c r="JJ25" s="2">
        <v>21</v>
      </c>
      <c r="JK25" s="2">
        <v>75.5</v>
      </c>
      <c r="JL25" s="2">
        <v>21</v>
      </c>
      <c r="JM25" s="2">
        <v>63.5</v>
      </c>
      <c r="JN25" s="2">
        <v>19</v>
      </c>
      <c r="JO25" s="2">
        <v>64</v>
      </c>
      <c r="JP25" s="2">
        <v>17</v>
      </c>
      <c r="JQ25" s="2">
        <v>0</v>
      </c>
      <c r="JR25" s="2">
        <v>4</v>
      </c>
      <c r="JS25" s="2">
        <f t="shared" si="153"/>
        <v>501</v>
      </c>
      <c r="JT25" s="2">
        <f t="shared" si="153"/>
        <v>144</v>
      </c>
      <c r="JU25" s="3">
        <f t="shared" si="154"/>
        <v>3.4791666666666665</v>
      </c>
      <c r="JV25" s="2" t="str">
        <f t="shared" si="155"/>
        <v>Sangat Memuaskan</v>
      </c>
      <c r="JW25" s="2" t="str">
        <f t="shared" si="156"/>
        <v>Highly Satisfactory</v>
      </c>
      <c r="JX25" s="23" t="s">
        <v>212</v>
      </c>
      <c r="JY25" s="23" t="s">
        <v>278</v>
      </c>
    </row>
    <row r="26" spans="1:285" x14ac:dyDescent="0.25">
      <c r="A26" s="55">
        <v>24</v>
      </c>
      <c r="B26" s="23" t="s">
        <v>50</v>
      </c>
      <c r="C26" s="2">
        <v>152111037</v>
      </c>
      <c r="D26" s="10" t="s">
        <v>135</v>
      </c>
      <c r="E26" s="24" t="s">
        <v>180</v>
      </c>
      <c r="F26" s="27" t="s">
        <v>219</v>
      </c>
      <c r="G26" s="2" t="s">
        <v>243</v>
      </c>
      <c r="H26" s="10">
        <v>79.050000000000011</v>
      </c>
      <c r="I26" s="10" t="s">
        <v>39</v>
      </c>
      <c r="J26" s="10">
        <v>3.5</v>
      </c>
      <c r="K26" s="10">
        <v>2</v>
      </c>
      <c r="L26" s="10">
        <v>7</v>
      </c>
      <c r="M26" s="10">
        <v>75.75</v>
      </c>
      <c r="N26" s="10" t="s">
        <v>39</v>
      </c>
      <c r="O26" s="10">
        <v>3.5</v>
      </c>
      <c r="P26" s="10">
        <v>3</v>
      </c>
      <c r="Q26" s="10">
        <v>10.5</v>
      </c>
      <c r="R26" s="10">
        <v>75.63333333333334</v>
      </c>
      <c r="S26" s="10" t="s">
        <v>39</v>
      </c>
      <c r="T26" s="10">
        <v>3.5</v>
      </c>
      <c r="U26" s="10">
        <v>4</v>
      </c>
      <c r="V26" s="10">
        <v>14</v>
      </c>
      <c r="W26" s="10">
        <v>77.650000000000006</v>
      </c>
      <c r="X26" s="10" t="s">
        <v>39</v>
      </c>
      <c r="Y26" s="10">
        <v>3.5</v>
      </c>
      <c r="Z26" s="10">
        <v>2</v>
      </c>
      <c r="AA26" s="10">
        <v>7</v>
      </c>
      <c r="AB26" s="10">
        <v>80.599999999999994</v>
      </c>
      <c r="AC26" s="10" t="s">
        <v>38</v>
      </c>
      <c r="AD26" s="10">
        <v>4</v>
      </c>
      <c r="AE26" s="10">
        <v>4</v>
      </c>
      <c r="AF26" s="10">
        <v>16</v>
      </c>
      <c r="AG26" s="10">
        <v>65.599999999999994</v>
      </c>
      <c r="AH26" s="10" t="s">
        <v>43</v>
      </c>
      <c r="AI26" s="10">
        <v>2.5</v>
      </c>
      <c r="AJ26" s="10">
        <v>4</v>
      </c>
      <c r="AK26" s="10">
        <v>10</v>
      </c>
      <c r="AL26" s="10">
        <v>78.433333333333337</v>
      </c>
      <c r="AM26" s="10" t="s">
        <v>39</v>
      </c>
      <c r="AN26" s="10">
        <v>3.5</v>
      </c>
      <c r="AO26" s="10">
        <v>3</v>
      </c>
      <c r="AP26" s="10">
        <v>10.5</v>
      </c>
      <c r="AQ26" s="9">
        <v>83.85</v>
      </c>
      <c r="AR26" s="10" t="str">
        <f t="shared" si="157"/>
        <v>A</v>
      </c>
      <c r="AS26" s="1">
        <f t="shared" si="7"/>
        <v>4</v>
      </c>
      <c r="AT26" s="10">
        <v>3</v>
      </c>
      <c r="AU26" s="1">
        <f t="shared" si="158"/>
        <v>12</v>
      </c>
      <c r="AV26" s="11">
        <v>70</v>
      </c>
      <c r="AW26" s="10" t="str">
        <f t="shared" si="159"/>
        <v>B</v>
      </c>
      <c r="AX26" s="1">
        <f t="shared" si="8"/>
        <v>3</v>
      </c>
      <c r="AY26" s="10">
        <v>2</v>
      </c>
      <c r="AZ26" s="1">
        <f t="shared" si="160"/>
        <v>6</v>
      </c>
      <c r="BA26" s="15">
        <v>80.55</v>
      </c>
      <c r="BB26" s="10" t="str">
        <f t="shared" si="161"/>
        <v>A</v>
      </c>
      <c r="BC26" s="1">
        <f t="shared" si="9"/>
        <v>4</v>
      </c>
      <c r="BD26" s="10">
        <v>2</v>
      </c>
      <c r="BE26" s="1">
        <f t="shared" si="162"/>
        <v>8</v>
      </c>
      <c r="BF26" s="14">
        <v>80.55</v>
      </c>
      <c r="BG26" s="10" t="s">
        <v>39</v>
      </c>
      <c r="BH26" s="1">
        <f t="shared" si="10"/>
        <v>3.5</v>
      </c>
      <c r="BI26" s="10">
        <v>3</v>
      </c>
      <c r="BJ26" s="1">
        <f t="shared" si="164"/>
        <v>10.5</v>
      </c>
      <c r="BK26" s="14">
        <v>85.5</v>
      </c>
      <c r="BL26" s="10" t="str">
        <f t="shared" si="165"/>
        <v>A</v>
      </c>
      <c r="BM26" s="1">
        <f t="shared" si="11"/>
        <v>4</v>
      </c>
      <c r="BN26" s="10">
        <v>2</v>
      </c>
      <c r="BO26" s="1">
        <f t="shared" si="166"/>
        <v>8</v>
      </c>
      <c r="BP26" s="12">
        <v>82.85</v>
      </c>
      <c r="BQ26" s="10" t="str">
        <f t="shared" si="167"/>
        <v>A</v>
      </c>
      <c r="BR26" s="1">
        <f t="shared" si="12"/>
        <v>4</v>
      </c>
      <c r="BS26" s="10">
        <v>2</v>
      </c>
      <c r="BT26" s="1">
        <f t="shared" si="168"/>
        <v>8</v>
      </c>
      <c r="BU26" s="12">
        <v>71.05</v>
      </c>
      <c r="BV26" s="10" t="str">
        <f t="shared" si="169"/>
        <v>B</v>
      </c>
      <c r="BW26" s="1">
        <f t="shared" si="13"/>
        <v>3</v>
      </c>
      <c r="BX26" s="10">
        <v>3</v>
      </c>
      <c r="BY26" s="1">
        <f t="shared" si="170"/>
        <v>9</v>
      </c>
      <c r="BZ26" s="15">
        <v>72.099999999999994</v>
      </c>
      <c r="CA26" s="10" t="str">
        <f t="shared" si="171"/>
        <v>B</v>
      </c>
      <c r="CB26" s="1">
        <f t="shared" si="14"/>
        <v>3</v>
      </c>
      <c r="CC26" s="10">
        <v>2</v>
      </c>
      <c r="CD26" s="1">
        <f t="shared" si="172"/>
        <v>6</v>
      </c>
      <c r="CE26" s="19">
        <v>77.34</v>
      </c>
      <c r="CF26" s="10" t="str">
        <f t="shared" si="72"/>
        <v>B+</v>
      </c>
      <c r="CG26" s="1">
        <f t="shared" si="15"/>
        <v>3.5</v>
      </c>
      <c r="CH26" s="10">
        <v>4</v>
      </c>
      <c r="CI26" s="1">
        <f t="shared" si="73"/>
        <v>14</v>
      </c>
      <c r="CJ26" s="19">
        <v>78.5</v>
      </c>
      <c r="CK26" s="10" t="str">
        <f t="shared" si="74"/>
        <v>B+</v>
      </c>
      <c r="CL26" s="1">
        <f t="shared" si="16"/>
        <v>3.5</v>
      </c>
      <c r="CM26" s="10">
        <v>4</v>
      </c>
      <c r="CN26" s="1">
        <f t="shared" si="75"/>
        <v>14</v>
      </c>
      <c r="CO26" s="19">
        <v>75.174999999999997</v>
      </c>
      <c r="CP26" s="10" t="str">
        <f t="shared" si="76"/>
        <v>B+</v>
      </c>
      <c r="CQ26" s="1">
        <f t="shared" si="17"/>
        <v>3.5</v>
      </c>
      <c r="CR26" s="10">
        <v>3</v>
      </c>
      <c r="CS26" s="1">
        <f t="shared" si="77"/>
        <v>10.5</v>
      </c>
      <c r="CT26" s="17">
        <v>72.422285714285721</v>
      </c>
      <c r="CU26" s="10" t="str">
        <f t="shared" si="78"/>
        <v>B</v>
      </c>
      <c r="CV26" s="1">
        <f t="shared" si="18"/>
        <v>3</v>
      </c>
      <c r="CW26" s="10">
        <v>2</v>
      </c>
      <c r="CX26" s="1">
        <f t="shared" si="79"/>
        <v>6</v>
      </c>
      <c r="CY26" s="18">
        <v>83.275000000000006</v>
      </c>
      <c r="CZ26" s="10" t="str">
        <f t="shared" si="80"/>
        <v>A</v>
      </c>
      <c r="DA26" s="1">
        <f t="shared" si="19"/>
        <v>4</v>
      </c>
      <c r="DB26" s="10">
        <v>2</v>
      </c>
      <c r="DC26" s="1">
        <f t="shared" si="81"/>
        <v>8</v>
      </c>
      <c r="DD26" s="19">
        <v>85.2</v>
      </c>
      <c r="DE26" s="10" t="str">
        <f t="shared" si="82"/>
        <v>A</v>
      </c>
      <c r="DF26" s="1">
        <f t="shared" si="20"/>
        <v>4</v>
      </c>
      <c r="DG26" s="10">
        <v>2</v>
      </c>
      <c r="DH26" s="1">
        <f t="shared" si="83"/>
        <v>8</v>
      </c>
      <c r="DI26" s="5">
        <v>84.75</v>
      </c>
      <c r="DJ26" s="10" t="str">
        <f t="shared" si="84"/>
        <v>A</v>
      </c>
      <c r="DK26" s="1">
        <f t="shared" si="21"/>
        <v>4</v>
      </c>
      <c r="DL26" s="10">
        <v>2</v>
      </c>
      <c r="DM26" s="1">
        <f t="shared" si="85"/>
        <v>8</v>
      </c>
      <c r="DN26" s="20">
        <v>78</v>
      </c>
      <c r="DO26" s="10" t="str">
        <f t="shared" si="86"/>
        <v>B+</v>
      </c>
      <c r="DP26" s="1">
        <f t="shared" si="22"/>
        <v>3.5</v>
      </c>
      <c r="DQ26" s="10">
        <v>2</v>
      </c>
      <c r="DR26" s="1">
        <f t="shared" si="87"/>
        <v>7</v>
      </c>
      <c r="DS26" s="19">
        <v>77.25</v>
      </c>
      <c r="DT26" s="10" t="str">
        <f t="shared" si="88"/>
        <v>B+</v>
      </c>
      <c r="DU26" s="1">
        <f t="shared" si="23"/>
        <v>3.5</v>
      </c>
      <c r="DV26" s="10">
        <v>4</v>
      </c>
      <c r="DW26" s="1">
        <f t="shared" si="89"/>
        <v>14</v>
      </c>
      <c r="DX26" s="19">
        <v>75.45</v>
      </c>
      <c r="DY26" s="10" t="str">
        <f t="shared" si="90"/>
        <v>B+</v>
      </c>
      <c r="DZ26" s="1">
        <f t="shared" si="24"/>
        <v>3.5</v>
      </c>
      <c r="EA26" s="10">
        <v>3</v>
      </c>
      <c r="EB26" s="1">
        <f t="shared" si="91"/>
        <v>10.5</v>
      </c>
      <c r="EC26" s="19">
        <v>80.55</v>
      </c>
      <c r="ED26" s="10" t="str">
        <f t="shared" si="92"/>
        <v>A</v>
      </c>
      <c r="EE26" s="1">
        <f t="shared" si="25"/>
        <v>4</v>
      </c>
      <c r="EF26" s="10">
        <v>3</v>
      </c>
      <c r="EG26" s="1">
        <f t="shared" si="93"/>
        <v>12</v>
      </c>
      <c r="EH26" s="6">
        <v>79.599999999999994</v>
      </c>
      <c r="EI26" s="10" t="str">
        <f t="shared" si="94"/>
        <v>B+</v>
      </c>
      <c r="EJ26" s="1">
        <f t="shared" si="26"/>
        <v>3.5</v>
      </c>
      <c r="EK26" s="10">
        <v>3</v>
      </c>
      <c r="EL26" s="1">
        <f t="shared" si="95"/>
        <v>10.5</v>
      </c>
      <c r="EM26" s="18">
        <v>78.80080000000001</v>
      </c>
      <c r="EN26" s="10" t="str">
        <f t="shared" si="96"/>
        <v>B+</v>
      </c>
      <c r="EO26" s="1">
        <f t="shared" si="27"/>
        <v>3.5</v>
      </c>
      <c r="EP26" s="10">
        <v>3</v>
      </c>
      <c r="EQ26" s="1">
        <f t="shared" si="97"/>
        <v>10.5</v>
      </c>
      <c r="ER26" s="7">
        <v>80.2</v>
      </c>
      <c r="ES26" s="10" t="str">
        <f t="shared" si="98"/>
        <v>A</v>
      </c>
      <c r="ET26" s="1">
        <f t="shared" si="28"/>
        <v>4</v>
      </c>
      <c r="EU26" s="10">
        <v>2</v>
      </c>
      <c r="EV26" s="1">
        <f t="shared" si="99"/>
        <v>8</v>
      </c>
      <c r="EW26" s="5">
        <v>80</v>
      </c>
      <c r="EX26" s="10" t="str">
        <f t="shared" si="100"/>
        <v>A</v>
      </c>
      <c r="EY26" s="1">
        <f t="shared" si="29"/>
        <v>4</v>
      </c>
      <c r="EZ26" s="10">
        <v>3</v>
      </c>
      <c r="FA26" s="1">
        <f t="shared" si="101"/>
        <v>12</v>
      </c>
      <c r="FB26" s="19">
        <v>80.5</v>
      </c>
      <c r="FC26" s="10" t="str">
        <f t="shared" si="102"/>
        <v>A</v>
      </c>
      <c r="FD26" s="1">
        <f t="shared" si="30"/>
        <v>4</v>
      </c>
      <c r="FE26" s="10">
        <v>2</v>
      </c>
      <c r="FF26" s="1">
        <f t="shared" si="103"/>
        <v>8</v>
      </c>
      <c r="FG26" s="19">
        <v>77</v>
      </c>
      <c r="FH26" s="10" t="str">
        <f t="shared" si="104"/>
        <v>B+</v>
      </c>
      <c r="FI26" s="1">
        <f t="shared" si="31"/>
        <v>3.5</v>
      </c>
      <c r="FJ26" s="10">
        <v>3</v>
      </c>
      <c r="FK26" s="1">
        <f t="shared" si="105"/>
        <v>10.5</v>
      </c>
      <c r="FL26" s="19">
        <v>77.866666666666674</v>
      </c>
      <c r="FM26" s="10" t="str">
        <f t="shared" si="106"/>
        <v>B+</v>
      </c>
      <c r="FN26" s="1">
        <f t="shared" si="32"/>
        <v>3.5</v>
      </c>
      <c r="FO26" s="10">
        <v>3</v>
      </c>
      <c r="FP26" s="1">
        <f t="shared" si="107"/>
        <v>10.5</v>
      </c>
      <c r="FQ26" s="6">
        <v>79.210000000000008</v>
      </c>
      <c r="FR26" s="10" t="str">
        <f t="shared" si="108"/>
        <v>B+</v>
      </c>
      <c r="FS26" s="1">
        <f t="shared" si="109"/>
        <v>3.5</v>
      </c>
      <c r="FT26" s="10">
        <v>3</v>
      </c>
      <c r="FU26" s="1">
        <f t="shared" si="110"/>
        <v>10.5</v>
      </c>
      <c r="FV26" s="18">
        <v>75.900000000000006</v>
      </c>
      <c r="FW26" s="10" t="str">
        <f t="shared" si="111"/>
        <v>B+</v>
      </c>
      <c r="FX26" s="1">
        <f t="shared" si="33"/>
        <v>3.5</v>
      </c>
      <c r="FY26" s="10">
        <v>3</v>
      </c>
      <c r="FZ26" s="1">
        <f t="shared" si="112"/>
        <v>10.5</v>
      </c>
      <c r="GA26" s="7">
        <v>71.400000000000006</v>
      </c>
      <c r="GB26" s="10" t="str">
        <f t="shared" si="113"/>
        <v>B</v>
      </c>
      <c r="GC26" s="1">
        <f t="shared" si="34"/>
        <v>3</v>
      </c>
      <c r="GD26" s="10">
        <v>2</v>
      </c>
      <c r="GE26" s="1">
        <f t="shared" si="114"/>
        <v>6</v>
      </c>
      <c r="GF26" s="5">
        <v>80.599999999999994</v>
      </c>
      <c r="GG26" s="10" t="str">
        <f t="shared" si="115"/>
        <v>A</v>
      </c>
      <c r="GH26" s="1">
        <f t="shared" si="35"/>
        <v>4</v>
      </c>
      <c r="GI26" s="10">
        <v>3</v>
      </c>
      <c r="GJ26" s="1">
        <f t="shared" si="116"/>
        <v>12</v>
      </c>
      <c r="GK26" s="5">
        <v>72.7</v>
      </c>
      <c r="GL26" s="10" t="str">
        <f t="shared" si="117"/>
        <v>B</v>
      </c>
      <c r="GM26" s="1">
        <f t="shared" si="36"/>
        <v>3</v>
      </c>
      <c r="GN26" s="10">
        <v>2</v>
      </c>
      <c r="GO26" s="1">
        <f t="shared" si="118"/>
        <v>6</v>
      </c>
      <c r="GP26" s="19">
        <v>77</v>
      </c>
      <c r="GQ26" s="10" t="str">
        <f t="shared" si="119"/>
        <v>B+</v>
      </c>
      <c r="GR26" s="1">
        <f t="shared" si="37"/>
        <v>3.5</v>
      </c>
      <c r="GS26" s="10">
        <v>3</v>
      </c>
      <c r="GT26" s="1">
        <f t="shared" si="120"/>
        <v>10.5</v>
      </c>
      <c r="GU26" s="19">
        <v>81.86</v>
      </c>
      <c r="GV26" s="10" t="str">
        <f t="shared" si="121"/>
        <v>A</v>
      </c>
      <c r="GW26" s="1">
        <f t="shared" si="38"/>
        <v>4</v>
      </c>
      <c r="GX26" s="10">
        <v>4</v>
      </c>
      <c r="GY26" s="1">
        <f t="shared" si="122"/>
        <v>16</v>
      </c>
      <c r="GZ26" s="7">
        <v>74.25</v>
      </c>
      <c r="HA26" s="10" t="str">
        <f t="shared" si="123"/>
        <v>B</v>
      </c>
      <c r="HB26" s="1">
        <f t="shared" si="124"/>
        <v>3</v>
      </c>
      <c r="HC26" s="10">
        <v>4</v>
      </c>
      <c r="HD26" s="1">
        <f t="shared" si="125"/>
        <v>12</v>
      </c>
      <c r="HE26" s="6">
        <v>77.471428571428575</v>
      </c>
      <c r="HF26" s="10" t="str">
        <f t="shared" si="126"/>
        <v>B+</v>
      </c>
      <c r="HG26" s="1">
        <f t="shared" si="39"/>
        <v>3.5</v>
      </c>
      <c r="HH26" s="10">
        <v>2</v>
      </c>
      <c r="HI26" s="1">
        <f t="shared" si="127"/>
        <v>7</v>
      </c>
      <c r="HJ26" s="18">
        <v>78.416666666666671</v>
      </c>
      <c r="HK26" s="10" t="str">
        <f t="shared" si="128"/>
        <v>B+</v>
      </c>
      <c r="HL26" s="1">
        <f t="shared" si="40"/>
        <v>3.5</v>
      </c>
      <c r="HM26" s="10">
        <v>3</v>
      </c>
      <c r="HN26" s="1">
        <f t="shared" si="129"/>
        <v>10.5</v>
      </c>
      <c r="HO26" s="12">
        <v>80.625</v>
      </c>
      <c r="HP26" s="10" t="str">
        <f t="shared" si="130"/>
        <v>A</v>
      </c>
      <c r="HQ26" s="1">
        <f t="shared" si="41"/>
        <v>4</v>
      </c>
      <c r="HR26" s="10">
        <v>3</v>
      </c>
      <c r="HS26" s="1">
        <f t="shared" si="131"/>
        <v>12</v>
      </c>
      <c r="HT26" s="10">
        <v>82.2</v>
      </c>
      <c r="HU26" s="10" t="str">
        <f t="shared" si="132"/>
        <v>A</v>
      </c>
      <c r="HV26" s="1">
        <f t="shared" si="133"/>
        <v>4</v>
      </c>
      <c r="HW26" s="10">
        <v>4</v>
      </c>
      <c r="HX26" s="1">
        <f t="shared" si="134"/>
        <v>16</v>
      </c>
      <c r="HY26" s="19">
        <v>79.150000000000006</v>
      </c>
      <c r="HZ26" s="10" t="str">
        <f t="shared" si="135"/>
        <v>B+</v>
      </c>
      <c r="IA26" s="1">
        <f t="shared" si="136"/>
        <v>3.5</v>
      </c>
      <c r="IB26" s="10">
        <v>2</v>
      </c>
      <c r="IC26" s="1">
        <f t="shared" si="137"/>
        <v>7</v>
      </c>
      <c r="ID26" s="7">
        <v>79</v>
      </c>
      <c r="IE26" s="10" t="str">
        <f t="shared" si="138"/>
        <v>B+</v>
      </c>
      <c r="IF26" s="1">
        <f t="shared" si="139"/>
        <v>3.5</v>
      </c>
      <c r="IG26" s="10">
        <v>3</v>
      </c>
      <c r="IH26" s="1">
        <f t="shared" si="140"/>
        <v>10.5</v>
      </c>
      <c r="II26" s="6">
        <v>82.2</v>
      </c>
      <c r="IJ26" s="10" t="str">
        <f t="shared" si="141"/>
        <v>A</v>
      </c>
      <c r="IK26" s="1">
        <f t="shared" si="142"/>
        <v>4</v>
      </c>
      <c r="IL26" s="10">
        <v>2</v>
      </c>
      <c r="IM26" s="1">
        <f t="shared" si="143"/>
        <v>8</v>
      </c>
      <c r="IN26" s="18">
        <v>79.48</v>
      </c>
      <c r="IO26" s="10" t="str">
        <f t="shared" si="144"/>
        <v>B+</v>
      </c>
      <c r="IP26" s="1">
        <f t="shared" si="145"/>
        <v>3.5</v>
      </c>
      <c r="IQ26" s="10">
        <v>2</v>
      </c>
      <c r="IR26" s="1">
        <f t="shared" si="146"/>
        <v>7</v>
      </c>
      <c r="IS26" s="10">
        <v>75</v>
      </c>
      <c r="IT26" s="10" t="str">
        <f t="shared" si="147"/>
        <v>B+</v>
      </c>
      <c r="IU26" s="1">
        <f t="shared" si="148"/>
        <v>3.5</v>
      </c>
      <c r="IV26" s="10">
        <v>4</v>
      </c>
      <c r="IW26" s="1">
        <f t="shared" si="149"/>
        <v>14</v>
      </c>
      <c r="IX26" s="10">
        <v>79</v>
      </c>
      <c r="IY26" s="10" t="str">
        <f t="shared" si="150"/>
        <v>B+</v>
      </c>
      <c r="IZ26" s="1">
        <f t="shared" si="151"/>
        <v>3.5</v>
      </c>
      <c r="JA26" s="10">
        <v>4</v>
      </c>
      <c r="JB26" s="1">
        <f t="shared" si="152"/>
        <v>14</v>
      </c>
      <c r="JC26" s="2">
        <v>75</v>
      </c>
      <c r="JD26" s="2">
        <v>22</v>
      </c>
      <c r="JE26" s="2">
        <v>67.5</v>
      </c>
      <c r="JF26" s="2">
        <v>19</v>
      </c>
      <c r="JG26" s="2">
        <v>75.5</v>
      </c>
      <c r="JH26" s="2">
        <v>21</v>
      </c>
      <c r="JI26" s="2">
        <v>77.5</v>
      </c>
      <c r="JJ26" s="2">
        <v>21</v>
      </c>
      <c r="JK26" s="2">
        <v>74</v>
      </c>
      <c r="JL26" s="2">
        <v>21</v>
      </c>
      <c r="JM26" s="2">
        <v>68</v>
      </c>
      <c r="JN26" s="2">
        <v>19</v>
      </c>
      <c r="JO26" s="2">
        <v>62.5</v>
      </c>
      <c r="JP26" s="2">
        <v>17</v>
      </c>
      <c r="JQ26" s="2">
        <v>14</v>
      </c>
      <c r="JR26" s="2">
        <v>4</v>
      </c>
      <c r="JS26" s="2">
        <f t="shared" si="153"/>
        <v>514</v>
      </c>
      <c r="JT26" s="2">
        <f t="shared" si="153"/>
        <v>144</v>
      </c>
      <c r="JU26" s="3">
        <f t="shared" si="154"/>
        <v>3.5694444444444446</v>
      </c>
      <c r="JV26" s="2" t="str">
        <f t="shared" si="155"/>
        <v>Cum Laude</v>
      </c>
      <c r="JW26" s="2" t="str">
        <f t="shared" si="156"/>
        <v>Excellent</v>
      </c>
      <c r="JX26" s="23" t="s">
        <v>199</v>
      </c>
      <c r="JY26" s="23" t="s">
        <v>279</v>
      </c>
    </row>
    <row r="27" spans="1:285" x14ac:dyDescent="0.25">
      <c r="A27" s="55">
        <v>25</v>
      </c>
      <c r="B27" s="40" t="s">
        <v>53</v>
      </c>
      <c r="C27" s="2">
        <v>152111040</v>
      </c>
      <c r="D27" s="10" t="s">
        <v>146</v>
      </c>
      <c r="E27" s="24" t="s">
        <v>179</v>
      </c>
      <c r="F27" s="27" t="s">
        <v>221</v>
      </c>
      <c r="G27" s="2" t="s">
        <v>252</v>
      </c>
      <c r="H27" s="10">
        <v>75.900000000000006</v>
      </c>
      <c r="I27" s="10" t="s">
        <v>39</v>
      </c>
      <c r="J27" s="10">
        <v>3.5</v>
      </c>
      <c r="K27" s="10">
        <v>2</v>
      </c>
      <c r="L27" s="10">
        <v>7</v>
      </c>
      <c r="M27" s="10">
        <v>74.5</v>
      </c>
      <c r="N27" s="10" t="s">
        <v>40</v>
      </c>
      <c r="O27" s="10">
        <v>3</v>
      </c>
      <c r="P27" s="10">
        <v>3</v>
      </c>
      <c r="Q27" s="10">
        <v>9</v>
      </c>
      <c r="R27" s="10">
        <v>73.13333333333334</v>
      </c>
      <c r="S27" s="10" t="s">
        <v>40</v>
      </c>
      <c r="T27" s="10">
        <v>3</v>
      </c>
      <c r="U27" s="10">
        <v>4</v>
      </c>
      <c r="V27" s="10">
        <v>12</v>
      </c>
      <c r="W27" s="10">
        <v>79.55</v>
      </c>
      <c r="X27" s="10" t="s">
        <v>39</v>
      </c>
      <c r="Y27" s="10">
        <v>3.5</v>
      </c>
      <c r="Z27" s="10">
        <v>2</v>
      </c>
      <c r="AA27" s="10">
        <v>7</v>
      </c>
      <c r="AB27" s="10">
        <v>62.45</v>
      </c>
      <c r="AC27" s="10" t="s">
        <v>47</v>
      </c>
      <c r="AD27" s="10">
        <v>2</v>
      </c>
      <c r="AE27" s="10">
        <v>4</v>
      </c>
      <c r="AF27" s="10">
        <v>8</v>
      </c>
      <c r="AG27" s="10">
        <v>71.900000000000006</v>
      </c>
      <c r="AH27" s="10" t="s">
        <v>40</v>
      </c>
      <c r="AI27" s="10">
        <v>3</v>
      </c>
      <c r="AJ27" s="10">
        <v>4</v>
      </c>
      <c r="AK27" s="10">
        <v>12</v>
      </c>
      <c r="AL27" s="10">
        <v>77.233333333333348</v>
      </c>
      <c r="AM27" s="10" t="s">
        <v>39</v>
      </c>
      <c r="AN27" s="10">
        <v>3.5</v>
      </c>
      <c r="AO27" s="10">
        <v>3</v>
      </c>
      <c r="AP27" s="10">
        <v>10.5</v>
      </c>
      <c r="AQ27" s="9">
        <v>81.25</v>
      </c>
      <c r="AR27" s="10" t="str">
        <f t="shared" si="157"/>
        <v>A</v>
      </c>
      <c r="AS27" s="1">
        <f t="shared" si="7"/>
        <v>4</v>
      </c>
      <c r="AT27" s="10">
        <v>3</v>
      </c>
      <c r="AU27" s="1">
        <f t="shared" si="158"/>
        <v>12</v>
      </c>
      <c r="AV27" s="11">
        <v>70</v>
      </c>
      <c r="AW27" s="10" t="str">
        <f t="shared" si="159"/>
        <v>B</v>
      </c>
      <c r="AX27" s="1">
        <f t="shared" si="8"/>
        <v>3</v>
      </c>
      <c r="AY27" s="10">
        <v>2</v>
      </c>
      <c r="AZ27" s="1">
        <f t="shared" si="160"/>
        <v>6</v>
      </c>
      <c r="BA27" s="15">
        <v>80.349999999999994</v>
      </c>
      <c r="BB27" s="10" t="str">
        <f t="shared" si="161"/>
        <v>A</v>
      </c>
      <c r="BC27" s="1">
        <f t="shared" si="9"/>
        <v>4</v>
      </c>
      <c r="BD27" s="10">
        <v>2</v>
      </c>
      <c r="BE27" s="1">
        <f t="shared" si="162"/>
        <v>8</v>
      </c>
      <c r="BF27" s="14">
        <v>69</v>
      </c>
      <c r="BG27" s="10" t="str">
        <f t="shared" si="163"/>
        <v>C+</v>
      </c>
      <c r="BH27" s="1">
        <f t="shared" si="10"/>
        <v>2.5</v>
      </c>
      <c r="BI27" s="10">
        <v>3</v>
      </c>
      <c r="BJ27" s="1">
        <f t="shared" si="164"/>
        <v>7.5</v>
      </c>
      <c r="BK27" s="14">
        <v>77.25</v>
      </c>
      <c r="BL27" s="10" t="str">
        <f t="shared" si="165"/>
        <v>B+</v>
      </c>
      <c r="BM27" s="1">
        <f t="shared" si="11"/>
        <v>3.5</v>
      </c>
      <c r="BN27" s="10">
        <v>2</v>
      </c>
      <c r="BO27" s="1">
        <f t="shared" si="166"/>
        <v>7</v>
      </c>
      <c r="BP27" s="12">
        <v>84</v>
      </c>
      <c r="BQ27" s="10" t="str">
        <f t="shared" si="167"/>
        <v>A</v>
      </c>
      <c r="BR27" s="1">
        <f t="shared" si="12"/>
        <v>4</v>
      </c>
      <c r="BS27" s="10">
        <v>2</v>
      </c>
      <c r="BT27" s="1">
        <f t="shared" si="168"/>
        <v>8</v>
      </c>
      <c r="BU27" s="12">
        <v>70.7</v>
      </c>
      <c r="BV27" s="10" t="str">
        <f t="shared" si="169"/>
        <v>B</v>
      </c>
      <c r="BW27" s="1">
        <f t="shared" si="13"/>
        <v>3</v>
      </c>
      <c r="BX27" s="10">
        <v>3</v>
      </c>
      <c r="BY27" s="1">
        <f t="shared" si="170"/>
        <v>9</v>
      </c>
      <c r="BZ27" s="15">
        <v>64.683333333333337</v>
      </c>
      <c r="CA27" s="10" t="str">
        <f t="shared" si="171"/>
        <v>C</v>
      </c>
      <c r="CB27" s="1">
        <f t="shared" si="14"/>
        <v>2</v>
      </c>
      <c r="CC27" s="10">
        <v>2</v>
      </c>
      <c r="CD27" s="1">
        <f t="shared" si="172"/>
        <v>4</v>
      </c>
      <c r="CE27" s="19">
        <v>78.39</v>
      </c>
      <c r="CF27" s="10" t="str">
        <f t="shared" si="72"/>
        <v>B+</v>
      </c>
      <c r="CG27" s="1">
        <f t="shared" si="15"/>
        <v>3.5</v>
      </c>
      <c r="CH27" s="10">
        <v>4</v>
      </c>
      <c r="CI27" s="1">
        <f t="shared" si="73"/>
        <v>14</v>
      </c>
      <c r="CJ27" s="19">
        <v>70.099999999999994</v>
      </c>
      <c r="CK27" s="10" t="str">
        <f t="shared" si="74"/>
        <v>B</v>
      </c>
      <c r="CL27" s="1">
        <f t="shared" si="16"/>
        <v>3</v>
      </c>
      <c r="CM27" s="10">
        <v>4</v>
      </c>
      <c r="CN27" s="1">
        <f t="shared" si="75"/>
        <v>12</v>
      </c>
      <c r="CO27" s="19">
        <v>69.7</v>
      </c>
      <c r="CP27" s="10" t="str">
        <f t="shared" si="76"/>
        <v>C+</v>
      </c>
      <c r="CQ27" s="1">
        <f t="shared" si="17"/>
        <v>2.5</v>
      </c>
      <c r="CR27" s="10">
        <v>3</v>
      </c>
      <c r="CS27" s="1">
        <f t="shared" si="77"/>
        <v>7.5</v>
      </c>
      <c r="CT27" s="17">
        <v>75.073999999999998</v>
      </c>
      <c r="CU27" s="10" t="str">
        <f t="shared" si="78"/>
        <v>B+</v>
      </c>
      <c r="CV27" s="1">
        <f t="shared" si="18"/>
        <v>3.5</v>
      </c>
      <c r="CW27" s="10">
        <v>2</v>
      </c>
      <c r="CX27" s="1">
        <f t="shared" si="79"/>
        <v>7</v>
      </c>
      <c r="CY27" s="18">
        <v>77.349999999999994</v>
      </c>
      <c r="CZ27" s="10" t="str">
        <f t="shared" si="80"/>
        <v>B+</v>
      </c>
      <c r="DA27" s="1">
        <f t="shared" si="19"/>
        <v>3.5</v>
      </c>
      <c r="DB27" s="10">
        <v>2</v>
      </c>
      <c r="DC27" s="1">
        <f t="shared" si="81"/>
        <v>7</v>
      </c>
      <c r="DD27" s="19">
        <v>85.600000000000009</v>
      </c>
      <c r="DE27" s="10" t="str">
        <f t="shared" si="82"/>
        <v>A</v>
      </c>
      <c r="DF27" s="1">
        <f t="shared" si="20"/>
        <v>4</v>
      </c>
      <c r="DG27" s="10">
        <v>2</v>
      </c>
      <c r="DH27" s="1">
        <f t="shared" si="83"/>
        <v>8</v>
      </c>
      <c r="DI27" s="5">
        <v>71</v>
      </c>
      <c r="DJ27" s="10" t="str">
        <f t="shared" si="84"/>
        <v>B</v>
      </c>
      <c r="DK27" s="1">
        <f t="shared" si="21"/>
        <v>3</v>
      </c>
      <c r="DL27" s="10">
        <v>2</v>
      </c>
      <c r="DM27" s="1">
        <f t="shared" si="85"/>
        <v>6</v>
      </c>
      <c r="DN27" s="20">
        <v>73</v>
      </c>
      <c r="DO27" s="10" t="str">
        <f t="shared" si="86"/>
        <v>B</v>
      </c>
      <c r="DP27" s="1">
        <f t="shared" si="22"/>
        <v>3</v>
      </c>
      <c r="DQ27" s="10">
        <v>2</v>
      </c>
      <c r="DR27" s="1">
        <f t="shared" si="87"/>
        <v>6</v>
      </c>
      <c r="DS27" s="19">
        <v>70</v>
      </c>
      <c r="DT27" s="10" t="str">
        <f t="shared" si="88"/>
        <v>B</v>
      </c>
      <c r="DU27" s="1">
        <f t="shared" si="23"/>
        <v>3</v>
      </c>
      <c r="DV27" s="10">
        <v>4</v>
      </c>
      <c r="DW27" s="1">
        <f t="shared" si="89"/>
        <v>12</v>
      </c>
      <c r="DX27" s="19">
        <v>84.1</v>
      </c>
      <c r="DY27" s="10" t="str">
        <f t="shared" si="90"/>
        <v>A</v>
      </c>
      <c r="DZ27" s="1">
        <f t="shared" si="24"/>
        <v>4</v>
      </c>
      <c r="EA27" s="10">
        <v>3</v>
      </c>
      <c r="EB27" s="1">
        <f t="shared" si="91"/>
        <v>12</v>
      </c>
      <c r="EC27" s="19">
        <v>81.2</v>
      </c>
      <c r="ED27" s="10" t="str">
        <f t="shared" si="92"/>
        <v>A</v>
      </c>
      <c r="EE27" s="1">
        <f t="shared" si="25"/>
        <v>4</v>
      </c>
      <c r="EF27" s="10">
        <v>3</v>
      </c>
      <c r="EG27" s="1">
        <f t="shared" si="93"/>
        <v>12</v>
      </c>
      <c r="EH27" s="8">
        <v>78</v>
      </c>
      <c r="EI27" s="10" t="str">
        <f t="shared" si="94"/>
        <v>B+</v>
      </c>
      <c r="EJ27" s="1">
        <f t="shared" si="26"/>
        <v>3.5</v>
      </c>
      <c r="EK27" s="10">
        <v>3</v>
      </c>
      <c r="EL27" s="1">
        <f t="shared" si="95"/>
        <v>10.5</v>
      </c>
      <c r="EM27" s="18">
        <v>65</v>
      </c>
      <c r="EN27" s="10" t="str">
        <f t="shared" si="96"/>
        <v>C+</v>
      </c>
      <c r="EO27" s="1">
        <f t="shared" si="27"/>
        <v>2.5</v>
      </c>
      <c r="EP27" s="10">
        <v>3</v>
      </c>
      <c r="EQ27" s="1">
        <f t="shared" si="97"/>
        <v>7.5</v>
      </c>
      <c r="ER27" s="7">
        <v>77.5</v>
      </c>
      <c r="ES27" s="10" t="str">
        <f t="shared" si="98"/>
        <v>B+</v>
      </c>
      <c r="ET27" s="1">
        <f t="shared" si="28"/>
        <v>3.5</v>
      </c>
      <c r="EU27" s="10">
        <v>2</v>
      </c>
      <c r="EV27" s="1">
        <f t="shared" si="99"/>
        <v>7</v>
      </c>
      <c r="EW27" s="5">
        <v>80</v>
      </c>
      <c r="EX27" s="10" t="str">
        <f t="shared" si="100"/>
        <v>A</v>
      </c>
      <c r="EY27" s="1">
        <f t="shared" si="29"/>
        <v>4</v>
      </c>
      <c r="EZ27" s="10">
        <v>3</v>
      </c>
      <c r="FA27" s="1">
        <f t="shared" si="101"/>
        <v>12</v>
      </c>
      <c r="FB27" s="19">
        <v>76</v>
      </c>
      <c r="FC27" s="10" t="str">
        <f t="shared" si="102"/>
        <v>B+</v>
      </c>
      <c r="FD27" s="1">
        <f t="shared" si="30"/>
        <v>3.5</v>
      </c>
      <c r="FE27" s="10">
        <v>2</v>
      </c>
      <c r="FF27" s="1">
        <f t="shared" si="103"/>
        <v>7</v>
      </c>
      <c r="FG27" s="19">
        <v>71</v>
      </c>
      <c r="FH27" s="10" t="str">
        <f t="shared" si="104"/>
        <v>B</v>
      </c>
      <c r="FI27" s="1">
        <f t="shared" si="31"/>
        <v>3</v>
      </c>
      <c r="FJ27" s="10">
        <v>3</v>
      </c>
      <c r="FK27" s="1">
        <f t="shared" si="105"/>
        <v>9</v>
      </c>
      <c r="FL27" s="19">
        <v>81.733333333333334</v>
      </c>
      <c r="FM27" s="10" t="str">
        <f t="shared" si="106"/>
        <v>A</v>
      </c>
      <c r="FN27" s="1">
        <f t="shared" si="32"/>
        <v>4</v>
      </c>
      <c r="FO27" s="10">
        <v>3</v>
      </c>
      <c r="FP27" s="1">
        <f t="shared" si="107"/>
        <v>12</v>
      </c>
      <c r="FQ27" s="8">
        <v>78.180000000000007</v>
      </c>
      <c r="FR27" s="10" t="str">
        <f t="shared" si="108"/>
        <v>B+</v>
      </c>
      <c r="FS27" s="1">
        <f t="shared" si="109"/>
        <v>3.5</v>
      </c>
      <c r="FT27" s="10">
        <v>3</v>
      </c>
      <c r="FU27" s="1">
        <f t="shared" si="110"/>
        <v>10.5</v>
      </c>
      <c r="FV27" s="18">
        <v>81.099999999999994</v>
      </c>
      <c r="FW27" s="10" t="str">
        <f t="shared" si="111"/>
        <v>A</v>
      </c>
      <c r="FX27" s="1">
        <f t="shared" si="33"/>
        <v>4</v>
      </c>
      <c r="FY27" s="10">
        <v>3</v>
      </c>
      <c r="FZ27" s="1">
        <f t="shared" si="112"/>
        <v>12</v>
      </c>
      <c r="GA27" s="7">
        <v>75</v>
      </c>
      <c r="GB27" s="10" t="str">
        <f t="shared" si="113"/>
        <v>B+</v>
      </c>
      <c r="GC27" s="1">
        <f t="shared" si="34"/>
        <v>3.5</v>
      </c>
      <c r="GD27" s="10">
        <v>2</v>
      </c>
      <c r="GE27" s="1">
        <f t="shared" si="114"/>
        <v>7</v>
      </c>
      <c r="GF27" s="5">
        <v>77</v>
      </c>
      <c r="GG27" s="10" t="str">
        <f t="shared" si="115"/>
        <v>B+</v>
      </c>
      <c r="GH27" s="1">
        <f t="shared" si="35"/>
        <v>3.5</v>
      </c>
      <c r="GI27" s="10">
        <v>3</v>
      </c>
      <c r="GJ27" s="1">
        <f t="shared" si="116"/>
        <v>10.5</v>
      </c>
      <c r="GK27" s="5">
        <v>70.349999999999994</v>
      </c>
      <c r="GL27" s="10" t="str">
        <f t="shared" si="117"/>
        <v>B</v>
      </c>
      <c r="GM27" s="1">
        <f t="shared" si="36"/>
        <v>3</v>
      </c>
      <c r="GN27" s="10">
        <v>2</v>
      </c>
      <c r="GO27" s="1">
        <f t="shared" si="118"/>
        <v>6</v>
      </c>
      <c r="GP27" s="19">
        <v>75</v>
      </c>
      <c r="GQ27" s="10" t="str">
        <f t="shared" si="119"/>
        <v>B+</v>
      </c>
      <c r="GR27" s="1">
        <f t="shared" si="37"/>
        <v>3.5</v>
      </c>
      <c r="GS27" s="10">
        <v>3</v>
      </c>
      <c r="GT27" s="1">
        <f t="shared" si="120"/>
        <v>10.5</v>
      </c>
      <c r="GU27" s="19">
        <v>73.8</v>
      </c>
      <c r="GV27" s="10" t="str">
        <f t="shared" si="121"/>
        <v>B</v>
      </c>
      <c r="GW27" s="1">
        <f t="shared" si="38"/>
        <v>3</v>
      </c>
      <c r="GX27" s="10">
        <v>4</v>
      </c>
      <c r="GY27" s="1">
        <f t="shared" si="122"/>
        <v>12</v>
      </c>
      <c r="GZ27" s="7">
        <v>74.25</v>
      </c>
      <c r="HA27" s="10" t="str">
        <f t="shared" si="123"/>
        <v>B</v>
      </c>
      <c r="HB27" s="1">
        <f t="shared" si="124"/>
        <v>3</v>
      </c>
      <c r="HC27" s="10">
        <v>4</v>
      </c>
      <c r="HD27" s="1">
        <f t="shared" si="125"/>
        <v>12</v>
      </c>
      <c r="HE27" s="8">
        <v>78.800000000000011</v>
      </c>
      <c r="HF27" s="10" t="str">
        <f t="shared" si="126"/>
        <v>B+</v>
      </c>
      <c r="HG27" s="1">
        <f t="shared" si="39"/>
        <v>3.5</v>
      </c>
      <c r="HH27" s="10">
        <v>2</v>
      </c>
      <c r="HI27" s="1">
        <f t="shared" si="127"/>
        <v>7</v>
      </c>
      <c r="HJ27" s="18">
        <v>74.466666666666669</v>
      </c>
      <c r="HK27" s="10" t="str">
        <f t="shared" si="128"/>
        <v>B</v>
      </c>
      <c r="HL27" s="1">
        <f t="shared" si="40"/>
        <v>3</v>
      </c>
      <c r="HM27" s="10">
        <v>3</v>
      </c>
      <c r="HN27" s="1">
        <f t="shared" si="129"/>
        <v>9</v>
      </c>
      <c r="HO27" s="12">
        <v>81.625</v>
      </c>
      <c r="HP27" s="10" t="str">
        <f t="shared" si="130"/>
        <v>A</v>
      </c>
      <c r="HQ27" s="1">
        <f t="shared" si="41"/>
        <v>4</v>
      </c>
      <c r="HR27" s="10">
        <v>3</v>
      </c>
      <c r="HS27" s="1">
        <f t="shared" si="131"/>
        <v>12</v>
      </c>
      <c r="HT27" s="10">
        <v>77</v>
      </c>
      <c r="HU27" s="10" t="str">
        <f t="shared" si="132"/>
        <v>B+</v>
      </c>
      <c r="HV27" s="1">
        <f t="shared" si="133"/>
        <v>3.5</v>
      </c>
      <c r="HW27" s="10">
        <v>4</v>
      </c>
      <c r="HX27" s="1">
        <f t="shared" si="134"/>
        <v>14</v>
      </c>
      <c r="HY27" s="19">
        <v>81.95</v>
      </c>
      <c r="HZ27" s="10" t="str">
        <f t="shared" si="135"/>
        <v>A</v>
      </c>
      <c r="IA27" s="1">
        <f t="shared" si="136"/>
        <v>4</v>
      </c>
      <c r="IB27" s="10">
        <v>2</v>
      </c>
      <c r="IC27" s="1">
        <f t="shared" si="137"/>
        <v>8</v>
      </c>
      <c r="ID27" s="7">
        <v>76.5</v>
      </c>
      <c r="IE27" s="10" t="str">
        <f t="shared" si="138"/>
        <v>B+</v>
      </c>
      <c r="IF27" s="1">
        <f t="shared" si="139"/>
        <v>3.5</v>
      </c>
      <c r="IG27" s="10">
        <v>3</v>
      </c>
      <c r="IH27" s="1">
        <f t="shared" si="140"/>
        <v>10.5</v>
      </c>
      <c r="II27" s="8">
        <v>77</v>
      </c>
      <c r="IJ27" s="10" t="str">
        <f t="shared" si="141"/>
        <v>B+</v>
      </c>
      <c r="IK27" s="1">
        <f t="shared" si="142"/>
        <v>3.5</v>
      </c>
      <c r="IL27" s="10">
        <v>2</v>
      </c>
      <c r="IM27" s="1">
        <f t="shared" si="143"/>
        <v>7</v>
      </c>
      <c r="IN27" s="18">
        <v>75.88</v>
      </c>
      <c r="IO27" s="10" t="str">
        <f t="shared" si="144"/>
        <v>B+</v>
      </c>
      <c r="IP27" s="1">
        <f t="shared" si="145"/>
        <v>3.5</v>
      </c>
      <c r="IQ27" s="10">
        <v>2</v>
      </c>
      <c r="IR27" s="1">
        <f t="shared" si="146"/>
        <v>7</v>
      </c>
      <c r="IS27" s="10">
        <v>76.400000000000006</v>
      </c>
      <c r="IT27" s="10" t="str">
        <f t="shared" si="147"/>
        <v>B+</v>
      </c>
      <c r="IU27" s="1">
        <f t="shared" si="148"/>
        <v>3.5</v>
      </c>
      <c r="IV27" s="10">
        <v>4</v>
      </c>
      <c r="IW27" s="1">
        <f t="shared" si="149"/>
        <v>14</v>
      </c>
      <c r="IX27" s="10">
        <v>79</v>
      </c>
      <c r="IY27" s="10" t="str">
        <f t="shared" si="150"/>
        <v>B+</v>
      </c>
      <c r="IZ27" s="1">
        <f t="shared" si="151"/>
        <v>3.5</v>
      </c>
      <c r="JA27" s="10">
        <v>4</v>
      </c>
      <c r="JB27" s="1">
        <f t="shared" si="152"/>
        <v>14</v>
      </c>
      <c r="JC27" s="2">
        <v>65.5</v>
      </c>
      <c r="JD27" s="2">
        <v>22</v>
      </c>
      <c r="JE27" s="2">
        <v>61.5</v>
      </c>
      <c r="JF27" s="2">
        <v>19</v>
      </c>
      <c r="JG27" s="2">
        <v>67.5</v>
      </c>
      <c r="JH27" s="2">
        <v>21</v>
      </c>
      <c r="JI27" s="2">
        <v>73</v>
      </c>
      <c r="JJ27" s="2">
        <v>21</v>
      </c>
      <c r="JK27" s="2">
        <v>74</v>
      </c>
      <c r="JL27" s="2">
        <v>21</v>
      </c>
      <c r="JM27" s="2">
        <v>62.5</v>
      </c>
      <c r="JN27" s="2">
        <v>19</v>
      </c>
      <c r="JO27" s="2">
        <v>60.5</v>
      </c>
      <c r="JP27" s="2">
        <v>17</v>
      </c>
      <c r="JQ27" s="2">
        <v>14</v>
      </c>
      <c r="JR27" s="2">
        <v>4</v>
      </c>
      <c r="JS27" s="2">
        <f t="shared" si="153"/>
        <v>478.5</v>
      </c>
      <c r="JT27" s="2">
        <f t="shared" si="153"/>
        <v>144</v>
      </c>
      <c r="JU27" s="3">
        <f t="shared" si="154"/>
        <v>3.3229166666666665</v>
      </c>
      <c r="JV27" s="2" t="str">
        <f t="shared" si="155"/>
        <v>Sangat Memuaskan</v>
      </c>
      <c r="JW27" s="2" t="str">
        <f t="shared" si="156"/>
        <v>Highly Satisfactory</v>
      </c>
      <c r="JX27" s="23" t="s">
        <v>288</v>
      </c>
      <c r="JY27" s="58" t="s">
        <v>289</v>
      </c>
    </row>
    <row r="28" spans="1:285" x14ac:dyDescent="0.25">
      <c r="A28" s="55">
        <v>26</v>
      </c>
      <c r="B28" s="40" t="s">
        <v>54</v>
      </c>
      <c r="C28" s="2">
        <v>152111042</v>
      </c>
      <c r="D28" s="10" t="s">
        <v>146</v>
      </c>
      <c r="E28" s="24" t="s">
        <v>174</v>
      </c>
      <c r="F28" s="27" t="s">
        <v>220</v>
      </c>
      <c r="G28" s="2" t="s">
        <v>253</v>
      </c>
      <c r="H28" s="10">
        <v>80.05</v>
      </c>
      <c r="I28" s="10" t="s">
        <v>38</v>
      </c>
      <c r="J28" s="10">
        <v>4</v>
      </c>
      <c r="K28" s="10">
        <v>2</v>
      </c>
      <c r="L28" s="10">
        <v>8</v>
      </c>
      <c r="M28" s="10">
        <v>72</v>
      </c>
      <c r="N28" s="10" t="s">
        <v>40</v>
      </c>
      <c r="O28" s="10">
        <v>3</v>
      </c>
      <c r="P28" s="10">
        <v>3</v>
      </c>
      <c r="Q28" s="10">
        <v>9</v>
      </c>
      <c r="R28" s="10">
        <v>73.166666666666671</v>
      </c>
      <c r="S28" s="10" t="s">
        <v>40</v>
      </c>
      <c r="T28" s="10">
        <v>3</v>
      </c>
      <c r="U28" s="10">
        <v>4</v>
      </c>
      <c r="V28" s="10">
        <v>12</v>
      </c>
      <c r="W28" s="10">
        <v>77.650000000000006</v>
      </c>
      <c r="X28" s="10" t="s">
        <v>39</v>
      </c>
      <c r="Y28" s="10">
        <v>3.5</v>
      </c>
      <c r="Z28" s="10">
        <v>2</v>
      </c>
      <c r="AA28" s="10">
        <v>7</v>
      </c>
      <c r="AB28" s="10">
        <v>63.7</v>
      </c>
      <c r="AC28" s="10" t="s">
        <v>47</v>
      </c>
      <c r="AD28" s="10">
        <v>2</v>
      </c>
      <c r="AE28" s="10">
        <v>4</v>
      </c>
      <c r="AF28" s="10">
        <v>8</v>
      </c>
      <c r="AG28" s="10">
        <v>74.55</v>
      </c>
      <c r="AH28" s="10" t="s">
        <v>40</v>
      </c>
      <c r="AI28" s="10">
        <v>3</v>
      </c>
      <c r="AJ28" s="10">
        <v>4</v>
      </c>
      <c r="AK28" s="10">
        <v>12</v>
      </c>
      <c r="AL28" s="10">
        <v>77.366666666666674</v>
      </c>
      <c r="AM28" s="10" t="s">
        <v>39</v>
      </c>
      <c r="AN28" s="10">
        <v>3.5</v>
      </c>
      <c r="AO28" s="10">
        <v>3</v>
      </c>
      <c r="AP28" s="10">
        <v>10.5</v>
      </c>
      <c r="AQ28" s="9">
        <v>81</v>
      </c>
      <c r="AR28" s="10" t="str">
        <f t="shared" si="157"/>
        <v>A</v>
      </c>
      <c r="AS28" s="1">
        <f t="shared" si="7"/>
        <v>4</v>
      </c>
      <c r="AT28" s="10">
        <v>3</v>
      </c>
      <c r="AU28" s="1">
        <f t="shared" si="158"/>
        <v>12</v>
      </c>
      <c r="AV28" s="11">
        <v>70</v>
      </c>
      <c r="AW28" s="10" t="str">
        <f t="shared" si="159"/>
        <v>B</v>
      </c>
      <c r="AX28" s="1">
        <f t="shared" si="8"/>
        <v>3</v>
      </c>
      <c r="AY28" s="10">
        <v>2</v>
      </c>
      <c r="AZ28" s="1">
        <f t="shared" si="160"/>
        <v>6</v>
      </c>
      <c r="BA28" s="15">
        <v>80.349999999999994</v>
      </c>
      <c r="BB28" s="10" t="str">
        <f t="shared" si="161"/>
        <v>A</v>
      </c>
      <c r="BC28" s="1">
        <f t="shared" si="9"/>
        <v>4</v>
      </c>
      <c r="BD28" s="10">
        <v>2</v>
      </c>
      <c r="BE28" s="1">
        <f t="shared" si="162"/>
        <v>8</v>
      </c>
      <c r="BF28" s="14">
        <v>74.5</v>
      </c>
      <c r="BG28" s="10" t="str">
        <f t="shared" si="163"/>
        <v>B</v>
      </c>
      <c r="BH28" s="1">
        <f t="shared" si="10"/>
        <v>3</v>
      </c>
      <c r="BI28" s="10">
        <v>3</v>
      </c>
      <c r="BJ28" s="1">
        <f t="shared" si="164"/>
        <v>9</v>
      </c>
      <c r="BK28" s="14">
        <v>80</v>
      </c>
      <c r="BL28" s="10" t="str">
        <f t="shared" si="165"/>
        <v>A</v>
      </c>
      <c r="BM28" s="1">
        <f t="shared" si="11"/>
        <v>4</v>
      </c>
      <c r="BN28" s="10">
        <v>2</v>
      </c>
      <c r="BO28" s="1">
        <f t="shared" si="166"/>
        <v>8</v>
      </c>
      <c r="BP28" s="12">
        <v>79.349999999999994</v>
      </c>
      <c r="BQ28" s="10" t="str">
        <f t="shared" si="167"/>
        <v>B+</v>
      </c>
      <c r="BR28" s="1">
        <f t="shared" si="12"/>
        <v>3.5</v>
      </c>
      <c r="BS28" s="10">
        <v>2</v>
      </c>
      <c r="BT28" s="1">
        <f t="shared" si="168"/>
        <v>7</v>
      </c>
      <c r="BU28" s="12">
        <v>75.900000000000006</v>
      </c>
      <c r="BV28" s="10" t="str">
        <f t="shared" si="169"/>
        <v>B+</v>
      </c>
      <c r="BW28" s="1">
        <f t="shared" si="13"/>
        <v>3.5</v>
      </c>
      <c r="BX28" s="10">
        <v>3</v>
      </c>
      <c r="BY28" s="1">
        <f t="shared" si="170"/>
        <v>10.5</v>
      </c>
      <c r="BZ28" s="15">
        <v>69.349999999999994</v>
      </c>
      <c r="CA28" s="10" t="str">
        <f t="shared" si="171"/>
        <v>C+</v>
      </c>
      <c r="CB28" s="1">
        <f t="shared" si="14"/>
        <v>2.5</v>
      </c>
      <c r="CC28" s="10">
        <v>2</v>
      </c>
      <c r="CD28" s="1">
        <f t="shared" si="172"/>
        <v>5</v>
      </c>
      <c r="CE28" s="19">
        <v>79.015000000000001</v>
      </c>
      <c r="CF28" s="10" t="str">
        <f t="shared" si="72"/>
        <v>B+</v>
      </c>
      <c r="CG28" s="1">
        <f t="shared" si="15"/>
        <v>3.5</v>
      </c>
      <c r="CH28" s="10">
        <v>4</v>
      </c>
      <c r="CI28" s="1">
        <f t="shared" si="73"/>
        <v>14</v>
      </c>
      <c r="CJ28" s="19">
        <v>82.35</v>
      </c>
      <c r="CK28" s="10" t="str">
        <f t="shared" si="74"/>
        <v>A</v>
      </c>
      <c r="CL28" s="1">
        <f t="shared" si="16"/>
        <v>4</v>
      </c>
      <c r="CM28" s="10">
        <v>4</v>
      </c>
      <c r="CN28" s="1">
        <f t="shared" si="75"/>
        <v>16</v>
      </c>
      <c r="CO28" s="19">
        <v>76</v>
      </c>
      <c r="CP28" s="10" t="str">
        <f t="shared" si="76"/>
        <v>B+</v>
      </c>
      <c r="CQ28" s="1">
        <f t="shared" si="17"/>
        <v>3.5</v>
      </c>
      <c r="CR28" s="10">
        <v>3</v>
      </c>
      <c r="CS28" s="1">
        <f t="shared" si="77"/>
        <v>10.5</v>
      </c>
      <c r="CT28" s="17">
        <v>77.31314285714285</v>
      </c>
      <c r="CU28" s="10" t="str">
        <f t="shared" si="78"/>
        <v>B+</v>
      </c>
      <c r="CV28" s="1">
        <f t="shared" si="18"/>
        <v>3.5</v>
      </c>
      <c r="CW28" s="10">
        <v>2</v>
      </c>
      <c r="CX28" s="1">
        <f t="shared" si="79"/>
        <v>7</v>
      </c>
      <c r="CY28" s="18">
        <v>81.7</v>
      </c>
      <c r="CZ28" s="10" t="str">
        <f t="shared" si="80"/>
        <v>A</v>
      </c>
      <c r="DA28" s="1">
        <f t="shared" si="19"/>
        <v>4</v>
      </c>
      <c r="DB28" s="10">
        <v>2</v>
      </c>
      <c r="DC28" s="1">
        <f t="shared" si="81"/>
        <v>8</v>
      </c>
      <c r="DD28" s="19">
        <v>85.2</v>
      </c>
      <c r="DE28" s="10" t="str">
        <f t="shared" si="82"/>
        <v>A</v>
      </c>
      <c r="DF28" s="1">
        <f t="shared" si="20"/>
        <v>4</v>
      </c>
      <c r="DG28" s="10">
        <v>2</v>
      </c>
      <c r="DH28" s="1">
        <f t="shared" si="83"/>
        <v>8</v>
      </c>
      <c r="DI28" s="5">
        <v>87.5</v>
      </c>
      <c r="DJ28" s="10" t="str">
        <f t="shared" si="84"/>
        <v>A</v>
      </c>
      <c r="DK28" s="1">
        <f t="shared" si="21"/>
        <v>4</v>
      </c>
      <c r="DL28" s="10">
        <v>2</v>
      </c>
      <c r="DM28" s="1">
        <f t="shared" si="85"/>
        <v>8</v>
      </c>
      <c r="DN28" s="20">
        <v>81</v>
      </c>
      <c r="DO28" s="10" t="str">
        <f t="shared" si="86"/>
        <v>A</v>
      </c>
      <c r="DP28" s="1">
        <f t="shared" si="22"/>
        <v>4</v>
      </c>
      <c r="DQ28" s="10">
        <v>2</v>
      </c>
      <c r="DR28" s="1">
        <f t="shared" si="87"/>
        <v>8</v>
      </c>
      <c r="DS28" s="19">
        <v>80.55</v>
      </c>
      <c r="DT28" s="10" t="str">
        <f t="shared" si="88"/>
        <v>A</v>
      </c>
      <c r="DU28" s="1">
        <f t="shared" si="23"/>
        <v>4</v>
      </c>
      <c r="DV28" s="10">
        <v>4</v>
      </c>
      <c r="DW28" s="1">
        <f t="shared" si="89"/>
        <v>16</v>
      </c>
      <c r="DX28" s="19">
        <v>79</v>
      </c>
      <c r="DY28" s="10" t="str">
        <f t="shared" si="90"/>
        <v>B+</v>
      </c>
      <c r="DZ28" s="1">
        <f t="shared" si="24"/>
        <v>3.5</v>
      </c>
      <c r="EA28" s="10">
        <v>3</v>
      </c>
      <c r="EB28" s="1">
        <f t="shared" si="91"/>
        <v>10.5</v>
      </c>
      <c r="EC28" s="19">
        <v>80.349999999999994</v>
      </c>
      <c r="ED28" s="10" t="str">
        <f t="shared" si="92"/>
        <v>A</v>
      </c>
      <c r="EE28" s="1">
        <f t="shared" si="25"/>
        <v>4</v>
      </c>
      <c r="EF28" s="10">
        <v>3</v>
      </c>
      <c r="EG28" s="1">
        <f t="shared" si="93"/>
        <v>12</v>
      </c>
      <c r="EH28" s="8">
        <v>79.2</v>
      </c>
      <c r="EI28" s="10" t="str">
        <f t="shared" si="94"/>
        <v>B+</v>
      </c>
      <c r="EJ28" s="1">
        <f t="shared" si="26"/>
        <v>3.5</v>
      </c>
      <c r="EK28" s="10">
        <v>3</v>
      </c>
      <c r="EL28" s="1">
        <f t="shared" si="95"/>
        <v>10.5</v>
      </c>
      <c r="EM28" s="18">
        <v>66</v>
      </c>
      <c r="EN28" s="10" t="str">
        <f t="shared" si="96"/>
        <v>C+</v>
      </c>
      <c r="EO28" s="1">
        <f t="shared" si="27"/>
        <v>2.5</v>
      </c>
      <c r="EP28" s="10">
        <v>3</v>
      </c>
      <c r="EQ28" s="1">
        <f t="shared" si="97"/>
        <v>7.5</v>
      </c>
      <c r="ER28" s="7">
        <v>78.900000000000006</v>
      </c>
      <c r="ES28" s="10" t="str">
        <f t="shared" si="98"/>
        <v>B+</v>
      </c>
      <c r="ET28" s="1">
        <f t="shared" si="28"/>
        <v>3.5</v>
      </c>
      <c r="EU28" s="10">
        <v>2</v>
      </c>
      <c r="EV28" s="1">
        <f t="shared" si="99"/>
        <v>7</v>
      </c>
      <c r="EW28" s="5">
        <v>80.099999999999994</v>
      </c>
      <c r="EX28" s="10" t="str">
        <f t="shared" si="100"/>
        <v>A</v>
      </c>
      <c r="EY28" s="1">
        <f t="shared" si="29"/>
        <v>4</v>
      </c>
      <c r="EZ28" s="10">
        <v>3</v>
      </c>
      <c r="FA28" s="1">
        <f t="shared" si="101"/>
        <v>12</v>
      </c>
      <c r="FB28" s="19">
        <v>77</v>
      </c>
      <c r="FC28" s="10" t="str">
        <f t="shared" si="102"/>
        <v>B+</v>
      </c>
      <c r="FD28" s="1">
        <f t="shared" si="30"/>
        <v>3.5</v>
      </c>
      <c r="FE28" s="10">
        <v>2</v>
      </c>
      <c r="FF28" s="1">
        <f t="shared" si="103"/>
        <v>7</v>
      </c>
      <c r="FG28" s="19">
        <v>72</v>
      </c>
      <c r="FH28" s="10" t="str">
        <f t="shared" si="104"/>
        <v>B</v>
      </c>
      <c r="FI28" s="1">
        <f t="shared" si="31"/>
        <v>3</v>
      </c>
      <c r="FJ28" s="10">
        <v>3</v>
      </c>
      <c r="FK28" s="1">
        <f t="shared" si="105"/>
        <v>9</v>
      </c>
      <c r="FL28" s="19">
        <v>77.466666666666669</v>
      </c>
      <c r="FM28" s="10" t="str">
        <f t="shared" si="106"/>
        <v>B+</v>
      </c>
      <c r="FN28" s="1">
        <f t="shared" si="32"/>
        <v>3.5</v>
      </c>
      <c r="FO28" s="10">
        <v>3</v>
      </c>
      <c r="FP28" s="1">
        <f t="shared" si="107"/>
        <v>10.5</v>
      </c>
      <c r="FQ28" s="8">
        <v>75.69</v>
      </c>
      <c r="FR28" s="10" t="str">
        <f t="shared" si="108"/>
        <v>B+</v>
      </c>
      <c r="FS28" s="1">
        <f t="shared" si="109"/>
        <v>3.5</v>
      </c>
      <c r="FT28" s="10">
        <v>3</v>
      </c>
      <c r="FU28" s="1">
        <f t="shared" si="110"/>
        <v>10.5</v>
      </c>
      <c r="FV28" s="18">
        <v>75.099999999999994</v>
      </c>
      <c r="FW28" s="10" t="str">
        <f t="shared" si="111"/>
        <v>B+</v>
      </c>
      <c r="FX28" s="1">
        <f t="shared" si="33"/>
        <v>3.5</v>
      </c>
      <c r="FY28" s="10">
        <v>3</v>
      </c>
      <c r="FZ28" s="1">
        <f t="shared" si="112"/>
        <v>10.5</v>
      </c>
      <c r="GA28" s="7">
        <v>75.3</v>
      </c>
      <c r="GB28" s="10" t="str">
        <f t="shared" si="113"/>
        <v>B+</v>
      </c>
      <c r="GC28" s="1">
        <f t="shared" si="34"/>
        <v>3.5</v>
      </c>
      <c r="GD28" s="10">
        <v>2</v>
      </c>
      <c r="GE28" s="1">
        <f t="shared" si="114"/>
        <v>7</v>
      </c>
      <c r="GF28" s="5">
        <v>79</v>
      </c>
      <c r="GG28" s="10" t="str">
        <f t="shared" si="115"/>
        <v>B+</v>
      </c>
      <c r="GH28" s="1">
        <f t="shared" si="35"/>
        <v>3.5</v>
      </c>
      <c r="GI28" s="10">
        <v>3</v>
      </c>
      <c r="GJ28" s="1">
        <f t="shared" si="116"/>
        <v>10.5</v>
      </c>
      <c r="GK28" s="5">
        <v>70.7</v>
      </c>
      <c r="GL28" s="10" t="str">
        <f t="shared" si="117"/>
        <v>B</v>
      </c>
      <c r="GM28" s="1">
        <f t="shared" si="36"/>
        <v>3</v>
      </c>
      <c r="GN28" s="10">
        <v>2</v>
      </c>
      <c r="GO28" s="1">
        <f t="shared" si="118"/>
        <v>6</v>
      </c>
      <c r="GP28" s="19">
        <v>80.2</v>
      </c>
      <c r="GQ28" s="10" t="str">
        <f t="shared" si="119"/>
        <v>A</v>
      </c>
      <c r="GR28" s="1">
        <f t="shared" si="37"/>
        <v>4</v>
      </c>
      <c r="GS28" s="10">
        <v>3</v>
      </c>
      <c r="GT28" s="1">
        <f t="shared" si="120"/>
        <v>12</v>
      </c>
      <c r="GU28" s="19">
        <v>75.2</v>
      </c>
      <c r="GV28" s="10" t="str">
        <f t="shared" si="121"/>
        <v>B+</v>
      </c>
      <c r="GW28" s="1">
        <f t="shared" si="38"/>
        <v>3.5</v>
      </c>
      <c r="GX28" s="10">
        <v>4</v>
      </c>
      <c r="GY28" s="1">
        <f t="shared" si="122"/>
        <v>14</v>
      </c>
      <c r="GZ28" s="7">
        <v>75.5</v>
      </c>
      <c r="HA28" s="10" t="str">
        <f t="shared" si="123"/>
        <v>B+</v>
      </c>
      <c r="HB28" s="1">
        <f t="shared" si="124"/>
        <v>3.5</v>
      </c>
      <c r="HC28" s="10">
        <v>4</v>
      </c>
      <c r="HD28" s="1">
        <f t="shared" si="125"/>
        <v>14</v>
      </c>
      <c r="HE28" s="8">
        <v>73.175000000000011</v>
      </c>
      <c r="HF28" s="10" t="str">
        <f t="shared" si="126"/>
        <v>B</v>
      </c>
      <c r="HG28" s="1">
        <f t="shared" si="39"/>
        <v>3</v>
      </c>
      <c r="HH28" s="10">
        <v>2</v>
      </c>
      <c r="HI28" s="1">
        <f t="shared" si="127"/>
        <v>6</v>
      </c>
      <c r="HJ28" s="18">
        <v>71.45</v>
      </c>
      <c r="HK28" s="10" t="str">
        <f t="shared" si="128"/>
        <v>B</v>
      </c>
      <c r="HL28" s="1">
        <f t="shared" si="40"/>
        <v>3</v>
      </c>
      <c r="HM28" s="10">
        <v>3</v>
      </c>
      <c r="HN28" s="1">
        <f t="shared" si="129"/>
        <v>9</v>
      </c>
      <c r="HO28" s="12">
        <v>79.375</v>
      </c>
      <c r="HP28" s="10" t="str">
        <f t="shared" si="130"/>
        <v>B+</v>
      </c>
      <c r="HQ28" s="1">
        <f t="shared" si="41"/>
        <v>3.5</v>
      </c>
      <c r="HR28" s="10">
        <v>3</v>
      </c>
      <c r="HS28" s="1">
        <f t="shared" si="131"/>
        <v>10.5</v>
      </c>
      <c r="HT28" s="10">
        <v>79</v>
      </c>
      <c r="HU28" s="10" t="str">
        <f t="shared" si="132"/>
        <v>B+</v>
      </c>
      <c r="HV28" s="1">
        <f t="shared" si="133"/>
        <v>3.5</v>
      </c>
      <c r="HW28" s="10">
        <v>4</v>
      </c>
      <c r="HX28" s="1">
        <f t="shared" si="134"/>
        <v>14</v>
      </c>
      <c r="HY28" s="19">
        <v>76.75</v>
      </c>
      <c r="HZ28" s="10" t="str">
        <f t="shared" si="135"/>
        <v>B+</v>
      </c>
      <c r="IA28" s="1">
        <f t="shared" si="136"/>
        <v>3.5</v>
      </c>
      <c r="IB28" s="10">
        <v>2</v>
      </c>
      <c r="IC28" s="1">
        <f t="shared" si="137"/>
        <v>7</v>
      </c>
      <c r="ID28" s="7">
        <v>78.08</v>
      </c>
      <c r="IE28" s="10" t="str">
        <f t="shared" si="138"/>
        <v>B+</v>
      </c>
      <c r="IF28" s="1">
        <f t="shared" si="139"/>
        <v>3.5</v>
      </c>
      <c r="IG28" s="10">
        <v>3</v>
      </c>
      <c r="IH28" s="1">
        <f t="shared" si="140"/>
        <v>10.5</v>
      </c>
      <c r="II28" s="8">
        <v>79</v>
      </c>
      <c r="IJ28" s="10" t="str">
        <f t="shared" si="141"/>
        <v>B+</v>
      </c>
      <c r="IK28" s="1">
        <f t="shared" si="142"/>
        <v>3.5</v>
      </c>
      <c r="IL28" s="10">
        <v>2</v>
      </c>
      <c r="IM28" s="1">
        <f t="shared" si="143"/>
        <v>7</v>
      </c>
      <c r="IN28" s="18">
        <v>74.099999999999994</v>
      </c>
      <c r="IO28" s="10" t="str">
        <f t="shared" si="144"/>
        <v>B</v>
      </c>
      <c r="IP28" s="1">
        <f t="shared" si="145"/>
        <v>3</v>
      </c>
      <c r="IQ28" s="10">
        <v>2</v>
      </c>
      <c r="IR28" s="1">
        <f t="shared" si="146"/>
        <v>6</v>
      </c>
      <c r="IS28" s="10">
        <v>75.2</v>
      </c>
      <c r="IT28" s="10" t="str">
        <f t="shared" si="147"/>
        <v>B+</v>
      </c>
      <c r="IU28" s="1">
        <f t="shared" si="148"/>
        <v>3.5</v>
      </c>
      <c r="IV28" s="10">
        <v>4</v>
      </c>
      <c r="IW28" s="1">
        <f t="shared" si="149"/>
        <v>14</v>
      </c>
      <c r="IX28" s="10">
        <v>80</v>
      </c>
      <c r="IY28" s="10" t="str">
        <f t="shared" si="150"/>
        <v>A</v>
      </c>
      <c r="IZ28" s="1">
        <f t="shared" si="151"/>
        <v>4</v>
      </c>
      <c r="JA28" s="10">
        <v>4</v>
      </c>
      <c r="JB28" s="1">
        <f t="shared" si="152"/>
        <v>16</v>
      </c>
      <c r="JC28" s="2">
        <v>66.5</v>
      </c>
      <c r="JD28" s="2">
        <v>22</v>
      </c>
      <c r="JE28" s="2">
        <v>65.5</v>
      </c>
      <c r="JF28" s="2">
        <v>19</v>
      </c>
      <c r="JG28" s="2">
        <v>79.5</v>
      </c>
      <c r="JH28" s="2">
        <v>21</v>
      </c>
      <c r="JI28" s="2">
        <v>75.5</v>
      </c>
      <c r="JJ28" s="2">
        <v>21</v>
      </c>
      <c r="JK28" s="2">
        <v>71</v>
      </c>
      <c r="JL28" s="2">
        <v>21</v>
      </c>
      <c r="JM28" s="2">
        <v>65.5</v>
      </c>
      <c r="JN28" s="2">
        <v>19</v>
      </c>
      <c r="JO28" s="2">
        <v>58.5</v>
      </c>
      <c r="JP28" s="2">
        <v>17</v>
      </c>
      <c r="JQ28" s="2">
        <v>16</v>
      </c>
      <c r="JR28" s="2">
        <v>4</v>
      </c>
      <c r="JS28" s="2">
        <f t="shared" si="153"/>
        <v>498</v>
      </c>
      <c r="JT28" s="2">
        <f t="shared" si="153"/>
        <v>144</v>
      </c>
      <c r="JU28" s="3">
        <f t="shared" si="154"/>
        <v>3.4583333333333335</v>
      </c>
      <c r="JV28" s="2" t="str">
        <f t="shared" si="155"/>
        <v>Sangat Memuaskan</v>
      </c>
      <c r="JW28" s="2" t="str">
        <f t="shared" si="156"/>
        <v>Highly Satisfactory</v>
      </c>
      <c r="JX28" s="23" t="s">
        <v>213</v>
      </c>
      <c r="JY28" s="23" t="s">
        <v>280</v>
      </c>
    </row>
    <row r="29" spans="1:285" x14ac:dyDescent="0.25">
      <c r="A29" s="55">
        <v>27</v>
      </c>
      <c r="B29" s="23" t="s">
        <v>55</v>
      </c>
      <c r="C29" s="2">
        <v>152111043</v>
      </c>
      <c r="D29" s="10" t="s">
        <v>157</v>
      </c>
      <c r="E29" s="24" t="s">
        <v>158</v>
      </c>
      <c r="F29" s="27" t="s">
        <v>219</v>
      </c>
      <c r="G29" s="2" t="s">
        <v>244</v>
      </c>
      <c r="H29" s="10">
        <v>85.05</v>
      </c>
      <c r="I29" s="10" t="s">
        <v>38</v>
      </c>
      <c r="J29" s="10">
        <v>4</v>
      </c>
      <c r="K29" s="10">
        <v>2</v>
      </c>
      <c r="L29" s="10">
        <v>8</v>
      </c>
      <c r="M29" s="10">
        <v>77.625</v>
      </c>
      <c r="N29" s="10" t="s">
        <v>39</v>
      </c>
      <c r="O29" s="10">
        <v>3.5</v>
      </c>
      <c r="P29" s="10">
        <v>3</v>
      </c>
      <c r="Q29" s="10">
        <v>10.5</v>
      </c>
      <c r="R29" s="10">
        <v>75.266666666666666</v>
      </c>
      <c r="S29" s="10" t="s">
        <v>39</v>
      </c>
      <c r="T29" s="10">
        <v>3.5</v>
      </c>
      <c r="U29" s="10">
        <v>4</v>
      </c>
      <c r="V29" s="10">
        <v>14</v>
      </c>
      <c r="W29" s="10">
        <v>79.55</v>
      </c>
      <c r="X29" s="10" t="s">
        <v>39</v>
      </c>
      <c r="Y29" s="10">
        <v>3.5</v>
      </c>
      <c r="Z29" s="10">
        <v>2</v>
      </c>
      <c r="AA29" s="10">
        <v>7</v>
      </c>
      <c r="AB29" s="10">
        <v>73.2</v>
      </c>
      <c r="AC29" s="10" t="s">
        <v>40</v>
      </c>
      <c r="AD29" s="10">
        <v>3</v>
      </c>
      <c r="AE29" s="10">
        <v>4</v>
      </c>
      <c r="AF29" s="10">
        <v>12</v>
      </c>
      <c r="AG29" s="10">
        <v>71</v>
      </c>
      <c r="AH29" s="10" t="s">
        <v>40</v>
      </c>
      <c r="AI29" s="10">
        <v>3</v>
      </c>
      <c r="AJ29" s="10">
        <v>4</v>
      </c>
      <c r="AK29" s="10">
        <v>12</v>
      </c>
      <c r="AL29" s="10">
        <v>77.766666666666666</v>
      </c>
      <c r="AM29" s="10" t="s">
        <v>39</v>
      </c>
      <c r="AN29" s="10">
        <v>3.5</v>
      </c>
      <c r="AO29" s="10">
        <v>3</v>
      </c>
      <c r="AP29" s="10">
        <v>10.5</v>
      </c>
      <c r="AQ29" s="9">
        <v>86.1</v>
      </c>
      <c r="AR29" s="10" t="str">
        <f t="shared" si="157"/>
        <v>A</v>
      </c>
      <c r="AS29" s="1">
        <f t="shared" si="7"/>
        <v>4</v>
      </c>
      <c r="AT29" s="10">
        <v>3</v>
      </c>
      <c r="AU29" s="1">
        <f t="shared" si="158"/>
        <v>12</v>
      </c>
      <c r="AV29" s="11">
        <v>75</v>
      </c>
      <c r="AW29" s="10" t="str">
        <f t="shared" si="159"/>
        <v>B+</v>
      </c>
      <c r="AX29" s="1">
        <f t="shared" si="8"/>
        <v>3.5</v>
      </c>
      <c r="AY29" s="10">
        <v>2</v>
      </c>
      <c r="AZ29" s="1">
        <f t="shared" si="160"/>
        <v>7</v>
      </c>
      <c r="BA29" s="15">
        <v>80.150000000000006</v>
      </c>
      <c r="BB29" s="10" t="str">
        <f t="shared" si="161"/>
        <v>A</v>
      </c>
      <c r="BC29" s="1">
        <f t="shared" si="9"/>
        <v>4</v>
      </c>
      <c r="BD29" s="10">
        <v>2</v>
      </c>
      <c r="BE29" s="1">
        <f t="shared" si="162"/>
        <v>8</v>
      </c>
      <c r="BF29" s="14">
        <v>72.849999999999994</v>
      </c>
      <c r="BG29" s="10" t="str">
        <f t="shared" si="163"/>
        <v>B</v>
      </c>
      <c r="BH29" s="1">
        <f t="shared" si="10"/>
        <v>3</v>
      </c>
      <c r="BI29" s="10">
        <v>3</v>
      </c>
      <c r="BJ29" s="1">
        <f t="shared" si="164"/>
        <v>9</v>
      </c>
      <c r="BK29" s="14">
        <v>82.75</v>
      </c>
      <c r="BL29" s="10" t="str">
        <f t="shared" si="165"/>
        <v>A</v>
      </c>
      <c r="BM29" s="1">
        <f t="shared" si="11"/>
        <v>4</v>
      </c>
      <c r="BN29" s="10">
        <v>2</v>
      </c>
      <c r="BO29" s="1">
        <f t="shared" si="166"/>
        <v>8</v>
      </c>
      <c r="BP29" s="12">
        <v>85.05</v>
      </c>
      <c r="BQ29" s="10" t="str">
        <f t="shared" si="167"/>
        <v>A</v>
      </c>
      <c r="BR29" s="1">
        <f t="shared" si="12"/>
        <v>4</v>
      </c>
      <c r="BS29" s="10">
        <v>2</v>
      </c>
      <c r="BT29" s="1">
        <f t="shared" si="168"/>
        <v>8</v>
      </c>
      <c r="BU29" s="12">
        <v>70.8</v>
      </c>
      <c r="BV29" s="10" t="str">
        <f t="shared" si="169"/>
        <v>B</v>
      </c>
      <c r="BW29" s="1">
        <f t="shared" si="13"/>
        <v>3</v>
      </c>
      <c r="BX29" s="10">
        <v>3</v>
      </c>
      <c r="BY29" s="1">
        <f t="shared" si="170"/>
        <v>9</v>
      </c>
      <c r="BZ29" s="15">
        <v>77.016666666666666</v>
      </c>
      <c r="CA29" s="10" t="str">
        <f t="shared" si="171"/>
        <v>B+</v>
      </c>
      <c r="CB29" s="1">
        <f t="shared" si="14"/>
        <v>3.5</v>
      </c>
      <c r="CC29" s="10">
        <v>2</v>
      </c>
      <c r="CD29" s="1">
        <f t="shared" si="172"/>
        <v>7</v>
      </c>
      <c r="CE29" s="19">
        <v>79.349999999999994</v>
      </c>
      <c r="CF29" s="10" t="str">
        <f t="shared" si="72"/>
        <v>B+</v>
      </c>
      <c r="CG29" s="1">
        <f t="shared" si="15"/>
        <v>3.5</v>
      </c>
      <c r="CH29" s="10">
        <v>4</v>
      </c>
      <c r="CI29" s="1">
        <f t="shared" si="73"/>
        <v>14</v>
      </c>
      <c r="CJ29" s="19">
        <v>80.599999999999994</v>
      </c>
      <c r="CK29" s="10" t="str">
        <f t="shared" si="74"/>
        <v>A</v>
      </c>
      <c r="CL29" s="1">
        <f t="shared" si="16"/>
        <v>4</v>
      </c>
      <c r="CM29" s="10">
        <v>4</v>
      </c>
      <c r="CN29" s="1">
        <f t="shared" si="75"/>
        <v>16</v>
      </c>
      <c r="CO29" s="19">
        <v>77.5</v>
      </c>
      <c r="CP29" s="10" t="str">
        <f t="shared" si="76"/>
        <v>B+</v>
      </c>
      <c r="CQ29" s="1">
        <f t="shared" si="17"/>
        <v>3.5</v>
      </c>
      <c r="CR29" s="10">
        <v>3</v>
      </c>
      <c r="CS29" s="1">
        <f t="shared" si="77"/>
        <v>10.5</v>
      </c>
      <c r="CT29" s="17">
        <v>76.518285714285724</v>
      </c>
      <c r="CU29" s="10" t="str">
        <f t="shared" si="78"/>
        <v>B+</v>
      </c>
      <c r="CV29" s="1">
        <f t="shared" si="18"/>
        <v>3.5</v>
      </c>
      <c r="CW29" s="10">
        <v>2</v>
      </c>
      <c r="CX29" s="1">
        <f t="shared" si="79"/>
        <v>7</v>
      </c>
      <c r="CY29" s="18">
        <v>73.900000000000006</v>
      </c>
      <c r="CZ29" s="10" t="str">
        <f t="shared" si="80"/>
        <v>B</v>
      </c>
      <c r="DA29" s="1">
        <f t="shared" si="19"/>
        <v>3</v>
      </c>
      <c r="DB29" s="10">
        <v>2</v>
      </c>
      <c r="DC29" s="1">
        <f t="shared" si="81"/>
        <v>6</v>
      </c>
      <c r="DD29" s="19">
        <v>86.2</v>
      </c>
      <c r="DE29" s="10" t="str">
        <f t="shared" si="82"/>
        <v>A</v>
      </c>
      <c r="DF29" s="1">
        <f t="shared" si="20"/>
        <v>4</v>
      </c>
      <c r="DG29" s="10">
        <v>2</v>
      </c>
      <c r="DH29" s="1">
        <f t="shared" si="83"/>
        <v>8</v>
      </c>
      <c r="DI29" s="5">
        <v>87.5</v>
      </c>
      <c r="DJ29" s="10" t="str">
        <f t="shared" si="84"/>
        <v>A</v>
      </c>
      <c r="DK29" s="1">
        <f t="shared" si="21"/>
        <v>4</v>
      </c>
      <c r="DL29" s="10">
        <v>2</v>
      </c>
      <c r="DM29" s="1">
        <f t="shared" si="85"/>
        <v>8</v>
      </c>
      <c r="DN29" s="20">
        <v>76</v>
      </c>
      <c r="DO29" s="10" t="str">
        <f t="shared" si="86"/>
        <v>B+</v>
      </c>
      <c r="DP29" s="1">
        <f t="shared" si="22"/>
        <v>3.5</v>
      </c>
      <c r="DQ29" s="10">
        <v>2</v>
      </c>
      <c r="DR29" s="1">
        <f t="shared" si="87"/>
        <v>7</v>
      </c>
      <c r="DS29" s="19">
        <v>82.199999999999989</v>
      </c>
      <c r="DT29" s="10" t="str">
        <f t="shared" si="88"/>
        <v>A</v>
      </c>
      <c r="DU29" s="1">
        <f t="shared" si="23"/>
        <v>4</v>
      </c>
      <c r="DV29" s="10">
        <v>4</v>
      </c>
      <c r="DW29" s="1">
        <f t="shared" si="89"/>
        <v>16</v>
      </c>
      <c r="DX29" s="19">
        <v>90.35</v>
      </c>
      <c r="DY29" s="10" t="str">
        <f t="shared" si="90"/>
        <v>A</v>
      </c>
      <c r="DZ29" s="1">
        <f t="shared" si="24"/>
        <v>4</v>
      </c>
      <c r="EA29" s="10">
        <v>3</v>
      </c>
      <c r="EB29" s="1">
        <f t="shared" si="91"/>
        <v>12</v>
      </c>
      <c r="EC29" s="19">
        <v>76.199999999999989</v>
      </c>
      <c r="ED29" s="10" t="str">
        <f t="shared" si="92"/>
        <v>B+</v>
      </c>
      <c r="EE29" s="1">
        <f t="shared" si="25"/>
        <v>3.5</v>
      </c>
      <c r="EF29" s="10">
        <v>3</v>
      </c>
      <c r="EG29" s="1">
        <f t="shared" si="93"/>
        <v>10.5</v>
      </c>
      <c r="EH29" s="6">
        <v>79.400000000000006</v>
      </c>
      <c r="EI29" s="10" t="str">
        <f t="shared" si="94"/>
        <v>B+</v>
      </c>
      <c r="EJ29" s="1">
        <f t="shared" si="26"/>
        <v>3.5</v>
      </c>
      <c r="EK29" s="10">
        <v>3</v>
      </c>
      <c r="EL29" s="1">
        <f t="shared" si="95"/>
        <v>10.5</v>
      </c>
      <c r="EM29" s="18">
        <v>76.305911111111115</v>
      </c>
      <c r="EN29" s="10" t="str">
        <f t="shared" si="96"/>
        <v>B+</v>
      </c>
      <c r="EO29" s="1">
        <f t="shared" si="27"/>
        <v>3.5</v>
      </c>
      <c r="EP29" s="10">
        <v>3</v>
      </c>
      <c r="EQ29" s="1">
        <f t="shared" si="97"/>
        <v>10.5</v>
      </c>
      <c r="ER29" s="7">
        <v>77.099999999999994</v>
      </c>
      <c r="ES29" s="10" t="str">
        <f t="shared" si="98"/>
        <v>B+</v>
      </c>
      <c r="ET29" s="1">
        <f t="shared" si="28"/>
        <v>3.5</v>
      </c>
      <c r="EU29" s="10">
        <v>2</v>
      </c>
      <c r="EV29" s="1">
        <f t="shared" si="99"/>
        <v>7</v>
      </c>
      <c r="EW29" s="5">
        <v>72</v>
      </c>
      <c r="EX29" s="10" t="str">
        <f t="shared" si="100"/>
        <v>B</v>
      </c>
      <c r="EY29" s="1">
        <f t="shared" si="29"/>
        <v>3</v>
      </c>
      <c r="EZ29" s="10">
        <v>3</v>
      </c>
      <c r="FA29" s="1">
        <f t="shared" si="101"/>
        <v>9</v>
      </c>
      <c r="FB29" s="19">
        <v>76</v>
      </c>
      <c r="FC29" s="10" t="str">
        <f t="shared" si="102"/>
        <v>B+</v>
      </c>
      <c r="FD29" s="1">
        <f t="shared" si="30"/>
        <v>3.5</v>
      </c>
      <c r="FE29" s="10">
        <v>2</v>
      </c>
      <c r="FF29" s="1">
        <f t="shared" si="103"/>
        <v>7</v>
      </c>
      <c r="FG29" s="19">
        <v>71.5</v>
      </c>
      <c r="FH29" s="10" t="str">
        <f t="shared" si="104"/>
        <v>B</v>
      </c>
      <c r="FI29" s="1">
        <f t="shared" si="31"/>
        <v>3</v>
      </c>
      <c r="FJ29" s="10">
        <v>3</v>
      </c>
      <c r="FK29" s="1">
        <f t="shared" si="105"/>
        <v>9</v>
      </c>
      <c r="FL29" s="19">
        <v>79.333333333333329</v>
      </c>
      <c r="FM29" s="10" t="str">
        <f t="shared" si="106"/>
        <v>B+</v>
      </c>
      <c r="FN29" s="1">
        <f t="shared" si="32"/>
        <v>3.5</v>
      </c>
      <c r="FO29" s="10">
        <v>3</v>
      </c>
      <c r="FP29" s="1">
        <f t="shared" si="107"/>
        <v>10.5</v>
      </c>
      <c r="FQ29" s="6">
        <v>76.69</v>
      </c>
      <c r="FR29" s="10" t="str">
        <f t="shared" si="108"/>
        <v>B+</v>
      </c>
      <c r="FS29" s="1">
        <f t="shared" si="109"/>
        <v>3.5</v>
      </c>
      <c r="FT29" s="10">
        <v>3</v>
      </c>
      <c r="FU29" s="1">
        <f t="shared" si="110"/>
        <v>10.5</v>
      </c>
      <c r="FV29" s="18">
        <v>80.099999999999994</v>
      </c>
      <c r="FW29" s="10" t="str">
        <f t="shared" si="111"/>
        <v>A</v>
      </c>
      <c r="FX29" s="1">
        <f t="shared" si="33"/>
        <v>4</v>
      </c>
      <c r="FY29" s="10">
        <v>3</v>
      </c>
      <c r="FZ29" s="1">
        <f t="shared" si="112"/>
        <v>12</v>
      </c>
      <c r="GA29" s="7">
        <v>73.2</v>
      </c>
      <c r="GB29" s="10" t="str">
        <f t="shared" si="113"/>
        <v>B</v>
      </c>
      <c r="GC29" s="1">
        <f t="shared" si="34"/>
        <v>3</v>
      </c>
      <c r="GD29" s="10">
        <v>2</v>
      </c>
      <c r="GE29" s="1">
        <f t="shared" si="114"/>
        <v>6</v>
      </c>
      <c r="GF29" s="5">
        <v>78.5</v>
      </c>
      <c r="GG29" s="10" t="str">
        <f t="shared" si="115"/>
        <v>B+</v>
      </c>
      <c r="GH29" s="1">
        <f t="shared" si="35"/>
        <v>3.5</v>
      </c>
      <c r="GI29" s="10">
        <v>3</v>
      </c>
      <c r="GJ29" s="1">
        <f t="shared" si="116"/>
        <v>10.5</v>
      </c>
      <c r="GK29" s="5">
        <v>72.8</v>
      </c>
      <c r="GL29" s="10" t="str">
        <f t="shared" si="117"/>
        <v>B</v>
      </c>
      <c r="GM29" s="1">
        <f t="shared" si="36"/>
        <v>3</v>
      </c>
      <c r="GN29" s="10">
        <v>2</v>
      </c>
      <c r="GO29" s="1">
        <f t="shared" si="118"/>
        <v>6</v>
      </c>
      <c r="GP29" s="19">
        <v>73</v>
      </c>
      <c r="GQ29" s="10" t="str">
        <f t="shared" si="119"/>
        <v>B</v>
      </c>
      <c r="GR29" s="1">
        <f t="shared" si="37"/>
        <v>3</v>
      </c>
      <c r="GS29" s="10">
        <v>3</v>
      </c>
      <c r="GT29" s="1">
        <f t="shared" si="120"/>
        <v>9</v>
      </c>
      <c r="GU29" s="19">
        <v>75.320000000000007</v>
      </c>
      <c r="GV29" s="10" t="str">
        <f t="shared" si="121"/>
        <v>B+</v>
      </c>
      <c r="GW29" s="1">
        <f t="shared" si="38"/>
        <v>3.5</v>
      </c>
      <c r="GX29" s="10">
        <v>4</v>
      </c>
      <c r="GY29" s="1">
        <f t="shared" si="122"/>
        <v>14</v>
      </c>
      <c r="GZ29" s="7">
        <v>74.25</v>
      </c>
      <c r="HA29" s="10" t="str">
        <f t="shared" si="123"/>
        <v>B</v>
      </c>
      <c r="HB29" s="1">
        <f t="shared" si="124"/>
        <v>3</v>
      </c>
      <c r="HC29" s="10">
        <v>4</v>
      </c>
      <c r="HD29" s="1">
        <f t="shared" si="125"/>
        <v>12</v>
      </c>
      <c r="HE29" s="6">
        <v>78.224999999999994</v>
      </c>
      <c r="HF29" s="10" t="str">
        <f t="shared" si="126"/>
        <v>B+</v>
      </c>
      <c r="HG29" s="1">
        <f t="shared" si="39"/>
        <v>3.5</v>
      </c>
      <c r="HH29" s="10">
        <v>2</v>
      </c>
      <c r="HI29" s="1">
        <f t="shared" si="127"/>
        <v>7</v>
      </c>
      <c r="HJ29" s="18">
        <v>78.800000000000011</v>
      </c>
      <c r="HK29" s="10" t="str">
        <f t="shared" si="128"/>
        <v>B+</v>
      </c>
      <c r="HL29" s="1">
        <f t="shared" si="40"/>
        <v>3.5</v>
      </c>
      <c r="HM29" s="10">
        <v>3</v>
      </c>
      <c r="HN29" s="1">
        <f t="shared" si="129"/>
        <v>10.5</v>
      </c>
      <c r="HO29" s="12">
        <v>77.174999999999997</v>
      </c>
      <c r="HP29" s="10" t="str">
        <f t="shared" si="130"/>
        <v>B+</v>
      </c>
      <c r="HQ29" s="1">
        <f t="shared" si="41"/>
        <v>3.5</v>
      </c>
      <c r="HR29" s="10">
        <v>3</v>
      </c>
      <c r="HS29" s="1">
        <f t="shared" si="131"/>
        <v>10.5</v>
      </c>
      <c r="HT29" s="10">
        <v>78.2</v>
      </c>
      <c r="HU29" s="10" t="str">
        <f t="shared" si="132"/>
        <v>B+</v>
      </c>
      <c r="HV29" s="1">
        <f t="shared" si="133"/>
        <v>3.5</v>
      </c>
      <c r="HW29" s="10">
        <v>4</v>
      </c>
      <c r="HX29" s="1">
        <f t="shared" si="134"/>
        <v>14</v>
      </c>
      <c r="HY29" s="19">
        <v>77.75</v>
      </c>
      <c r="HZ29" s="10" t="str">
        <f t="shared" si="135"/>
        <v>B+</v>
      </c>
      <c r="IA29" s="1">
        <f t="shared" si="136"/>
        <v>3.5</v>
      </c>
      <c r="IB29" s="10">
        <v>2</v>
      </c>
      <c r="IC29" s="1">
        <f t="shared" si="137"/>
        <v>7</v>
      </c>
      <c r="ID29" s="7">
        <v>78</v>
      </c>
      <c r="IE29" s="10" t="str">
        <f t="shared" si="138"/>
        <v>B+</v>
      </c>
      <c r="IF29" s="1">
        <f t="shared" si="139"/>
        <v>3.5</v>
      </c>
      <c r="IG29" s="10">
        <v>3</v>
      </c>
      <c r="IH29" s="1">
        <f t="shared" si="140"/>
        <v>10.5</v>
      </c>
      <c r="II29" s="6">
        <v>78.2</v>
      </c>
      <c r="IJ29" s="10" t="str">
        <f t="shared" si="141"/>
        <v>B+</v>
      </c>
      <c r="IK29" s="1">
        <f t="shared" si="142"/>
        <v>3.5</v>
      </c>
      <c r="IL29" s="10">
        <v>2</v>
      </c>
      <c r="IM29" s="1">
        <f t="shared" si="143"/>
        <v>7</v>
      </c>
      <c r="IN29" s="18">
        <v>74.55</v>
      </c>
      <c r="IO29" s="10" t="str">
        <f t="shared" si="144"/>
        <v>B</v>
      </c>
      <c r="IP29" s="1">
        <f t="shared" si="145"/>
        <v>3</v>
      </c>
      <c r="IQ29" s="10">
        <v>2</v>
      </c>
      <c r="IR29" s="1">
        <f t="shared" si="146"/>
        <v>6</v>
      </c>
      <c r="IS29" s="10">
        <v>76.2</v>
      </c>
      <c r="IT29" s="10" t="str">
        <f t="shared" si="147"/>
        <v>B+</v>
      </c>
      <c r="IU29" s="1">
        <f t="shared" si="148"/>
        <v>3.5</v>
      </c>
      <c r="IV29" s="10">
        <v>4</v>
      </c>
      <c r="IW29" s="1">
        <f t="shared" si="149"/>
        <v>14</v>
      </c>
      <c r="IX29" s="10">
        <v>79</v>
      </c>
      <c r="IY29" s="10" t="str">
        <f t="shared" si="150"/>
        <v>B+</v>
      </c>
      <c r="IZ29" s="1">
        <f t="shared" si="151"/>
        <v>3.5</v>
      </c>
      <c r="JA29" s="10">
        <v>4</v>
      </c>
      <c r="JB29" s="1">
        <f t="shared" si="152"/>
        <v>14</v>
      </c>
      <c r="JC29" s="2">
        <v>74</v>
      </c>
      <c r="JD29" s="2">
        <v>22</v>
      </c>
      <c r="JE29" s="2">
        <v>68</v>
      </c>
      <c r="JF29" s="2">
        <v>19</v>
      </c>
      <c r="JG29" s="2">
        <v>76.5</v>
      </c>
      <c r="JH29" s="2">
        <v>21</v>
      </c>
      <c r="JI29" s="2">
        <v>75.5</v>
      </c>
      <c r="JJ29" s="2">
        <v>21</v>
      </c>
      <c r="JK29" s="2">
        <v>71.5</v>
      </c>
      <c r="JL29" s="2">
        <v>21</v>
      </c>
      <c r="JM29" s="2">
        <v>63</v>
      </c>
      <c r="JN29" s="2">
        <v>19</v>
      </c>
      <c r="JO29" s="2">
        <v>58.5</v>
      </c>
      <c r="JP29" s="2">
        <v>17</v>
      </c>
      <c r="JQ29" s="2">
        <v>14</v>
      </c>
      <c r="JR29" s="2">
        <v>4</v>
      </c>
      <c r="JS29" s="2">
        <f t="shared" si="153"/>
        <v>501</v>
      </c>
      <c r="JT29" s="2">
        <f t="shared" si="153"/>
        <v>144</v>
      </c>
      <c r="JU29" s="3">
        <f t="shared" si="154"/>
        <v>3.4791666666666665</v>
      </c>
      <c r="JV29" s="2" t="str">
        <f t="shared" si="155"/>
        <v>Sangat Memuaskan</v>
      </c>
      <c r="JW29" s="2" t="str">
        <f t="shared" si="156"/>
        <v>Highly Satisfactory</v>
      </c>
      <c r="JX29" s="23" t="s">
        <v>200</v>
      </c>
      <c r="JY29" s="23" t="s">
        <v>281</v>
      </c>
    </row>
    <row r="30" spans="1:285" x14ac:dyDescent="0.25">
      <c r="A30" s="55">
        <v>28</v>
      </c>
      <c r="B30" s="40" t="s">
        <v>56</v>
      </c>
      <c r="C30" s="2">
        <v>152111044</v>
      </c>
      <c r="D30" s="10" t="s">
        <v>169</v>
      </c>
      <c r="E30" s="24" t="s">
        <v>170</v>
      </c>
      <c r="F30" s="27" t="s">
        <v>220</v>
      </c>
      <c r="G30" s="2" t="s">
        <v>254</v>
      </c>
      <c r="H30" s="10">
        <v>76.7</v>
      </c>
      <c r="I30" s="10" t="s">
        <v>39</v>
      </c>
      <c r="J30" s="10">
        <v>3.5</v>
      </c>
      <c r="K30" s="10">
        <v>2</v>
      </c>
      <c r="L30" s="10">
        <v>7</v>
      </c>
      <c r="M30" s="10">
        <v>73.25</v>
      </c>
      <c r="N30" s="10" t="s">
        <v>40</v>
      </c>
      <c r="O30" s="10">
        <v>3</v>
      </c>
      <c r="P30" s="10">
        <v>3</v>
      </c>
      <c r="Q30" s="10">
        <v>9</v>
      </c>
      <c r="R30" s="10">
        <v>74.349999999999994</v>
      </c>
      <c r="S30" s="10" t="s">
        <v>40</v>
      </c>
      <c r="T30" s="10">
        <v>3</v>
      </c>
      <c r="U30" s="10">
        <v>4</v>
      </c>
      <c r="V30" s="10">
        <v>12</v>
      </c>
      <c r="W30" s="10">
        <v>77.05</v>
      </c>
      <c r="X30" s="10" t="s">
        <v>39</v>
      </c>
      <c r="Y30" s="10">
        <v>3.5</v>
      </c>
      <c r="Z30" s="10">
        <v>2</v>
      </c>
      <c r="AA30" s="10">
        <v>7</v>
      </c>
      <c r="AB30" s="10">
        <v>64.75</v>
      </c>
      <c r="AC30" s="10" t="s">
        <v>47</v>
      </c>
      <c r="AD30" s="10">
        <v>2</v>
      </c>
      <c r="AE30" s="10">
        <v>4</v>
      </c>
      <c r="AF30" s="10">
        <v>8</v>
      </c>
      <c r="AG30" s="10">
        <v>72.95</v>
      </c>
      <c r="AH30" s="10" t="s">
        <v>40</v>
      </c>
      <c r="AI30" s="10">
        <v>3</v>
      </c>
      <c r="AJ30" s="10">
        <v>4</v>
      </c>
      <c r="AK30" s="10">
        <v>12</v>
      </c>
      <c r="AL30" s="10">
        <v>76.699999999999989</v>
      </c>
      <c r="AM30" s="10" t="s">
        <v>39</v>
      </c>
      <c r="AN30" s="10">
        <v>3.5</v>
      </c>
      <c r="AO30" s="10">
        <v>3</v>
      </c>
      <c r="AP30" s="10">
        <v>10.5</v>
      </c>
      <c r="AQ30" s="9">
        <v>74.400000000000006</v>
      </c>
      <c r="AR30" s="10" t="str">
        <f t="shared" si="157"/>
        <v>B</v>
      </c>
      <c r="AS30" s="1">
        <f t="shared" si="7"/>
        <v>3</v>
      </c>
      <c r="AT30" s="10">
        <v>3</v>
      </c>
      <c r="AU30" s="1">
        <f t="shared" si="158"/>
        <v>9</v>
      </c>
      <c r="AV30" s="11">
        <v>70</v>
      </c>
      <c r="AW30" s="10" t="str">
        <f t="shared" si="159"/>
        <v>B</v>
      </c>
      <c r="AX30" s="1">
        <f t="shared" si="8"/>
        <v>3</v>
      </c>
      <c r="AY30" s="10">
        <v>2</v>
      </c>
      <c r="AZ30" s="1">
        <f t="shared" si="160"/>
        <v>6</v>
      </c>
      <c r="BA30" s="15">
        <v>80.349999999999994</v>
      </c>
      <c r="BB30" s="10" t="str">
        <f t="shared" si="161"/>
        <v>A</v>
      </c>
      <c r="BC30" s="1">
        <f t="shared" si="9"/>
        <v>4</v>
      </c>
      <c r="BD30" s="10">
        <v>2</v>
      </c>
      <c r="BE30" s="1">
        <f t="shared" si="162"/>
        <v>8</v>
      </c>
      <c r="BF30" s="14">
        <v>70.650000000000006</v>
      </c>
      <c r="BG30" s="10" t="str">
        <f t="shared" si="163"/>
        <v>B</v>
      </c>
      <c r="BH30" s="1">
        <f t="shared" si="10"/>
        <v>3</v>
      </c>
      <c r="BI30" s="10">
        <v>3</v>
      </c>
      <c r="BJ30" s="1">
        <f t="shared" si="164"/>
        <v>9</v>
      </c>
      <c r="BK30" s="14">
        <v>66.25</v>
      </c>
      <c r="BL30" s="10" t="str">
        <f t="shared" si="165"/>
        <v>C+</v>
      </c>
      <c r="BM30" s="1">
        <f t="shared" si="11"/>
        <v>2.5</v>
      </c>
      <c r="BN30" s="10">
        <v>2</v>
      </c>
      <c r="BO30" s="1">
        <f t="shared" si="166"/>
        <v>5</v>
      </c>
      <c r="BP30" s="12">
        <v>67.55</v>
      </c>
      <c r="BQ30" s="10" t="str">
        <f t="shared" si="167"/>
        <v>C+</v>
      </c>
      <c r="BR30" s="1">
        <f t="shared" si="12"/>
        <v>2.5</v>
      </c>
      <c r="BS30" s="10">
        <v>2</v>
      </c>
      <c r="BT30" s="1">
        <f t="shared" si="168"/>
        <v>5</v>
      </c>
      <c r="BU30" s="12">
        <v>70.05</v>
      </c>
      <c r="BV30" s="10" t="str">
        <f t="shared" si="169"/>
        <v>B</v>
      </c>
      <c r="BW30" s="1">
        <f t="shared" si="13"/>
        <v>3</v>
      </c>
      <c r="BX30" s="10">
        <v>3</v>
      </c>
      <c r="BY30" s="1">
        <f t="shared" si="170"/>
        <v>9</v>
      </c>
      <c r="BZ30" s="15">
        <v>72.433333333333337</v>
      </c>
      <c r="CA30" s="10" t="str">
        <f t="shared" si="171"/>
        <v>B</v>
      </c>
      <c r="CB30" s="1">
        <f t="shared" si="14"/>
        <v>3</v>
      </c>
      <c r="CC30" s="10">
        <v>2</v>
      </c>
      <c r="CD30" s="1">
        <f t="shared" si="172"/>
        <v>6</v>
      </c>
      <c r="CE30" s="19">
        <v>79.95</v>
      </c>
      <c r="CF30" s="10" t="str">
        <f t="shared" si="72"/>
        <v>B+</v>
      </c>
      <c r="CG30" s="1">
        <f t="shared" si="15"/>
        <v>3.5</v>
      </c>
      <c r="CH30" s="10">
        <v>4</v>
      </c>
      <c r="CI30" s="1">
        <f t="shared" si="73"/>
        <v>14</v>
      </c>
      <c r="CJ30" s="19">
        <v>76.05</v>
      </c>
      <c r="CK30" s="10" t="str">
        <f t="shared" si="74"/>
        <v>B+</v>
      </c>
      <c r="CL30" s="1">
        <f t="shared" si="16"/>
        <v>3.5</v>
      </c>
      <c r="CM30" s="10">
        <v>4</v>
      </c>
      <c r="CN30" s="1">
        <f t="shared" si="75"/>
        <v>14</v>
      </c>
      <c r="CO30" s="19">
        <v>76.075000000000003</v>
      </c>
      <c r="CP30" s="10" t="str">
        <f t="shared" si="76"/>
        <v>B+</v>
      </c>
      <c r="CQ30" s="1">
        <f t="shared" si="17"/>
        <v>3.5</v>
      </c>
      <c r="CR30" s="10">
        <v>3</v>
      </c>
      <c r="CS30" s="1">
        <f t="shared" si="77"/>
        <v>10.5</v>
      </c>
      <c r="CT30" s="17">
        <v>73.627714285714291</v>
      </c>
      <c r="CU30" s="10" t="str">
        <f t="shared" si="78"/>
        <v>B</v>
      </c>
      <c r="CV30" s="1">
        <f t="shared" si="18"/>
        <v>3</v>
      </c>
      <c r="CW30" s="10">
        <v>2</v>
      </c>
      <c r="CX30" s="1">
        <f t="shared" si="79"/>
        <v>6</v>
      </c>
      <c r="CY30" s="18">
        <v>73.675000000000011</v>
      </c>
      <c r="CZ30" s="10" t="str">
        <f t="shared" si="80"/>
        <v>B</v>
      </c>
      <c r="DA30" s="1">
        <f t="shared" si="19"/>
        <v>3</v>
      </c>
      <c r="DB30" s="10">
        <v>2</v>
      </c>
      <c r="DC30" s="1">
        <f t="shared" si="81"/>
        <v>6</v>
      </c>
      <c r="DD30" s="19">
        <v>85.25</v>
      </c>
      <c r="DE30" s="10" t="str">
        <f t="shared" si="82"/>
        <v>A</v>
      </c>
      <c r="DF30" s="1">
        <f t="shared" si="20"/>
        <v>4</v>
      </c>
      <c r="DG30" s="10">
        <v>2</v>
      </c>
      <c r="DH30" s="1">
        <f t="shared" si="83"/>
        <v>8</v>
      </c>
      <c r="DI30" s="5">
        <v>73.75</v>
      </c>
      <c r="DJ30" s="10" t="str">
        <f t="shared" si="84"/>
        <v>B</v>
      </c>
      <c r="DK30" s="1">
        <f t="shared" si="21"/>
        <v>3</v>
      </c>
      <c r="DL30" s="10">
        <v>2</v>
      </c>
      <c r="DM30" s="1">
        <f t="shared" si="85"/>
        <v>6</v>
      </c>
      <c r="DN30" s="20">
        <v>74</v>
      </c>
      <c r="DO30" s="10" t="str">
        <f t="shared" si="86"/>
        <v>B</v>
      </c>
      <c r="DP30" s="1">
        <f t="shared" si="22"/>
        <v>3</v>
      </c>
      <c r="DQ30" s="10">
        <v>2</v>
      </c>
      <c r="DR30" s="1">
        <f t="shared" si="87"/>
        <v>6</v>
      </c>
      <c r="DS30" s="19">
        <v>70</v>
      </c>
      <c r="DT30" s="10" t="str">
        <f t="shared" si="88"/>
        <v>B</v>
      </c>
      <c r="DU30" s="1">
        <f t="shared" si="23"/>
        <v>3</v>
      </c>
      <c r="DV30" s="10">
        <v>4</v>
      </c>
      <c r="DW30" s="1">
        <f t="shared" si="89"/>
        <v>12</v>
      </c>
      <c r="DX30" s="19">
        <v>79.650000000000006</v>
      </c>
      <c r="DY30" s="10" t="str">
        <f t="shared" si="90"/>
        <v>B+</v>
      </c>
      <c r="DZ30" s="1">
        <f t="shared" si="24"/>
        <v>3.5</v>
      </c>
      <c r="EA30" s="10">
        <v>3</v>
      </c>
      <c r="EB30" s="1">
        <f t="shared" si="91"/>
        <v>10.5</v>
      </c>
      <c r="EC30" s="19">
        <v>73.8</v>
      </c>
      <c r="ED30" s="10" t="str">
        <f t="shared" si="92"/>
        <v>B</v>
      </c>
      <c r="EE30" s="1">
        <f t="shared" si="25"/>
        <v>3</v>
      </c>
      <c r="EF30" s="10">
        <v>3</v>
      </c>
      <c r="EG30" s="1">
        <f t="shared" si="93"/>
        <v>9</v>
      </c>
      <c r="EH30" s="6">
        <v>80.2</v>
      </c>
      <c r="EI30" s="10" t="str">
        <f t="shared" si="94"/>
        <v>A</v>
      </c>
      <c r="EJ30" s="1">
        <f t="shared" si="26"/>
        <v>4</v>
      </c>
      <c r="EK30" s="10">
        <v>3</v>
      </c>
      <c r="EL30" s="1">
        <f t="shared" si="95"/>
        <v>12</v>
      </c>
      <c r="EM30" s="18">
        <v>72.879866666666658</v>
      </c>
      <c r="EN30" s="10" t="str">
        <f t="shared" si="96"/>
        <v>B</v>
      </c>
      <c r="EO30" s="1">
        <f t="shared" si="27"/>
        <v>3</v>
      </c>
      <c r="EP30" s="10">
        <v>3</v>
      </c>
      <c r="EQ30" s="1">
        <f t="shared" si="97"/>
        <v>9</v>
      </c>
      <c r="ER30" s="7">
        <v>79</v>
      </c>
      <c r="ES30" s="10" t="str">
        <f t="shared" si="98"/>
        <v>B+</v>
      </c>
      <c r="ET30" s="1">
        <f t="shared" si="28"/>
        <v>3.5</v>
      </c>
      <c r="EU30" s="10">
        <v>2</v>
      </c>
      <c r="EV30" s="1">
        <f t="shared" si="99"/>
        <v>7</v>
      </c>
      <c r="EW30" s="5">
        <v>80</v>
      </c>
      <c r="EX30" s="10" t="str">
        <f t="shared" si="100"/>
        <v>A</v>
      </c>
      <c r="EY30" s="1">
        <f t="shared" si="29"/>
        <v>4</v>
      </c>
      <c r="EZ30" s="10">
        <v>3</v>
      </c>
      <c r="FA30" s="1">
        <f t="shared" si="101"/>
        <v>12</v>
      </c>
      <c r="FB30" s="19">
        <v>75</v>
      </c>
      <c r="FC30" s="10" t="str">
        <f t="shared" si="102"/>
        <v>B+</v>
      </c>
      <c r="FD30" s="1">
        <f t="shared" si="30"/>
        <v>3.5</v>
      </c>
      <c r="FE30" s="10">
        <v>2</v>
      </c>
      <c r="FF30" s="1">
        <f t="shared" si="103"/>
        <v>7</v>
      </c>
      <c r="FG30" s="19">
        <v>76</v>
      </c>
      <c r="FH30" s="10" t="str">
        <f t="shared" si="104"/>
        <v>B+</v>
      </c>
      <c r="FI30" s="1">
        <f t="shared" si="31"/>
        <v>3.5</v>
      </c>
      <c r="FJ30" s="10">
        <v>3</v>
      </c>
      <c r="FK30" s="1">
        <f t="shared" si="105"/>
        <v>10.5</v>
      </c>
      <c r="FL30" s="19">
        <v>78.133333333333326</v>
      </c>
      <c r="FM30" s="10" t="str">
        <f t="shared" si="106"/>
        <v>B+</v>
      </c>
      <c r="FN30" s="1">
        <f t="shared" si="32"/>
        <v>3.5</v>
      </c>
      <c r="FO30" s="10">
        <v>3</v>
      </c>
      <c r="FP30" s="1">
        <f t="shared" si="107"/>
        <v>10.5</v>
      </c>
      <c r="FQ30" s="6">
        <v>76.33</v>
      </c>
      <c r="FR30" s="10" t="str">
        <f t="shared" si="108"/>
        <v>B+</v>
      </c>
      <c r="FS30" s="1">
        <f t="shared" si="109"/>
        <v>3.5</v>
      </c>
      <c r="FT30" s="10">
        <v>3</v>
      </c>
      <c r="FU30" s="1">
        <f t="shared" si="110"/>
        <v>10.5</v>
      </c>
      <c r="FV30" s="18">
        <v>78.099999999999994</v>
      </c>
      <c r="FW30" s="10" t="str">
        <f t="shared" si="111"/>
        <v>B+</v>
      </c>
      <c r="FX30" s="1">
        <f t="shared" si="33"/>
        <v>3.5</v>
      </c>
      <c r="FY30" s="10">
        <v>3</v>
      </c>
      <c r="FZ30" s="1">
        <f t="shared" si="112"/>
        <v>10.5</v>
      </c>
      <c r="GA30" s="7">
        <v>76.400000000000006</v>
      </c>
      <c r="GB30" s="10" t="str">
        <f t="shared" si="113"/>
        <v>B+</v>
      </c>
      <c r="GC30" s="1">
        <f t="shared" si="34"/>
        <v>3.5</v>
      </c>
      <c r="GD30" s="10">
        <v>2</v>
      </c>
      <c r="GE30" s="1">
        <f t="shared" si="114"/>
        <v>7</v>
      </c>
      <c r="GF30" s="5">
        <v>79</v>
      </c>
      <c r="GG30" s="10" t="str">
        <f t="shared" si="115"/>
        <v>B+</v>
      </c>
      <c r="GH30" s="1">
        <f t="shared" si="35"/>
        <v>3.5</v>
      </c>
      <c r="GI30" s="10">
        <v>3</v>
      </c>
      <c r="GJ30" s="1">
        <f t="shared" si="116"/>
        <v>10.5</v>
      </c>
      <c r="GK30" s="5">
        <v>73.900000000000006</v>
      </c>
      <c r="GL30" s="10" t="str">
        <f t="shared" si="117"/>
        <v>B</v>
      </c>
      <c r="GM30" s="1">
        <f t="shared" si="36"/>
        <v>3</v>
      </c>
      <c r="GN30" s="10">
        <v>2</v>
      </c>
      <c r="GO30" s="1">
        <f t="shared" si="118"/>
        <v>6</v>
      </c>
      <c r="GP30" s="19">
        <v>77.637500000000003</v>
      </c>
      <c r="GQ30" s="10" t="str">
        <f t="shared" si="119"/>
        <v>B+</v>
      </c>
      <c r="GR30" s="1">
        <f t="shared" si="37"/>
        <v>3.5</v>
      </c>
      <c r="GS30" s="10">
        <v>3</v>
      </c>
      <c r="GT30" s="1">
        <f t="shared" si="120"/>
        <v>10.5</v>
      </c>
      <c r="GU30" s="19">
        <v>79</v>
      </c>
      <c r="GV30" s="10" t="str">
        <f t="shared" si="121"/>
        <v>B+</v>
      </c>
      <c r="GW30" s="1">
        <f t="shared" si="38"/>
        <v>3.5</v>
      </c>
      <c r="GX30" s="10">
        <v>4</v>
      </c>
      <c r="GY30" s="1">
        <f t="shared" si="122"/>
        <v>14</v>
      </c>
      <c r="GZ30" s="7">
        <v>75.5</v>
      </c>
      <c r="HA30" s="10" t="str">
        <f t="shared" si="123"/>
        <v>B+</v>
      </c>
      <c r="HB30" s="1">
        <f t="shared" si="124"/>
        <v>3.5</v>
      </c>
      <c r="HC30" s="10">
        <v>4</v>
      </c>
      <c r="HD30" s="1">
        <f t="shared" si="125"/>
        <v>14</v>
      </c>
      <c r="HE30" s="6">
        <v>77.599999999999994</v>
      </c>
      <c r="HF30" s="10" t="str">
        <f t="shared" si="126"/>
        <v>B+</v>
      </c>
      <c r="HG30" s="1">
        <f t="shared" si="39"/>
        <v>3.5</v>
      </c>
      <c r="HH30" s="10">
        <v>2</v>
      </c>
      <c r="HI30" s="1">
        <f t="shared" si="127"/>
        <v>7</v>
      </c>
      <c r="HJ30" s="18">
        <v>79.800000000000011</v>
      </c>
      <c r="HK30" s="10" t="str">
        <f t="shared" si="128"/>
        <v>B+</v>
      </c>
      <c r="HL30" s="1">
        <f t="shared" si="40"/>
        <v>3.5</v>
      </c>
      <c r="HM30" s="10">
        <v>3</v>
      </c>
      <c r="HN30" s="1">
        <f t="shared" si="129"/>
        <v>10.5</v>
      </c>
      <c r="HO30" s="12">
        <v>78.174999999999997</v>
      </c>
      <c r="HP30" s="10" t="str">
        <f t="shared" si="130"/>
        <v>B+</v>
      </c>
      <c r="HQ30" s="1">
        <f t="shared" si="41"/>
        <v>3.5</v>
      </c>
      <c r="HR30" s="10">
        <v>3</v>
      </c>
      <c r="HS30" s="1">
        <f t="shared" si="131"/>
        <v>10.5</v>
      </c>
      <c r="HT30" s="10">
        <v>74.400000000000006</v>
      </c>
      <c r="HU30" s="10" t="str">
        <f t="shared" si="132"/>
        <v>B</v>
      </c>
      <c r="HV30" s="1">
        <f t="shared" si="133"/>
        <v>3</v>
      </c>
      <c r="HW30" s="10">
        <v>4</v>
      </c>
      <c r="HX30" s="1">
        <f t="shared" si="134"/>
        <v>12</v>
      </c>
      <c r="HY30" s="19">
        <v>75.150000000000006</v>
      </c>
      <c r="HZ30" s="10" t="str">
        <f t="shared" si="135"/>
        <v>B+</v>
      </c>
      <c r="IA30" s="1">
        <f t="shared" si="136"/>
        <v>3.5</v>
      </c>
      <c r="IB30" s="10">
        <v>2</v>
      </c>
      <c r="IC30" s="1">
        <f t="shared" si="137"/>
        <v>7</v>
      </c>
      <c r="ID30" s="7">
        <v>75.849999999999994</v>
      </c>
      <c r="IE30" s="10" t="str">
        <f t="shared" si="138"/>
        <v>B+</v>
      </c>
      <c r="IF30" s="1">
        <f t="shared" si="139"/>
        <v>3.5</v>
      </c>
      <c r="IG30" s="10">
        <v>3</v>
      </c>
      <c r="IH30" s="1">
        <f t="shared" si="140"/>
        <v>10.5</v>
      </c>
      <c r="II30" s="6">
        <v>74.400000000000006</v>
      </c>
      <c r="IJ30" s="10" t="str">
        <f t="shared" si="141"/>
        <v>B</v>
      </c>
      <c r="IK30" s="1">
        <f t="shared" si="142"/>
        <v>3</v>
      </c>
      <c r="IL30" s="10">
        <v>2</v>
      </c>
      <c r="IM30" s="1">
        <f t="shared" si="143"/>
        <v>6</v>
      </c>
      <c r="IN30" s="18">
        <v>72.28</v>
      </c>
      <c r="IO30" s="10" t="str">
        <f t="shared" si="144"/>
        <v>B</v>
      </c>
      <c r="IP30" s="1">
        <f t="shared" si="145"/>
        <v>3</v>
      </c>
      <c r="IQ30" s="10">
        <v>2</v>
      </c>
      <c r="IR30" s="1">
        <f t="shared" si="146"/>
        <v>6</v>
      </c>
      <c r="IS30" s="10">
        <v>76.400000000000006</v>
      </c>
      <c r="IT30" s="10" t="str">
        <f t="shared" si="147"/>
        <v>B+</v>
      </c>
      <c r="IU30" s="1">
        <f t="shared" si="148"/>
        <v>3.5</v>
      </c>
      <c r="IV30" s="10">
        <v>4</v>
      </c>
      <c r="IW30" s="1">
        <f t="shared" si="149"/>
        <v>14</v>
      </c>
      <c r="IX30" s="10">
        <v>78</v>
      </c>
      <c r="IY30" s="10" t="str">
        <f t="shared" si="150"/>
        <v>B+</v>
      </c>
      <c r="IZ30" s="1">
        <f t="shared" si="151"/>
        <v>3.5</v>
      </c>
      <c r="JA30" s="10">
        <v>4</v>
      </c>
      <c r="JB30" s="1">
        <f t="shared" si="152"/>
        <v>14</v>
      </c>
      <c r="JC30" s="2">
        <v>65.5</v>
      </c>
      <c r="JD30" s="2">
        <v>22</v>
      </c>
      <c r="JE30" s="2">
        <v>57</v>
      </c>
      <c r="JF30" s="2">
        <v>19</v>
      </c>
      <c r="JG30" s="2">
        <v>70.5</v>
      </c>
      <c r="JH30" s="2">
        <v>21</v>
      </c>
      <c r="JI30" s="2">
        <v>71.5</v>
      </c>
      <c r="JJ30" s="2">
        <v>21</v>
      </c>
      <c r="JK30" s="2">
        <v>72.5</v>
      </c>
      <c r="JL30" s="2">
        <v>21</v>
      </c>
      <c r="JM30" s="2">
        <v>66.5</v>
      </c>
      <c r="JN30" s="2">
        <v>19</v>
      </c>
      <c r="JO30" s="2">
        <v>55.5</v>
      </c>
      <c r="JP30" s="2">
        <v>17</v>
      </c>
      <c r="JQ30" s="2">
        <v>14</v>
      </c>
      <c r="JR30" s="2">
        <v>4</v>
      </c>
      <c r="JS30" s="2">
        <f t="shared" si="153"/>
        <v>473</v>
      </c>
      <c r="JT30" s="2">
        <f t="shared" si="153"/>
        <v>144</v>
      </c>
      <c r="JU30" s="3">
        <f t="shared" si="154"/>
        <v>3.2847222222222223</v>
      </c>
      <c r="JV30" s="2" t="str">
        <f t="shared" si="155"/>
        <v>Sangat Memuaskan</v>
      </c>
      <c r="JW30" s="2" t="str">
        <f t="shared" si="156"/>
        <v>Highly Satisfactory</v>
      </c>
      <c r="JX30" s="23" t="s">
        <v>214</v>
      </c>
      <c r="JY30" s="23" t="s">
        <v>282</v>
      </c>
    </row>
    <row r="31" spans="1:285" x14ac:dyDescent="0.25">
      <c r="A31" s="55">
        <v>29</v>
      </c>
      <c r="B31" s="40" t="s">
        <v>57</v>
      </c>
      <c r="C31" s="2">
        <v>152111047</v>
      </c>
      <c r="D31" s="10" t="s">
        <v>135</v>
      </c>
      <c r="E31" s="24" t="s">
        <v>159</v>
      </c>
      <c r="F31" s="27" t="s">
        <v>219</v>
      </c>
      <c r="G31" s="2" t="s">
        <v>245</v>
      </c>
      <c r="H31" s="10">
        <v>82.05</v>
      </c>
      <c r="I31" s="10" t="s">
        <v>38</v>
      </c>
      <c r="J31" s="10">
        <v>4</v>
      </c>
      <c r="K31" s="10">
        <v>2</v>
      </c>
      <c r="L31" s="10">
        <v>8</v>
      </c>
      <c r="M31" s="10">
        <v>75.75</v>
      </c>
      <c r="N31" s="10" t="s">
        <v>39</v>
      </c>
      <c r="O31" s="10">
        <v>3.5</v>
      </c>
      <c r="P31" s="10">
        <v>3</v>
      </c>
      <c r="Q31" s="10">
        <v>10.5</v>
      </c>
      <c r="R31" s="10">
        <v>76.608333333333334</v>
      </c>
      <c r="S31" s="10" t="s">
        <v>39</v>
      </c>
      <c r="T31" s="10">
        <v>3.5</v>
      </c>
      <c r="U31" s="10">
        <v>4</v>
      </c>
      <c r="V31" s="10">
        <v>14</v>
      </c>
      <c r="W31" s="10">
        <v>83.65</v>
      </c>
      <c r="X31" s="10" t="s">
        <v>38</v>
      </c>
      <c r="Y31" s="10">
        <v>4</v>
      </c>
      <c r="Z31" s="10">
        <v>2</v>
      </c>
      <c r="AA31" s="10">
        <v>8</v>
      </c>
      <c r="AB31" s="10">
        <v>74.45</v>
      </c>
      <c r="AC31" s="10" t="s">
        <v>40</v>
      </c>
      <c r="AD31" s="10">
        <v>3</v>
      </c>
      <c r="AE31" s="10">
        <v>4</v>
      </c>
      <c r="AF31" s="10">
        <v>12</v>
      </c>
      <c r="AG31" s="10">
        <v>70</v>
      </c>
      <c r="AH31" s="10" t="s">
        <v>40</v>
      </c>
      <c r="AI31" s="10">
        <v>3</v>
      </c>
      <c r="AJ31" s="10">
        <v>4</v>
      </c>
      <c r="AK31" s="10">
        <v>12</v>
      </c>
      <c r="AL31" s="10">
        <v>79.933333333333337</v>
      </c>
      <c r="AM31" s="10" t="s">
        <v>39</v>
      </c>
      <c r="AN31" s="10">
        <v>3.5</v>
      </c>
      <c r="AO31" s="10">
        <v>3</v>
      </c>
      <c r="AP31" s="10">
        <v>10.5</v>
      </c>
      <c r="AQ31" s="9">
        <v>86.75</v>
      </c>
      <c r="AR31" s="10" t="str">
        <f t="shared" si="157"/>
        <v>A</v>
      </c>
      <c r="AS31" s="1">
        <f t="shared" si="7"/>
        <v>4</v>
      </c>
      <c r="AT31" s="10">
        <v>3</v>
      </c>
      <c r="AU31" s="1">
        <f t="shared" si="158"/>
        <v>12</v>
      </c>
      <c r="AV31" s="11">
        <v>70</v>
      </c>
      <c r="AW31" s="10" t="str">
        <f t="shared" si="159"/>
        <v>B</v>
      </c>
      <c r="AX31" s="1">
        <f t="shared" si="8"/>
        <v>3</v>
      </c>
      <c r="AY31" s="10">
        <v>2</v>
      </c>
      <c r="AZ31" s="1">
        <f t="shared" si="160"/>
        <v>6</v>
      </c>
      <c r="BA31" s="15">
        <v>80.55</v>
      </c>
      <c r="BB31" s="10" t="str">
        <f t="shared" si="161"/>
        <v>A</v>
      </c>
      <c r="BC31" s="1">
        <f t="shared" si="9"/>
        <v>4</v>
      </c>
      <c r="BD31" s="10">
        <v>2</v>
      </c>
      <c r="BE31" s="1">
        <f t="shared" si="162"/>
        <v>8</v>
      </c>
      <c r="BF31" s="14">
        <v>78.349999999999994</v>
      </c>
      <c r="BG31" s="10" t="str">
        <f t="shared" si="163"/>
        <v>B+</v>
      </c>
      <c r="BH31" s="1">
        <f t="shared" si="10"/>
        <v>3.5</v>
      </c>
      <c r="BI31" s="10">
        <v>3</v>
      </c>
      <c r="BJ31" s="1">
        <f t="shared" si="164"/>
        <v>10.5</v>
      </c>
      <c r="BK31" s="14">
        <v>85.5</v>
      </c>
      <c r="BL31" s="10" t="str">
        <f t="shared" si="165"/>
        <v>A</v>
      </c>
      <c r="BM31" s="1">
        <f t="shared" si="11"/>
        <v>4</v>
      </c>
      <c r="BN31" s="10">
        <v>2</v>
      </c>
      <c r="BO31" s="1">
        <f t="shared" si="166"/>
        <v>8</v>
      </c>
      <c r="BP31" s="12">
        <v>72.55</v>
      </c>
      <c r="BQ31" s="10" t="str">
        <f t="shared" si="167"/>
        <v>B</v>
      </c>
      <c r="BR31" s="1">
        <f t="shared" si="12"/>
        <v>3</v>
      </c>
      <c r="BS31" s="10">
        <v>2</v>
      </c>
      <c r="BT31" s="1">
        <f t="shared" si="168"/>
        <v>6</v>
      </c>
      <c r="BU31" s="12">
        <v>72.5</v>
      </c>
      <c r="BV31" s="10" t="str">
        <f t="shared" si="169"/>
        <v>B</v>
      </c>
      <c r="BW31" s="1">
        <f t="shared" si="13"/>
        <v>3</v>
      </c>
      <c r="BX31" s="10">
        <v>3</v>
      </c>
      <c r="BY31" s="1">
        <f t="shared" si="170"/>
        <v>9</v>
      </c>
      <c r="BZ31" s="15">
        <v>66.349999999999994</v>
      </c>
      <c r="CA31" s="10" t="str">
        <f t="shared" si="171"/>
        <v>C+</v>
      </c>
      <c r="CB31" s="1">
        <f t="shared" si="14"/>
        <v>2.5</v>
      </c>
      <c r="CC31" s="10">
        <v>2</v>
      </c>
      <c r="CD31" s="1">
        <f t="shared" si="172"/>
        <v>5</v>
      </c>
      <c r="CE31" s="19">
        <v>79.800000000000011</v>
      </c>
      <c r="CF31" s="10" t="str">
        <f t="shared" si="72"/>
        <v>B+</v>
      </c>
      <c r="CG31" s="1">
        <f t="shared" si="15"/>
        <v>3.5</v>
      </c>
      <c r="CH31" s="10">
        <v>4</v>
      </c>
      <c r="CI31" s="1">
        <f t="shared" si="73"/>
        <v>14</v>
      </c>
      <c r="CJ31" s="19">
        <v>76.05</v>
      </c>
      <c r="CK31" s="10" t="str">
        <f t="shared" si="74"/>
        <v>B+</v>
      </c>
      <c r="CL31" s="1">
        <f t="shared" si="16"/>
        <v>3.5</v>
      </c>
      <c r="CM31" s="10">
        <v>4</v>
      </c>
      <c r="CN31" s="1">
        <f t="shared" si="75"/>
        <v>14</v>
      </c>
      <c r="CO31" s="19">
        <v>75.625</v>
      </c>
      <c r="CP31" s="10" t="str">
        <f t="shared" si="76"/>
        <v>B+</v>
      </c>
      <c r="CQ31" s="1">
        <f t="shared" si="17"/>
        <v>3.5</v>
      </c>
      <c r="CR31" s="10">
        <v>3</v>
      </c>
      <c r="CS31" s="1">
        <f t="shared" si="77"/>
        <v>10.5</v>
      </c>
      <c r="CT31" s="17">
        <v>76.745428571428576</v>
      </c>
      <c r="CU31" s="10" t="str">
        <f t="shared" si="78"/>
        <v>B+</v>
      </c>
      <c r="CV31" s="1">
        <f t="shared" si="18"/>
        <v>3.5</v>
      </c>
      <c r="CW31" s="10">
        <v>2</v>
      </c>
      <c r="CX31" s="1">
        <f t="shared" si="79"/>
        <v>7</v>
      </c>
      <c r="CY31" s="18">
        <v>79.975000000000009</v>
      </c>
      <c r="CZ31" s="10" t="str">
        <f t="shared" si="80"/>
        <v>B+</v>
      </c>
      <c r="DA31" s="1">
        <f t="shared" si="19"/>
        <v>3.5</v>
      </c>
      <c r="DB31" s="10">
        <v>2</v>
      </c>
      <c r="DC31" s="1">
        <f t="shared" si="81"/>
        <v>7</v>
      </c>
      <c r="DD31" s="19">
        <v>84.1</v>
      </c>
      <c r="DE31" s="10" t="str">
        <f t="shared" si="82"/>
        <v>A</v>
      </c>
      <c r="DF31" s="1">
        <f t="shared" si="20"/>
        <v>4</v>
      </c>
      <c r="DG31" s="10">
        <v>2</v>
      </c>
      <c r="DH31" s="1">
        <f t="shared" si="83"/>
        <v>8</v>
      </c>
      <c r="DI31" s="5">
        <v>87.5</v>
      </c>
      <c r="DJ31" s="10" t="str">
        <f t="shared" si="84"/>
        <v>A</v>
      </c>
      <c r="DK31" s="1">
        <f t="shared" si="21"/>
        <v>4</v>
      </c>
      <c r="DL31" s="10">
        <v>2</v>
      </c>
      <c r="DM31" s="1">
        <f t="shared" si="85"/>
        <v>8</v>
      </c>
      <c r="DN31" s="20">
        <v>82</v>
      </c>
      <c r="DO31" s="10" t="str">
        <f t="shared" si="86"/>
        <v>A</v>
      </c>
      <c r="DP31" s="1">
        <f t="shared" si="22"/>
        <v>4</v>
      </c>
      <c r="DQ31" s="10">
        <v>2</v>
      </c>
      <c r="DR31" s="1">
        <f t="shared" si="87"/>
        <v>8</v>
      </c>
      <c r="DS31" s="19">
        <v>76.150000000000006</v>
      </c>
      <c r="DT31" s="10" t="str">
        <f t="shared" si="88"/>
        <v>B+</v>
      </c>
      <c r="DU31" s="1">
        <f t="shared" si="23"/>
        <v>3.5</v>
      </c>
      <c r="DV31" s="10">
        <v>4</v>
      </c>
      <c r="DW31" s="1">
        <f t="shared" si="89"/>
        <v>14</v>
      </c>
      <c r="DX31" s="19">
        <v>80.900000000000006</v>
      </c>
      <c r="DY31" s="10" t="str">
        <f t="shared" si="90"/>
        <v>A</v>
      </c>
      <c r="DZ31" s="1">
        <f t="shared" si="24"/>
        <v>4</v>
      </c>
      <c r="EA31" s="10">
        <v>3</v>
      </c>
      <c r="EB31" s="1">
        <f t="shared" si="91"/>
        <v>12</v>
      </c>
      <c r="EC31" s="19">
        <v>76.55</v>
      </c>
      <c r="ED31" s="10" t="str">
        <f t="shared" si="92"/>
        <v>B+</v>
      </c>
      <c r="EE31" s="1">
        <f t="shared" si="25"/>
        <v>3.5</v>
      </c>
      <c r="EF31" s="10">
        <v>3</v>
      </c>
      <c r="EG31" s="1">
        <f t="shared" si="93"/>
        <v>10.5</v>
      </c>
      <c r="EH31" s="6">
        <v>80.2</v>
      </c>
      <c r="EI31" s="10" t="str">
        <f t="shared" si="94"/>
        <v>A</v>
      </c>
      <c r="EJ31" s="1">
        <f t="shared" si="26"/>
        <v>4</v>
      </c>
      <c r="EK31" s="10">
        <v>3</v>
      </c>
      <c r="EL31" s="1">
        <f t="shared" si="95"/>
        <v>12</v>
      </c>
      <c r="EM31" s="18">
        <v>77.278888888888886</v>
      </c>
      <c r="EN31" s="10" t="str">
        <f t="shared" si="96"/>
        <v>B+</v>
      </c>
      <c r="EO31" s="1">
        <f t="shared" si="27"/>
        <v>3.5</v>
      </c>
      <c r="EP31" s="10">
        <v>3</v>
      </c>
      <c r="EQ31" s="1">
        <f t="shared" si="97"/>
        <v>10.5</v>
      </c>
      <c r="ER31" s="7">
        <v>79.599999999999994</v>
      </c>
      <c r="ES31" s="10" t="str">
        <f t="shared" si="98"/>
        <v>B+</v>
      </c>
      <c r="ET31" s="1">
        <f t="shared" si="28"/>
        <v>3.5</v>
      </c>
      <c r="EU31" s="10">
        <v>2</v>
      </c>
      <c r="EV31" s="1">
        <f t="shared" si="99"/>
        <v>7</v>
      </c>
      <c r="EW31" s="5">
        <v>80.400000000000006</v>
      </c>
      <c r="EX31" s="10" t="str">
        <f t="shared" si="100"/>
        <v>A</v>
      </c>
      <c r="EY31" s="1">
        <f t="shared" si="29"/>
        <v>4</v>
      </c>
      <c r="EZ31" s="10">
        <v>3</v>
      </c>
      <c r="FA31" s="1">
        <f t="shared" si="101"/>
        <v>12</v>
      </c>
      <c r="FB31" s="19">
        <v>75</v>
      </c>
      <c r="FC31" s="10" t="str">
        <f t="shared" si="102"/>
        <v>B+</v>
      </c>
      <c r="FD31" s="1">
        <f t="shared" si="30"/>
        <v>3.5</v>
      </c>
      <c r="FE31" s="10">
        <v>2</v>
      </c>
      <c r="FF31" s="1">
        <f t="shared" si="103"/>
        <v>7</v>
      </c>
      <c r="FG31" s="19">
        <v>75</v>
      </c>
      <c r="FH31" s="10" t="str">
        <f t="shared" si="104"/>
        <v>B+</v>
      </c>
      <c r="FI31" s="1">
        <f t="shared" si="31"/>
        <v>3.5</v>
      </c>
      <c r="FJ31" s="10">
        <v>3</v>
      </c>
      <c r="FK31" s="1">
        <f t="shared" si="105"/>
        <v>10.5</v>
      </c>
      <c r="FL31" s="19">
        <v>78.666666666666671</v>
      </c>
      <c r="FM31" s="10" t="str">
        <f t="shared" si="106"/>
        <v>B+</v>
      </c>
      <c r="FN31" s="1">
        <f t="shared" si="32"/>
        <v>3.5</v>
      </c>
      <c r="FO31" s="10">
        <v>3</v>
      </c>
      <c r="FP31" s="1">
        <f t="shared" si="107"/>
        <v>10.5</v>
      </c>
      <c r="FQ31" s="6">
        <v>77.010000000000005</v>
      </c>
      <c r="FR31" s="10" t="str">
        <f t="shared" si="108"/>
        <v>B+</v>
      </c>
      <c r="FS31" s="1">
        <f t="shared" si="109"/>
        <v>3.5</v>
      </c>
      <c r="FT31" s="10">
        <v>3</v>
      </c>
      <c r="FU31" s="1">
        <f t="shared" si="110"/>
        <v>10.5</v>
      </c>
      <c r="FV31" s="18">
        <v>76.3</v>
      </c>
      <c r="FW31" s="10" t="str">
        <f t="shared" si="111"/>
        <v>B+</v>
      </c>
      <c r="FX31" s="1">
        <f t="shared" si="33"/>
        <v>3.5</v>
      </c>
      <c r="FY31" s="10">
        <v>3</v>
      </c>
      <c r="FZ31" s="1">
        <f t="shared" si="112"/>
        <v>10.5</v>
      </c>
      <c r="GA31" s="7">
        <v>71.599999999999994</v>
      </c>
      <c r="GB31" s="10" t="str">
        <f t="shared" si="113"/>
        <v>B</v>
      </c>
      <c r="GC31" s="1">
        <f t="shared" si="34"/>
        <v>3</v>
      </c>
      <c r="GD31" s="10">
        <v>2</v>
      </c>
      <c r="GE31" s="1">
        <f t="shared" si="114"/>
        <v>6</v>
      </c>
      <c r="GF31" s="5">
        <v>82</v>
      </c>
      <c r="GG31" s="10" t="str">
        <f t="shared" si="115"/>
        <v>A</v>
      </c>
      <c r="GH31" s="1">
        <f t="shared" si="35"/>
        <v>4</v>
      </c>
      <c r="GI31" s="10">
        <v>3</v>
      </c>
      <c r="GJ31" s="1">
        <f t="shared" si="116"/>
        <v>12</v>
      </c>
      <c r="GK31" s="5">
        <v>70.2</v>
      </c>
      <c r="GL31" s="10" t="str">
        <f t="shared" si="117"/>
        <v>B</v>
      </c>
      <c r="GM31" s="1">
        <f t="shared" si="36"/>
        <v>3</v>
      </c>
      <c r="GN31" s="10">
        <v>2</v>
      </c>
      <c r="GO31" s="1">
        <f t="shared" si="118"/>
        <v>6</v>
      </c>
      <c r="GP31" s="19">
        <v>73.4375</v>
      </c>
      <c r="GQ31" s="10" t="str">
        <f t="shared" si="119"/>
        <v>B</v>
      </c>
      <c r="GR31" s="1">
        <f t="shared" si="37"/>
        <v>3</v>
      </c>
      <c r="GS31" s="10">
        <v>3</v>
      </c>
      <c r="GT31" s="1">
        <f t="shared" si="120"/>
        <v>9</v>
      </c>
      <c r="GU31" s="19">
        <v>74.06</v>
      </c>
      <c r="GV31" s="10" t="str">
        <f t="shared" si="121"/>
        <v>B</v>
      </c>
      <c r="GW31" s="1">
        <f t="shared" si="38"/>
        <v>3</v>
      </c>
      <c r="GX31" s="10">
        <v>4</v>
      </c>
      <c r="GY31" s="1">
        <f t="shared" si="122"/>
        <v>12</v>
      </c>
      <c r="GZ31" s="7">
        <v>74.25</v>
      </c>
      <c r="HA31" s="10" t="str">
        <f t="shared" si="123"/>
        <v>B</v>
      </c>
      <c r="HB31" s="1">
        <f t="shared" si="124"/>
        <v>3</v>
      </c>
      <c r="HC31" s="10">
        <v>4</v>
      </c>
      <c r="HD31" s="1">
        <f t="shared" si="125"/>
        <v>12</v>
      </c>
      <c r="HE31" s="6">
        <v>76.224999999999994</v>
      </c>
      <c r="HF31" s="10" t="str">
        <f t="shared" si="126"/>
        <v>B+</v>
      </c>
      <c r="HG31" s="1">
        <f t="shared" si="39"/>
        <v>3.5</v>
      </c>
      <c r="HH31" s="10">
        <v>2</v>
      </c>
      <c r="HI31" s="1">
        <f t="shared" si="127"/>
        <v>7</v>
      </c>
      <c r="HJ31" s="18">
        <v>70.116666666666674</v>
      </c>
      <c r="HK31" s="10" t="str">
        <f t="shared" si="128"/>
        <v>B</v>
      </c>
      <c r="HL31" s="1">
        <f t="shared" si="40"/>
        <v>3</v>
      </c>
      <c r="HM31" s="10">
        <v>3</v>
      </c>
      <c r="HN31" s="1">
        <f t="shared" si="129"/>
        <v>9</v>
      </c>
      <c r="HO31" s="12">
        <v>81.625</v>
      </c>
      <c r="HP31" s="10" t="str">
        <f t="shared" si="130"/>
        <v>A</v>
      </c>
      <c r="HQ31" s="1">
        <f t="shared" si="41"/>
        <v>4</v>
      </c>
      <c r="HR31" s="10">
        <v>3</v>
      </c>
      <c r="HS31" s="1">
        <f t="shared" si="131"/>
        <v>12</v>
      </c>
      <c r="HT31" s="10">
        <v>78.400000000000006</v>
      </c>
      <c r="HU31" s="10" t="str">
        <f t="shared" si="132"/>
        <v>B+</v>
      </c>
      <c r="HV31" s="1">
        <f t="shared" si="133"/>
        <v>3.5</v>
      </c>
      <c r="HW31" s="10">
        <v>4</v>
      </c>
      <c r="HX31" s="1">
        <f t="shared" si="134"/>
        <v>14</v>
      </c>
      <c r="HY31" s="19">
        <v>81.349999999999994</v>
      </c>
      <c r="HZ31" s="10" t="str">
        <f t="shared" si="135"/>
        <v>A</v>
      </c>
      <c r="IA31" s="1">
        <f t="shared" si="136"/>
        <v>4</v>
      </c>
      <c r="IB31" s="10">
        <v>2</v>
      </c>
      <c r="IC31" s="1">
        <f t="shared" si="137"/>
        <v>8</v>
      </c>
      <c r="ID31" s="7">
        <v>78</v>
      </c>
      <c r="IE31" s="10" t="str">
        <f t="shared" si="138"/>
        <v>B+</v>
      </c>
      <c r="IF31" s="1">
        <f t="shared" si="139"/>
        <v>3.5</v>
      </c>
      <c r="IG31" s="10">
        <v>3</v>
      </c>
      <c r="IH31" s="1">
        <f t="shared" si="140"/>
        <v>10.5</v>
      </c>
      <c r="II31" s="6">
        <v>78.400000000000006</v>
      </c>
      <c r="IJ31" s="10" t="str">
        <f t="shared" si="141"/>
        <v>B+</v>
      </c>
      <c r="IK31" s="1">
        <f t="shared" si="142"/>
        <v>3.5</v>
      </c>
      <c r="IL31" s="10">
        <v>2</v>
      </c>
      <c r="IM31" s="1">
        <f t="shared" si="143"/>
        <v>7</v>
      </c>
      <c r="IN31" s="18">
        <v>78.150000000000006</v>
      </c>
      <c r="IO31" s="10" t="str">
        <f t="shared" si="144"/>
        <v>B+</v>
      </c>
      <c r="IP31" s="1">
        <f t="shared" si="145"/>
        <v>3.5</v>
      </c>
      <c r="IQ31" s="10">
        <v>2</v>
      </c>
      <c r="IR31" s="1">
        <f t="shared" si="146"/>
        <v>7</v>
      </c>
      <c r="IS31" s="10">
        <v>76</v>
      </c>
      <c r="IT31" s="10" t="str">
        <f t="shared" si="147"/>
        <v>B+</v>
      </c>
      <c r="IU31" s="1">
        <f t="shared" si="148"/>
        <v>3.5</v>
      </c>
      <c r="IV31" s="10">
        <v>4</v>
      </c>
      <c r="IW31" s="1">
        <f t="shared" si="149"/>
        <v>14</v>
      </c>
      <c r="IX31" s="10">
        <v>81.599999999999994</v>
      </c>
      <c r="IY31" s="10" t="str">
        <f t="shared" si="150"/>
        <v>A</v>
      </c>
      <c r="IZ31" s="1">
        <f t="shared" si="151"/>
        <v>4</v>
      </c>
      <c r="JA31" s="10">
        <v>4</v>
      </c>
      <c r="JB31" s="1">
        <f t="shared" si="152"/>
        <v>16</v>
      </c>
      <c r="JC31" s="2">
        <v>75</v>
      </c>
      <c r="JD31" s="2">
        <v>22</v>
      </c>
      <c r="JE31" s="2">
        <v>64.5</v>
      </c>
      <c r="JF31" s="2">
        <v>19</v>
      </c>
      <c r="JG31" s="2">
        <v>76.5</v>
      </c>
      <c r="JH31" s="2">
        <v>21</v>
      </c>
      <c r="JI31" s="2">
        <v>78</v>
      </c>
      <c r="JJ31" s="2">
        <v>21</v>
      </c>
      <c r="JK31" s="2">
        <v>73</v>
      </c>
      <c r="JL31" s="2">
        <v>21</v>
      </c>
      <c r="JM31" s="2">
        <v>61</v>
      </c>
      <c r="JN31" s="2">
        <v>19</v>
      </c>
      <c r="JO31" s="2">
        <v>60.5</v>
      </c>
      <c r="JP31" s="2">
        <v>17</v>
      </c>
      <c r="JQ31" s="2">
        <v>16</v>
      </c>
      <c r="JR31" s="2">
        <v>4</v>
      </c>
      <c r="JS31" s="2">
        <f t="shared" si="153"/>
        <v>504.5</v>
      </c>
      <c r="JT31" s="2">
        <f t="shared" si="153"/>
        <v>144</v>
      </c>
      <c r="JU31" s="3">
        <f t="shared" si="154"/>
        <v>3.5034722222222223</v>
      </c>
      <c r="JV31" s="2" t="str">
        <f t="shared" si="155"/>
        <v>Sangat Memuaskan</v>
      </c>
      <c r="JW31" s="2" t="str">
        <f t="shared" si="156"/>
        <v>Highly Satisfactory</v>
      </c>
      <c r="JX31" s="23" t="s">
        <v>215</v>
      </c>
      <c r="JY31" s="23" t="s">
        <v>283</v>
      </c>
    </row>
    <row r="32" spans="1:285" x14ac:dyDescent="0.25">
      <c r="A32" s="55">
        <v>30</v>
      </c>
      <c r="B32" s="39" t="s">
        <v>164</v>
      </c>
      <c r="C32" s="2">
        <v>152111049</v>
      </c>
      <c r="D32" s="10" t="s">
        <v>135</v>
      </c>
      <c r="E32" s="24" t="s">
        <v>160</v>
      </c>
      <c r="F32" s="27" t="s">
        <v>219</v>
      </c>
      <c r="G32" s="2" t="s">
        <v>246</v>
      </c>
      <c r="H32" s="10">
        <v>71.100000000000009</v>
      </c>
      <c r="I32" s="10" t="s">
        <v>40</v>
      </c>
      <c r="J32" s="10">
        <v>3</v>
      </c>
      <c r="K32" s="10">
        <v>2</v>
      </c>
      <c r="L32" s="10">
        <v>6</v>
      </c>
      <c r="M32" s="10">
        <v>77.625</v>
      </c>
      <c r="N32" s="10" t="s">
        <v>39</v>
      </c>
      <c r="O32" s="10">
        <v>3.5</v>
      </c>
      <c r="P32" s="10">
        <v>3</v>
      </c>
      <c r="Q32" s="10">
        <v>10.5</v>
      </c>
      <c r="R32" s="10">
        <v>76.308333333333337</v>
      </c>
      <c r="S32" s="10" t="s">
        <v>39</v>
      </c>
      <c r="T32" s="10">
        <v>3.5</v>
      </c>
      <c r="U32" s="10">
        <v>4</v>
      </c>
      <c r="V32" s="10">
        <v>14</v>
      </c>
      <c r="W32" s="10">
        <v>80.3</v>
      </c>
      <c r="X32" s="10" t="s">
        <v>38</v>
      </c>
      <c r="Y32" s="10">
        <v>4</v>
      </c>
      <c r="Z32" s="10">
        <v>2</v>
      </c>
      <c r="AA32" s="10">
        <v>8</v>
      </c>
      <c r="AB32" s="10">
        <v>78.650000000000006</v>
      </c>
      <c r="AC32" s="10" t="s">
        <v>39</v>
      </c>
      <c r="AD32" s="10">
        <v>3.5</v>
      </c>
      <c r="AE32" s="10">
        <v>4</v>
      </c>
      <c r="AF32" s="10">
        <v>14</v>
      </c>
      <c r="AG32" s="10">
        <v>73.3</v>
      </c>
      <c r="AH32" s="10" t="s">
        <v>40</v>
      </c>
      <c r="AI32" s="10">
        <v>3</v>
      </c>
      <c r="AJ32" s="10">
        <v>4</v>
      </c>
      <c r="AK32" s="10">
        <v>12</v>
      </c>
      <c r="AL32" s="10">
        <v>80.833333333333343</v>
      </c>
      <c r="AM32" s="10" t="s">
        <v>38</v>
      </c>
      <c r="AN32" s="10">
        <v>4</v>
      </c>
      <c r="AO32" s="10">
        <v>3</v>
      </c>
      <c r="AP32" s="10">
        <v>12</v>
      </c>
      <c r="AQ32" s="9">
        <v>85.3</v>
      </c>
      <c r="AR32" s="10" t="str">
        <f t="shared" si="157"/>
        <v>A</v>
      </c>
      <c r="AS32" s="1">
        <f t="shared" si="7"/>
        <v>4</v>
      </c>
      <c r="AT32" s="10">
        <v>3</v>
      </c>
      <c r="AU32" s="1">
        <f t="shared" si="158"/>
        <v>12</v>
      </c>
      <c r="AV32" s="11">
        <v>70</v>
      </c>
      <c r="AW32" s="10" t="str">
        <f t="shared" si="159"/>
        <v>B</v>
      </c>
      <c r="AX32" s="1">
        <f t="shared" si="8"/>
        <v>3</v>
      </c>
      <c r="AY32" s="10">
        <v>2</v>
      </c>
      <c r="AZ32" s="1">
        <f t="shared" si="160"/>
        <v>6</v>
      </c>
      <c r="BA32" s="15">
        <v>80.55</v>
      </c>
      <c r="BB32" s="10" t="str">
        <f t="shared" si="161"/>
        <v>A</v>
      </c>
      <c r="BC32" s="1">
        <f t="shared" si="9"/>
        <v>4</v>
      </c>
      <c r="BD32" s="10">
        <v>2</v>
      </c>
      <c r="BE32" s="1">
        <f t="shared" si="162"/>
        <v>8</v>
      </c>
      <c r="BF32" s="14">
        <v>80.849999999999994</v>
      </c>
      <c r="BG32" s="10" t="s">
        <v>39</v>
      </c>
      <c r="BH32" s="1">
        <f t="shared" si="10"/>
        <v>3.5</v>
      </c>
      <c r="BI32" s="10">
        <v>3</v>
      </c>
      <c r="BJ32" s="1">
        <f t="shared" si="164"/>
        <v>10.5</v>
      </c>
      <c r="BK32" s="14">
        <v>74.5</v>
      </c>
      <c r="BL32" s="10" t="str">
        <f t="shared" si="165"/>
        <v>B</v>
      </c>
      <c r="BM32" s="1">
        <f t="shared" si="11"/>
        <v>3</v>
      </c>
      <c r="BN32" s="10">
        <v>2</v>
      </c>
      <c r="BO32" s="1">
        <f t="shared" si="166"/>
        <v>6</v>
      </c>
      <c r="BP32" s="12">
        <v>81.95</v>
      </c>
      <c r="BQ32" s="10" t="str">
        <f t="shared" si="167"/>
        <v>A</v>
      </c>
      <c r="BR32" s="1">
        <f t="shared" si="12"/>
        <v>4</v>
      </c>
      <c r="BS32" s="10">
        <v>2</v>
      </c>
      <c r="BT32" s="1">
        <f t="shared" si="168"/>
        <v>8</v>
      </c>
      <c r="BU32" s="12">
        <v>74.3</v>
      </c>
      <c r="BV32" s="10" t="str">
        <f t="shared" si="169"/>
        <v>B</v>
      </c>
      <c r="BW32" s="1">
        <f t="shared" si="13"/>
        <v>3</v>
      </c>
      <c r="BX32" s="10">
        <v>3</v>
      </c>
      <c r="BY32" s="1">
        <f t="shared" si="170"/>
        <v>9</v>
      </c>
      <c r="BZ32" s="15">
        <v>74.433333333333337</v>
      </c>
      <c r="CA32" s="10" t="str">
        <f t="shared" si="171"/>
        <v>B</v>
      </c>
      <c r="CB32" s="1">
        <f t="shared" si="14"/>
        <v>3</v>
      </c>
      <c r="CC32" s="10">
        <v>2</v>
      </c>
      <c r="CD32" s="1">
        <f t="shared" si="172"/>
        <v>6</v>
      </c>
      <c r="CE32" s="19">
        <v>78.75</v>
      </c>
      <c r="CF32" s="10" t="str">
        <f t="shared" si="72"/>
        <v>B+</v>
      </c>
      <c r="CG32" s="1">
        <f t="shared" si="15"/>
        <v>3.5</v>
      </c>
      <c r="CH32" s="10">
        <v>4</v>
      </c>
      <c r="CI32" s="1">
        <f t="shared" si="73"/>
        <v>14</v>
      </c>
      <c r="CJ32" s="19">
        <v>77.45</v>
      </c>
      <c r="CK32" s="10" t="str">
        <f t="shared" si="74"/>
        <v>B+</v>
      </c>
      <c r="CL32" s="1">
        <f t="shared" si="16"/>
        <v>3.5</v>
      </c>
      <c r="CM32" s="10">
        <v>4</v>
      </c>
      <c r="CN32" s="1">
        <f t="shared" si="75"/>
        <v>14</v>
      </c>
      <c r="CO32" s="19">
        <v>73.900000000000006</v>
      </c>
      <c r="CP32" s="10" t="str">
        <f t="shared" si="76"/>
        <v>B</v>
      </c>
      <c r="CQ32" s="1">
        <f t="shared" si="17"/>
        <v>3</v>
      </c>
      <c r="CR32" s="10">
        <v>3</v>
      </c>
      <c r="CS32" s="1">
        <f t="shared" si="77"/>
        <v>9</v>
      </c>
      <c r="CT32" s="17">
        <v>80</v>
      </c>
      <c r="CU32" s="10" t="str">
        <f t="shared" si="78"/>
        <v>A</v>
      </c>
      <c r="CV32" s="1">
        <f t="shared" si="18"/>
        <v>4</v>
      </c>
      <c r="CW32" s="10">
        <v>2</v>
      </c>
      <c r="CX32" s="1">
        <f t="shared" si="79"/>
        <v>8</v>
      </c>
      <c r="CY32" s="18">
        <v>79.075000000000003</v>
      </c>
      <c r="CZ32" s="10" t="str">
        <f t="shared" si="80"/>
        <v>B+</v>
      </c>
      <c r="DA32" s="1">
        <f t="shared" si="19"/>
        <v>3.5</v>
      </c>
      <c r="DB32" s="10">
        <v>2</v>
      </c>
      <c r="DC32" s="1">
        <f t="shared" si="81"/>
        <v>7</v>
      </c>
      <c r="DD32" s="19">
        <v>84.1</v>
      </c>
      <c r="DE32" s="10" t="str">
        <f t="shared" si="82"/>
        <v>A</v>
      </c>
      <c r="DF32" s="1">
        <f t="shared" si="20"/>
        <v>4</v>
      </c>
      <c r="DG32" s="10">
        <v>2</v>
      </c>
      <c r="DH32" s="1">
        <f t="shared" si="83"/>
        <v>8</v>
      </c>
      <c r="DI32" s="5">
        <v>76.5</v>
      </c>
      <c r="DJ32" s="10" t="str">
        <f t="shared" si="84"/>
        <v>B+</v>
      </c>
      <c r="DK32" s="1">
        <f t="shared" si="21"/>
        <v>3.5</v>
      </c>
      <c r="DL32" s="10">
        <v>2</v>
      </c>
      <c r="DM32" s="1">
        <f t="shared" si="85"/>
        <v>7</v>
      </c>
      <c r="DN32" s="20">
        <v>76</v>
      </c>
      <c r="DO32" s="10" t="str">
        <f t="shared" si="86"/>
        <v>B+</v>
      </c>
      <c r="DP32" s="1">
        <f t="shared" si="22"/>
        <v>3.5</v>
      </c>
      <c r="DQ32" s="10">
        <v>2</v>
      </c>
      <c r="DR32" s="1">
        <f t="shared" si="87"/>
        <v>7</v>
      </c>
      <c r="DS32" s="19">
        <v>75.599999999999994</v>
      </c>
      <c r="DT32" s="10" t="str">
        <f t="shared" si="88"/>
        <v>B+</v>
      </c>
      <c r="DU32" s="1">
        <f t="shared" si="23"/>
        <v>3.5</v>
      </c>
      <c r="DV32" s="10">
        <v>4</v>
      </c>
      <c r="DW32" s="1">
        <f t="shared" si="89"/>
        <v>14</v>
      </c>
      <c r="DX32" s="19">
        <v>87.1</v>
      </c>
      <c r="DY32" s="10" t="str">
        <f t="shared" si="90"/>
        <v>A</v>
      </c>
      <c r="DZ32" s="1">
        <f t="shared" si="24"/>
        <v>4</v>
      </c>
      <c r="EA32" s="10">
        <v>3</v>
      </c>
      <c r="EB32" s="1">
        <f t="shared" si="91"/>
        <v>12</v>
      </c>
      <c r="EC32" s="19">
        <v>77.05</v>
      </c>
      <c r="ED32" s="10" t="str">
        <f t="shared" si="92"/>
        <v>B+</v>
      </c>
      <c r="EE32" s="1">
        <f t="shared" si="25"/>
        <v>3.5</v>
      </c>
      <c r="EF32" s="10">
        <v>3</v>
      </c>
      <c r="EG32" s="1">
        <f t="shared" si="93"/>
        <v>10.5</v>
      </c>
      <c r="EH32" s="6">
        <v>80.099999999999994</v>
      </c>
      <c r="EI32" s="10" t="str">
        <f t="shared" si="94"/>
        <v>A</v>
      </c>
      <c r="EJ32" s="1">
        <f t="shared" si="26"/>
        <v>4</v>
      </c>
      <c r="EK32" s="10">
        <v>3</v>
      </c>
      <c r="EL32" s="1">
        <f t="shared" si="95"/>
        <v>12</v>
      </c>
      <c r="EM32" s="18">
        <v>74.463333333333338</v>
      </c>
      <c r="EN32" s="10" t="str">
        <f t="shared" si="96"/>
        <v>B</v>
      </c>
      <c r="EO32" s="1">
        <f t="shared" si="27"/>
        <v>3</v>
      </c>
      <c r="EP32" s="10">
        <v>3</v>
      </c>
      <c r="EQ32" s="1">
        <f t="shared" si="97"/>
        <v>9</v>
      </c>
      <c r="ER32" s="7">
        <v>80.099999999999994</v>
      </c>
      <c r="ES32" s="10" t="str">
        <f t="shared" si="98"/>
        <v>A</v>
      </c>
      <c r="ET32" s="1">
        <f t="shared" si="28"/>
        <v>4</v>
      </c>
      <c r="EU32" s="10">
        <v>2</v>
      </c>
      <c r="EV32" s="1">
        <f t="shared" si="99"/>
        <v>8</v>
      </c>
      <c r="EW32" s="5">
        <v>80.599999999999994</v>
      </c>
      <c r="EX32" s="10" t="str">
        <f t="shared" si="100"/>
        <v>A</v>
      </c>
      <c r="EY32" s="1">
        <f t="shared" si="29"/>
        <v>4</v>
      </c>
      <c r="EZ32" s="10">
        <v>3</v>
      </c>
      <c r="FA32" s="1">
        <f t="shared" si="101"/>
        <v>12</v>
      </c>
      <c r="FB32" s="19">
        <v>81</v>
      </c>
      <c r="FC32" s="10" t="str">
        <f t="shared" si="102"/>
        <v>A</v>
      </c>
      <c r="FD32" s="1">
        <f t="shared" si="30"/>
        <v>4</v>
      </c>
      <c r="FE32" s="10">
        <v>2</v>
      </c>
      <c r="FF32" s="1">
        <f t="shared" si="103"/>
        <v>8</v>
      </c>
      <c r="FG32" s="19">
        <v>80.5</v>
      </c>
      <c r="FH32" s="10" t="str">
        <f t="shared" si="104"/>
        <v>A</v>
      </c>
      <c r="FI32" s="1">
        <f t="shared" si="31"/>
        <v>4</v>
      </c>
      <c r="FJ32" s="10">
        <v>3</v>
      </c>
      <c r="FK32" s="1">
        <f t="shared" si="105"/>
        <v>12</v>
      </c>
      <c r="FL32" s="19">
        <v>81.066666666666663</v>
      </c>
      <c r="FM32" s="10" t="str">
        <f t="shared" si="106"/>
        <v>A</v>
      </c>
      <c r="FN32" s="1">
        <f t="shared" si="32"/>
        <v>4</v>
      </c>
      <c r="FO32" s="10">
        <v>3</v>
      </c>
      <c r="FP32" s="1">
        <f t="shared" si="107"/>
        <v>12</v>
      </c>
      <c r="FQ32" s="6">
        <v>81.300000000000011</v>
      </c>
      <c r="FR32" s="10" t="str">
        <f t="shared" si="108"/>
        <v>A</v>
      </c>
      <c r="FS32" s="1">
        <f t="shared" si="109"/>
        <v>4</v>
      </c>
      <c r="FT32" s="10">
        <v>3</v>
      </c>
      <c r="FU32" s="1">
        <f t="shared" si="110"/>
        <v>12</v>
      </c>
      <c r="FV32" s="18">
        <v>78.7</v>
      </c>
      <c r="FW32" s="10" t="str">
        <f t="shared" si="111"/>
        <v>B+</v>
      </c>
      <c r="FX32" s="1">
        <f t="shared" si="33"/>
        <v>3.5</v>
      </c>
      <c r="FY32" s="10">
        <v>3</v>
      </c>
      <c r="FZ32" s="1">
        <f t="shared" si="112"/>
        <v>10.5</v>
      </c>
      <c r="GA32" s="7">
        <v>75.400000000000006</v>
      </c>
      <c r="GB32" s="10" t="str">
        <f t="shared" si="113"/>
        <v>B+</v>
      </c>
      <c r="GC32" s="1">
        <f t="shared" si="34"/>
        <v>3.5</v>
      </c>
      <c r="GD32" s="10">
        <v>2</v>
      </c>
      <c r="GE32" s="1">
        <f t="shared" si="114"/>
        <v>7</v>
      </c>
      <c r="GF32" s="5">
        <v>81.599999999999994</v>
      </c>
      <c r="GG32" s="10" t="str">
        <f t="shared" si="115"/>
        <v>A</v>
      </c>
      <c r="GH32" s="1">
        <f t="shared" si="35"/>
        <v>4</v>
      </c>
      <c r="GI32" s="10">
        <v>3</v>
      </c>
      <c r="GJ32" s="1">
        <f t="shared" si="116"/>
        <v>12</v>
      </c>
      <c r="GK32" s="5">
        <v>76.8</v>
      </c>
      <c r="GL32" s="10" t="str">
        <f t="shared" si="117"/>
        <v>B+</v>
      </c>
      <c r="GM32" s="1">
        <f t="shared" si="36"/>
        <v>3.5</v>
      </c>
      <c r="GN32" s="10">
        <v>2</v>
      </c>
      <c r="GO32" s="1">
        <f t="shared" si="118"/>
        <v>7</v>
      </c>
      <c r="GP32" s="19">
        <v>77.525000000000006</v>
      </c>
      <c r="GQ32" s="10" t="str">
        <f t="shared" si="119"/>
        <v>B+</v>
      </c>
      <c r="GR32" s="1">
        <f t="shared" si="37"/>
        <v>3.5</v>
      </c>
      <c r="GS32" s="10">
        <v>3</v>
      </c>
      <c r="GT32" s="1">
        <f t="shared" si="120"/>
        <v>10.5</v>
      </c>
      <c r="GU32" s="19">
        <v>78.180000000000007</v>
      </c>
      <c r="GV32" s="10" t="str">
        <f t="shared" si="121"/>
        <v>B+</v>
      </c>
      <c r="GW32" s="1">
        <f t="shared" si="38"/>
        <v>3.5</v>
      </c>
      <c r="GX32" s="10">
        <v>4</v>
      </c>
      <c r="GY32" s="1">
        <f t="shared" si="122"/>
        <v>14</v>
      </c>
      <c r="GZ32" s="7">
        <v>76</v>
      </c>
      <c r="HA32" s="10" t="str">
        <f t="shared" si="123"/>
        <v>B+</v>
      </c>
      <c r="HB32" s="1">
        <f t="shared" si="124"/>
        <v>3.5</v>
      </c>
      <c r="HC32" s="10">
        <v>4</v>
      </c>
      <c r="HD32" s="1">
        <f t="shared" si="125"/>
        <v>14</v>
      </c>
      <c r="HE32" s="6">
        <v>75.75</v>
      </c>
      <c r="HF32" s="10" t="str">
        <f t="shared" si="126"/>
        <v>B+</v>
      </c>
      <c r="HG32" s="1">
        <f t="shared" si="39"/>
        <v>3.5</v>
      </c>
      <c r="HH32" s="10">
        <v>2</v>
      </c>
      <c r="HI32" s="1">
        <f t="shared" si="127"/>
        <v>7</v>
      </c>
      <c r="HJ32" s="18">
        <v>72.900000000000006</v>
      </c>
      <c r="HK32" s="10" t="str">
        <f t="shared" si="128"/>
        <v>B</v>
      </c>
      <c r="HL32" s="1">
        <f t="shared" si="40"/>
        <v>3</v>
      </c>
      <c r="HM32" s="10">
        <v>3</v>
      </c>
      <c r="HN32" s="1">
        <f t="shared" si="129"/>
        <v>9</v>
      </c>
      <c r="HO32" s="12">
        <v>79.875</v>
      </c>
      <c r="HP32" s="10" t="str">
        <f t="shared" si="130"/>
        <v>B+</v>
      </c>
      <c r="HQ32" s="1">
        <f t="shared" si="41"/>
        <v>3.5</v>
      </c>
      <c r="HR32" s="10">
        <v>3</v>
      </c>
      <c r="HS32" s="1">
        <f t="shared" si="131"/>
        <v>10.5</v>
      </c>
      <c r="HT32" s="10">
        <v>82.4</v>
      </c>
      <c r="HU32" s="10" t="str">
        <f t="shared" si="132"/>
        <v>A</v>
      </c>
      <c r="HV32" s="1">
        <f t="shared" si="133"/>
        <v>4</v>
      </c>
      <c r="HW32" s="10">
        <v>4</v>
      </c>
      <c r="HX32" s="1">
        <f t="shared" si="134"/>
        <v>16</v>
      </c>
      <c r="HY32" s="19">
        <v>80.75</v>
      </c>
      <c r="HZ32" s="10" t="str">
        <f t="shared" si="135"/>
        <v>A</v>
      </c>
      <c r="IA32" s="1">
        <f t="shared" si="136"/>
        <v>4</v>
      </c>
      <c r="IB32" s="10">
        <v>2</v>
      </c>
      <c r="IC32" s="1">
        <f t="shared" si="137"/>
        <v>8</v>
      </c>
      <c r="ID32" s="7">
        <v>80</v>
      </c>
      <c r="IE32" s="10" t="str">
        <f t="shared" si="138"/>
        <v>A</v>
      </c>
      <c r="IF32" s="1">
        <f t="shared" si="139"/>
        <v>4</v>
      </c>
      <c r="IG32" s="10">
        <v>3</v>
      </c>
      <c r="IH32" s="1">
        <f t="shared" si="140"/>
        <v>12</v>
      </c>
      <c r="II32" s="6">
        <v>82.4</v>
      </c>
      <c r="IJ32" s="10" t="str">
        <f t="shared" si="141"/>
        <v>A</v>
      </c>
      <c r="IK32" s="1">
        <f t="shared" si="142"/>
        <v>4</v>
      </c>
      <c r="IL32" s="10">
        <v>2</v>
      </c>
      <c r="IM32" s="1">
        <f t="shared" si="143"/>
        <v>8</v>
      </c>
      <c r="IN32" s="18">
        <v>71.78</v>
      </c>
      <c r="IO32" s="10" t="str">
        <f t="shared" si="144"/>
        <v>B</v>
      </c>
      <c r="IP32" s="1">
        <f t="shared" si="145"/>
        <v>3</v>
      </c>
      <c r="IQ32" s="10">
        <v>2</v>
      </c>
      <c r="IR32" s="1">
        <f t="shared" si="146"/>
        <v>6</v>
      </c>
      <c r="IS32" s="10">
        <v>77.400000000000006</v>
      </c>
      <c r="IT32" s="10" t="str">
        <f t="shared" si="147"/>
        <v>B+</v>
      </c>
      <c r="IU32" s="1">
        <f t="shared" si="148"/>
        <v>3.5</v>
      </c>
      <c r="IV32" s="10">
        <v>4</v>
      </c>
      <c r="IW32" s="1">
        <f t="shared" si="149"/>
        <v>14</v>
      </c>
      <c r="IX32" s="10">
        <v>80</v>
      </c>
      <c r="IY32" s="10" t="str">
        <f t="shared" si="150"/>
        <v>A</v>
      </c>
      <c r="IZ32" s="1">
        <f t="shared" si="151"/>
        <v>4</v>
      </c>
      <c r="JA32" s="10">
        <v>4</v>
      </c>
      <c r="JB32" s="1">
        <f t="shared" si="152"/>
        <v>16</v>
      </c>
      <c r="JC32" s="2">
        <v>76.5</v>
      </c>
      <c r="JD32" s="2">
        <v>22</v>
      </c>
      <c r="JE32" s="2">
        <v>65.5</v>
      </c>
      <c r="JF32" s="2">
        <v>19</v>
      </c>
      <c r="JG32" s="2">
        <v>74</v>
      </c>
      <c r="JH32" s="2">
        <v>21</v>
      </c>
      <c r="JI32" s="2">
        <v>77.5</v>
      </c>
      <c r="JJ32" s="2">
        <v>21</v>
      </c>
      <c r="JK32" s="2">
        <v>80.5</v>
      </c>
      <c r="JL32" s="2">
        <v>21</v>
      </c>
      <c r="JM32" s="2">
        <v>65</v>
      </c>
      <c r="JN32" s="2">
        <v>19</v>
      </c>
      <c r="JO32" s="2">
        <v>64</v>
      </c>
      <c r="JP32" s="2">
        <v>17</v>
      </c>
      <c r="JQ32" s="2">
        <v>16</v>
      </c>
      <c r="JR32" s="2">
        <v>4</v>
      </c>
      <c r="JS32" s="2">
        <f t="shared" si="153"/>
        <v>519</v>
      </c>
      <c r="JT32" s="2">
        <f t="shared" si="153"/>
        <v>144</v>
      </c>
      <c r="JU32" s="3">
        <f t="shared" si="154"/>
        <v>3.6041666666666665</v>
      </c>
      <c r="JV32" s="2" t="str">
        <f t="shared" si="155"/>
        <v>Cum Laude</v>
      </c>
      <c r="JW32" s="2" t="str">
        <f t="shared" si="156"/>
        <v>Excellent</v>
      </c>
      <c r="JX32" s="23" t="s">
        <v>216</v>
      </c>
      <c r="JY32" s="23" t="s">
        <v>284</v>
      </c>
    </row>
    <row r="33" spans="1:285" x14ac:dyDescent="0.25">
      <c r="A33" s="55">
        <v>31</v>
      </c>
      <c r="B33" s="40" t="s">
        <v>58</v>
      </c>
      <c r="C33" s="2">
        <v>152111053</v>
      </c>
      <c r="D33" s="10" t="s">
        <v>177</v>
      </c>
      <c r="E33" s="24" t="s">
        <v>178</v>
      </c>
      <c r="F33" s="27" t="s">
        <v>219</v>
      </c>
      <c r="G33" s="2" t="s">
        <v>247</v>
      </c>
      <c r="H33" s="10">
        <v>85.8</v>
      </c>
      <c r="I33" s="10" t="s">
        <v>38</v>
      </c>
      <c r="J33" s="10">
        <v>4</v>
      </c>
      <c r="K33" s="10">
        <v>2</v>
      </c>
      <c r="L33" s="10">
        <v>8</v>
      </c>
      <c r="M33" s="10">
        <v>75.75</v>
      </c>
      <c r="N33" s="10" t="s">
        <v>39</v>
      </c>
      <c r="O33" s="10">
        <v>3.5</v>
      </c>
      <c r="P33" s="10">
        <v>3</v>
      </c>
      <c r="Q33" s="10">
        <v>10.5</v>
      </c>
      <c r="R33" s="10">
        <v>76.641666666666666</v>
      </c>
      <c r="S33" s="10" t="s">
        <v>39</v>
      </c>
      <c r="T33" s="10">
        <v>3.5</v>
      </c>
      <c r="U33" s="10">
        <v>4</v>
      </c>
      <c r="V33" s="10">
        <v>14</v>
      </c>
      <c r="W33" s="10">
        <v>80.05</v>
      </c>
      <c r="X33" s="10" t="s">
        <v>38</v>
      </c>
      <c r="Y33" s="10">
        <v>4</v>
      </c>
      <c r="Z33" s="10">
        <v>2</v>
      </c>
      <c r="AA33" s="10">
        <v>8</v>
      </c>
      <c r="AB33" s="10">
        <v>83.7</v>
      </c>
      <c r="AC33" s="10" t="s">
        <v>38</v>
      </c>
      <c r="AD33" s="10">
        <v>4</v>
      </c>
      <c r="AE33" s="10">
        <v>4</v>
      </c>
      <c r="AF33" s="10">
        <v>16</v>
      </c>
      <c r="AG33" s="10">
        <v>74.400000000000006</v>
      </c>
      <c r="AH33" s="10" t="s">
        <v>40</v>
      </c>
      <c r="AI33" s="10">
        <v>3</v>
      </c>
      <c r="AJ33" s="10">
        <v>4</v>
      </c>
      <c r="AK33" s="10">
        <v>12</v>
      </c>
      <c r="AL33" s="10">
        <v>79.516666666666666</v>
      </c>
      <c r="AM33" s="10" t="s">
        <v>39</v>
      </c>
      <c r="AN33" s="10">
        <v>3.5</v>
      </c>
      <c r="AO33" s="10">
        <v>3</v>
      </c>
      <c r="AP33" s="10">
        <v>10.5</v>
      </c>
      <c r="AQ33" s="9">
        <v>84.2</v>
      </c>
      <c r="AR33" s="10" t="str">
        <f t="shared" si="157"/>
        <v>A</v>
      </c>
      <c r="AS33" s="1">
        <f t="shared" si="7"/>
        <v>4</v>
      </c>
      <c r="AT33" s="10">
        <v>3</v>
      </c>
      <c r="AU33" s="1">
        <f t="shared" si="158"/>
        <v>12</v>
      </c>
      <c r="AV33" s="12">
        <v>70</v>
      </c>
      <c r="AW33" s="10" t="str">
        <f t="shared" si="159"/>
        <v>B</v>
      </c>
      <c r="AX33" s="1">
        <f t="shared" si="8"/>
        <v>3</v>
      </c>
      <c r="AY33" s="10">
        <v>2</v>
      </c>
      <c r="AZ33" s="1">
        <f t="shared" si="160"/>
        <v>6</v>
      </c>
      <c r="BA33" s="15">
        <v>80.55</v>
      </c>
      <c r="BB33" s="10" t="str">
        <f t="shared" si="161"/>
        <v>A</v>
      </c>
      <c r="BC33" s="1">
        <f t="shared" si="9"/>
        <v>4</v>
      </c>
      <c r="BD33" s="10">
        <v>2</v>
      </c>
      <c r="BE33" s="1">
        <f t="shared" si="162"/>
        <v>8</v>
      </c>
      <c r="BF33" s="14">
        <v>60.7</v>
      </c>
      <c r="BG33" s="10" t="str">
        <f t="shared" si="163"/>
        <v>C</v>
      </c>
      <c r="BH33" s="1">
        <f t="shared" si="10"/>
        <v>2</v>
      </c>
      <c r="BI33" s="10">
        <v>3</v>
      </c>
      <c r="BJ33" s="1">
        <f t="shared" si="164"/>
        <v>6</v>
      </c>
      <c r="BK33" s="14">
        <v>82.75</v>
      </c>
      <c r="BL33" s="10" t="str">
        <f t="shared" si="165"/>
        <v>A</v>
      </c>
      <c r="BM33" s="1">
        <f t="shared" si="11"/>
        <v>4</v>
      </c>
      <c r="BN33" s="10">
        <v>2</v>
      </c>
      <c r="BO33" s="1">
        <f t="shared" si="166"/>
        <v>8</v>
      </c>
      <c r="BP33" s="12">
        <v>83.8</v>
      </c>
      <c r="BQ33" s="10" t="str">
        <f t="shared" si="167"/>
        <v>A</v>
      </c>
      <c r="BR33" s="1">
        <f t="shared" si="12"/>
        <v>4</v>
      </c>
      <c r="BS33" s="10">
        <v>2</v>
      </c>
      <c r="BT33" s="1">
        <f t="shared" si="168"/>
        <v>8</v>
      </c>
      <c r="BU33" s="12">
        <v>74.650000000000006</v>
      </c>
      <c r="BV33" s="10" t="str">
        <f t="shared" si="169"/>
        <v>B</v>
      </c>
      <c r="BW33" s="1">
        <f t="shared" si="13"/>
        <v>3</v>
      </c>
      <c r="BX33" s="10">
        <v>3</v>
      </c>
      <c r="BY33" s="1">
        <f t="shared" si="170"/>
        <v>9</v>
      </c>
      <c r="BZ33" s="15">
        <v>74.433333333333337</v>
      </c>
      <c r="CA33" s="10" t="str">
        <f t="shared" si="171"/>
        <v>B</v>
      </c>
      <c r="CB33" s="1">
        <f t="shared" si="14"/>
        <v>3</v>
      </c>
      <c r="CC33" s="10">
        <v>2</v>
      </c>
      <c r="CD33" s="1">
        <f t="shared" si="172"/>
        <v>6</v>
      </c>
      <c r="CE33" s="19">
        <v>78.95</v>
      </c>
      <c r="CF33" s="10" t="str">
        <f t="shared" si="72"/>
        <v>B+</v>
      </c>
      <c r="CG33" s="1">
        <f t="shared" si="15"/>
        <v>3.5</v>
      </c>
      <c r="CH33" s="10">
        <v>4</v>
      </c>
      <c r="CI33" s="1">
        <f t="shared" si="73"/>
        <v>14</v>
      </c>
      <c r="CJ33" s="19">
        <v>78.849999999999994</v>
      </c>
      <c r="CK33" s="10" t="str">
        <f t="shared" si="74"/>
        <v>B+</v>
      </c>
      <c r="CL33" s="1">
        <f t="shared" si="16"/>
        <v>3.5</v>
      </c>
      <c r="CM33" s="10">
        <v>4</v>
      </c>
      <c r="CN33" s="1">
        <f t="shared" si="75"/>
        <v>14</v>
      </c>
      <c r="CO33" s="19">
        <v>76.45</v>
      </c>
      <c r="CP33" s="10" t="str">
        <f t="shared" si="76"/>
        <v>B+</v>
      </c>
      <c r="CQ33" s="1">
        <f t="shared" si="17"/>
        <v>3.5</v>
      </c>
      <c r="CR33" s="10">
        <v>3</v>
      </c>
      <c r="CS33" s="1">
        <f t="shared" si="77"/>
        <v>10.5</v>
      </c>
      <c r="CT33" s="17">
        <v>80</v>
      </c>
      <c r="CU33" s="10" t="str">
        <f t="shared" si="78"/>
        <v>A</v>
      </c>
      <c r="CV33" s="1">
        <f t="shared" si="18"/>
        <v>4</v>
      </c>
      <c r="CW33" s="10">
        <v>2</v>
      </c>
      <c r="CX33" s="1">
        <f t="shared" si="79"/>
        <v>8</v>
      </c>
      <c r="CY33" s="18">
        <v>81.475000000000009</v>
      </c>
      <c r="CZ33" s="10" t="str">
        <f t="shared" si="80"/>
        <v>A</v>
      </c>
      <c r="DA33" s="1">
        <f t="shared" si="19"/>
        <v>4</v>
      </c>
      <c r="DB33" s="10">
        <v>2</v>
      </c>
      <c r="DC33" s="1">
        <f t="shared" si="81"/>
        <v>8</v>
      </c>
      <c r="DD33" s="19">
        <v>80.2</v>
      </c>
      <c r="DE33" s="10" t="str">
        <f t="shared" si="82"/>
        <v>A</v>
      </c>
      <c r="DF33" s="1">
        <f t="shared" si="20"/>
        <v>4</v>
      </c>
      <c r="DG33" s="10">
        <v>2</v>
      </c>
      <c r="DH33" s="1">
        <f t="shared" si="83"/>
        <v>8</v>
      </c>
      <c r="DI33" s="5">
        <v>87.5</v>
      </c>
      <c r="DJ33" s="10" t="str">
        <f t="shared" si="84"/>
        <v>A</v>
      </c>
      <c r="DK33" s="1">
        <f t="shared" si="21"/>
        <v>4</v>
      </c>
      <c r="DL33" s="10">
        <v>2</v>
      </c>
      <c r="DM33" s="1">
        <f t="shared" si="85"/>
        <v>8</v>
      </c>
      <c r="DN33" s="20">
        <v>78</v>
      </c>
      <c r="DO33" s="10" t="str">
        <f t="shared" si="86"/>
        <v>B+</v>
      </c>
      <c r="DP33" s="1">
        <f t="shared" si="22"/>
        <v>3.5</v>
      </c>
      <c r="DQ33" s="10">
        <v>2</v>
      </c>
      <c r="DR33" s="1">
        <f t="shared" si="87"/>
        <v>7</v>
      </c>
      <c r="DS33" s="19">
        <v>85.5</v>
      </c>
      <c r="DT33" s="10" t="str">
        <f t="shared" si="88"/>
        <v>A</v>
      </c>
      <c r="DU33" s="1">
        <f t="shared" si="23"/>
        <v>4</v>
      </c>
      <c r="DV33" s="10">
        <v>4</v>
      </c>
      <c r="DW33" s="1">
        <f t="shared" si="89"/>
        <v>16</v>
      </c>
      <c r="DX33" s="19">
        <v>84.1</v>
      </c>
      <c r="DY33" s="10" t="str">
        <f t="shared" si="90"/>
        <v>A</v>
      </c>
      <c r="DZ33" s="1">
        <f t="shared" si="24"/>
        <v>4</v>
      </c>
      <c r="EA33" s="10">
        <v>3</v>
      </c>
      <c r="EB33" s="1">
        <f t="shared" si="91"/>
        <v>12</v>
      </c>
      <c r="EC33" s="19">
        <v>79</v>
      </c>
      <c r="ED33" s="10" t="str">
        <f t="shared" si="92"/>
        <v>B+</v>
      </c>
      <c r="EE33" s="1">
        <f t="shared" si="25"/>
        <v>3.5</v>
      </c>
      <c r="EF33" s="10">
        <v>3</v>
      </c>
      <c r="EG33" s="1">
        <f t="shared" si="93"/>
        <v>10.5</v>
      </c>
      <c r="EH33" s="6">
        <v>79</v>
      </c>
      <c r="EI33" s="10" t="str">
        <f t="shared" si="94"/>
        <v>B+</v>
      </c>
      <c r="EJ33" s="1">
        <f t="shared" si="26"/>
        <v>3.5</v>
      </c>
      <c r="EK33" s="10">
        <v>3</v>
      </c>
      <c r="EL33" s="1">
        <f t="shared" si="95"/>
        <v>10.5</v>
      </c>
      <c r="EM33" s="18">
        <v>78.579688888888882</v>
      </c>
      <c r="EN33" s="10" t="str">
        <f t="shared" si="96"/>
        <v>B+</v>
      </c>
      <c r="EO33" s="1">
        <f t="shared" si="27"/>
        <v>3.5</v>
      </c>
      <c r="EP33" s="10">
        <v>3</v>
      </c>
      <c r="EQ33" s="1">
        <f t="shared" si="97"/>
        <v>10.5</v>
      </c>
      <c r="ER33" s="7">
        <v>80.5</v>
      </c>
      <c r="ES33" s="10" t="str">
        <f t="shared" si="98"/>
        <v>A</v>
      </c>
      <c r="ET33" s="1">
        <f t="shared" si="28"/>
        <v>4</v>
      </c>
      <c r="EU33" s="10">
        <v>2</v>
      </c>
      <c r="EV33" s="1">
        <f t="shared" si="99"/>
        <v>8</v>
      </c>
      <c r="EW33" s="5">
        <v>80</v>
      </c>
      <c r="EX33" s="10" t="str">
        <f t="shared" si="100"/>
        <v>A</v>
      </c>
      <c r="EY33" s="1">
        <f t="shared" si="29"/>
        <v>4</v>
      </c>
      <c r="EZ33" s="10">
        <v>3</v>
      </c>
      <c r="FA33" s="1">
        <f t="shared" si="101"/>
        <v>12</v>
      </c>
      <c r="FB33" s="19">
        <v>78.5</v>
      </c>
      <c r="FC33" s="10" t="str">
        <f t="shared" si="102"/>
        <v>B+</v>
      </c>
      <c r="FD33" s="1">
        <f t="shared" si="30"/>
        <v>3.5</v>
      </c>
      <c r="FE33" s="10">
        <v>2</v>
      </c>
      <c r="FF33" s="1">
        <f t="shared" si="103"/>
        <v>7</v>
      </c>
      <c r="FG33" s="19">
        <v>81</v>
      </c>
      <c r="FH33" s="10" t="str">
        <f t="shared" si="104"/>
        <v>A</v>
      </c>
      <c r="FI33" s="1">
        <f t="shared" si="31"/>
        <v>4</v>
      </c>
      <c r="FJ33" s="10">
        <v>3</v>
      </c>
      <c r="FK33" s="1">
        <f t="shared" si="105"/>
        <v>12</v>
      </c>
      <c r="FL33" s="19">
        <v>79.066666666666663</v>
      </c>
      <c r="FM33" s="10" t="str">
        <f t="shared" si="106"/>
        <v>B+</v>
      </c>
      <c r="FN33" s="1">
        <f t="shared" si="32"/>
        <v>3.5</v>
      </c>
      <c r="FO33" s="10">
        <v>3</v>
      </c>
      <c r="FP33" s="1">
        <f t="shared" si="107"/>
        <v>10.5</v>
      </c>
      <c r="FQ33" s="6">
        <v>79.14</v>
      </c>
      <c r="FR33" s="10" t="str">
        <f t="shared" si="108"/>
        <v>B+</v>
      </c>
      <c r="FS33" s="1">
        <f t="shared" si="109"/>
        <v>3.5</v>
      </c>
      <c r="FT33" s="10">
        <v>3</v>
      </c>
      <c r="FU33" s="1">
        <f t="shared" si="110"/>
        <v>10.5</v>
      </c>
      <c r="FV33" s="18">
        <v>77.3</v>
      </c>
      <c r="FW33" s="10" t="str">
        <f t="shared" si="111"/>
        <v>B+</v>
      </c>
      <c r="FX33" s="1">
        <f t="shared" si="33"/>
        <v>3.5</v>
      </c>
      <c r="FY33" s="10">
        <v>3</v>
      </c>
      <c r="FZ33" s="1">
        <f t="shared" si="112"/>
        <v>10.5</v>
      </c>
      <c r="GA33" s="7">
        <v>75.05</v>
      </c>
      <c r="GB33" s="10" t="str">
        <f t="shared" si="113"/>
        <v>B+</v>
      </c>
      <c r="GC33" s="1">
        <f t="shared" si="34"/>
        <v>3.5</v>
      </c>
      <c r="GD33" s="10">
        <v>2</v>
      </c>
      <c r="GE33" s="1">
        <f t="shared" si="114"/>
        <v>7</v>
      </c>
      <c r="GF33" s="5">
        <v>80.3</v>
      </c>
      <c r="GG33" s="10" t="str">
        <f t="shared" si="115"/>
        <v>A</v>
      </c>
      <c r="GH33" s="1">
        <f t="shared" si="35"/>
        <v>4</v>
      </c>
      <c r="GI33" s="10">
        <v>3</v>
      </c>
      <c r="GJ33" s="1">
        <f t="shared" si="116"/>
        <v>12</v>
      </c>
      <c r="GK33" s="5">
        <v>75.150000000000006</v>
      </c>
      <c r="GL33" s="10" t="str">
        <f t="shared" si="117"/>
        <v>B+</v>
      </c>
      <c r="GM33" s="1">
        <f t="shared" si="36"/>
        <v>3.5</v>
      </c>
      <c r="GN33" s="10">
        <v>2</v>
      </c>
      <c r="GO33" s="1">
        <f t="shared" si="118"/>
        <v>7</v>
      </c>
      <c r="GP33" s="19">
        <v>76.8</v>
      </c>
      <c r="GQ33" s="10" t="str">
        <f t="shared" si="119"/>
        <v>B+</v>
      </c>
      <c r="GR33" s="1">
        <f t="shared" si="37"/>
        <v>3.5</v>
      </c>
      <c r="GS33" s="10">
        <v>3</v>
      </c>
      <c r="GT33" s="1">
        <f t="shared" si="120"/>
        <v>10.5</v>
      </c>
      <c r="GU33" s="19">
        <v>75.3</v>
      </c>
      <c r="GV33" s="10" t="str">
        <f t="shared" si="121"/>
        <v>B+</v>
      </c>
      <c r="GW33" s="1">
        <f t="shared" si="38"/>
        <v>3.5</v>
      </c>
      <c r="GX33" s="10">
        <v>4</v>
      </c>
      <c r="GY33" s="1">
        <f t="shared" si="122"/>
        <v>14</v>
      </c>
      <c r="GZ33" s="7">
        <v>72.25</v>
      </c>
      <c r="HA33" s="10" t="str">
        <f t="shared" si="123"/>
        <v>B</v>
      </c>
      <c r="HB33" s="1">
        <f t="shared" si="124"/>
        <v>3</v>
      </c>
      <c r="HC33" s="10">
        <v>4</v>
      </c>
      <c r="HD33" s="1">
        <f t="shared" si="125"/>
        <v>12</v>
      </c>
      <c r="HE33" s="6">
        <v>75.400000000000006</v>
      </c>
      <c r="HF33" s="10" t="str">
        <f t="shared" si="126"/>
        <v>B+</v>
      </c>
      <c r="HG33" s="1">
        <f t="shared" si="39"/>
        <v>3.5</v>
      </c>
      <c r="HH33" s="10">
        <v>2</v>
      </c>
      <c r="HI33" s="1">
        <f t="shared" si="127"/>
        <v>7</v>
      </c>
      <c r="HJ33" s="18">
        <v>73</v>
      </c>
      <c r="HK33" s="10" t="str">
        <f t="shared" si="128"/>
        <v>B</v>
      </c>
      <c r="HL33" s="1">
        <f t="shared" si="40"/>
        <v>3</v>
      </c>
      <c r="HM33" s="10">
        <v>3</v>
      </c>
      <c r="HN33" s="1">
        <f t="shared" si="129"/>
        <v>9</v>
      </c>
      <c r="HO33" s="12">
        <v>78.625</v>
      </c>
      <c r="HP33" s="10" t="str">
        <f t="shared" si="130"/>
        <v>B+</v>
      </c>
      <c r="HQ33" s="1">
        <f t="shared" si="41"/>
        <v>3.5</v>
      </c>
      <c r="HR33" s="10">
        <v>3</v>
      </c>
      <c r="HS33" s="1">
        <f t="shared" si="131"/>
        <v>10.5</v>
      </c>
      <c r="HT33" s="10">
        <v>80.400000000000006</v>
      </c>
      <c r="HU33" s="10" t="str">
        <f t="shared" si="132"/>
        <v>A</v>
      </c>
      <c r="HV33" s="1">
        <f t="shared" si="133"/>
        <v>4</v>
      </c>
      <c r="HW33" s="10">
        <v>4</v>
      </c>
      <c r="HX33" s="1">
        <f t="shared" si="134"/>
        <v>16</v>
      </c>
      <c r="HY33" s="19">
        <v>80.349999999999994</v>
      </c>
      <c r="HZ33" s="10" t="str">
        <f t="shared" si="135"/>
        <v>A</v>
      </c>
      <c r="IA33" s="1">
        <f t="shared" si="136"/>
        <v>4</v>
      </c>
      <c r="IB33" s="10">
        <v>2</v>
      </c>
      <c r="IC33" s="1">
        <f t="shared" si="137"/>
        <v>8</v>
      </c>
      <c r="ID33" s="7">
        <v>79</v>
      </c>
      <c r="IE33" s="10" t="str">
        <f t="shared" si="138"/>
        <v>B+</v>
      </c>
      <c r="IF33" s="1">
        <f t="shared" si="139"/>
        <v>3.5</v>
      </c>
      <c r="IG33" s="10">
        <v>3</v>
      </c>
      <c r="IH33" s="1">
        <f t="shared" si="140"/>
        <v>10.5</v>
      </c>
      <c r="II33" s="6">
        <v>80.400000000000006</v>
      </c>
      <c r="IJ33" s="10" t="str">
        <f t="shared" si="141"/>
        <v>A</v>
      </c>
      <c r="IK33" s="1">
        <f t="shared" si="142"/>
        <v>4</v>
      </c>
      <c r="IL33" s="10">
        <v>2</v>
      </c>
      <c r="IM33" s="1">
        <f t="shared" si="143"/>
        <v>8</v>
      </c>
      <c r="IN33" s="18">
        <v>69.88</v>
      </c>
      <c r="IO33" s="10" t="str">
        <f t="shared" si="144"/>
        <v>C+</v>
      </c>
      <c r="IP33" s="1">
        <f t="shared" si="145"/>
        <v>2.5</v>
      </c>
      <c r="IQ33" s="10">
        <v>2</v>
      </c>
      <c r="IR33" s="1">
        <f t="shared" si="146"/>
        <v>5</v>
      </c>
      <c r="IS33" s="10">
        <v>71.2</v>
      </c>
      <c r="IT33" s="10" t="str">
        <f t="shared" si="147"/>
        <v>B</v>
      </c>
      <c r="IU33" s="1">
        <f t="shared" si="148"/>
        <v>3</v>
      </c>
      <c r="IV33" s="10">
        <v>4</v>
      </c>
      <c r="IW33" s="1">
        <f t="shared" si="149"/>
        <v>12</v>
      </c>
      <c r="IX33" s="10">
        <v>81</v>
      </c>
      <c r="IY33" s="10" t="str">
        <f t="shared" si="150"/>
        <v>A</v>
      </c>
      <c r="IZ33" s="1">
        <f t="shared" si="151"/>
        <v>4</v>
      </c>
      <c r="JA33" s="10">
        <v>4</v>
      </c>
      <c r="JB33" s="1">
        <f t="shared" si="152"/>
        <v>16</v>
      </c>
      <c r="JC33" s="2">
        <v>79</v>
      </c>
      <c r="JD33" s="2">
        <v>22</v>
      </c>
      <c r="JE33" s="2">
        <v>63</v>
      </c>
      <c r="JF33" s="2">
        <v>19</v>
      </c>
      <c r="JG33" s="2">
        <v>77.5</v>
      </c>
      <c r="JH33" s="2">
        <v>21</v>
      </c>
      <c r="JI33" s="2">
        <v>79.5</v>
      </c>
      <c r="JJ33" s="2">
        <v>21</v>
      </c>
      <c r="JK33" s="2">
        <v>76.5</v>
      </c>
      <c r="JL33" s="2">
        <v>21</v>
      </c>
      <c r="JM33" s="2">
        <v>63</v>
      </c>
      <c r="JN33" s="2">
        <v>19</v>
      </c>
      <c r="JO33" s="2">
        <v>59.5</v>
      </c>
      <c r="JP33" s="2">
        <v>17</v>
      </c>
      <c r="JQ33" s="2">
        <v>16</v>
      </c>
      <c r="JR33" s="2">
        <v>4</v>
      </c>
      <c r="JS33" s="2">
        <f t="shared" si="153"/>
        <v>514</v>
      </c>
      <c r="JT33" s="2">
        <f t="shared" si="153"/>
        <v>144</v>
      </c>
      <c r="JU33" s="3">
        <f t="shared" si="154"/>
        <v>3.5694444444444446</v>
      </c>
      <c r="JV33" s="2" t="str">
        <f t="shared" si="155"/>
        <v>Cum Laude</v>
      </c>
      <c r="JW33" s="2" t="str">
        <f t="shared" si="156"/>
        <v>Excellent</v>
      </c>
      <c r="JX33" s="23" t="s">
        <v>217</v>
      </c>
      <c r="JY33" s="23" t="s">
        <v>285</v>
      </c>
    </row>
    <row r="34" spans="1:285" x14ac:dyDescent="0.25">
      <c r="A34" s="55">
        <v>32</v>
      </c>
      <c r="B34" s="40" t="s">
        <v>165</v>
      </c>
      <c r="C34" s="2">
        <v>152111054</v>
      </c>
      <c r="D34" s="10" t="s">
        <v>161</v>
      </c>
      <c r="E34" s="24" t="s">
        <v>162</v>
      </c>
      <c r="F34" s="27" t="s">
        <v>219</v>
      </c>
      <c r="G34" s="2" t="s">
        <v>248</v>
      </c>
      <c r="H34" s="10">
        <v>72.25</v>
      </c>
      <c r="I34" s="10" t="s">
        <v>40</v>
      </c>
      <c r="J34" s="10">
        <v>3</v>
      </c>
      <c r="K34" s="10">
        <v>2</v>
      </c>
      <c r="L34" s="10">
        <v>6</v>
      </c>
      <c r="M34" s="10">
        <v>75.125</v>
      </c>
      <c r="N34" s="10" t="s">
        <v>39</v>
      </c>
      <c r="O34" s="10">
        <v>3.5</v>
      </c>
      <c r="P34" s="10">
        <v>3</v>
      </c>
      <c r="Q34" s="10">
        <v>10.5</v>
      </c>
      <c r="R34" s="10">
        <v>72.891666666666666</v>
      </c>
      <c r="S34" s="10" t="s">
        <v>40</v>
      </c>
      <c r="T34" s="10">
        <v>3</v>
      </c>
      <c r="U34" s="10">
        <v>4</v>
      </c>
      <c r="V34" s="10">
        <v>12</v>
      </c>
      <c r="W34" s="10">
        <v>79.3</v>
      </c>
      <c r="X34" s="10" t="s">
        <v>39</v>
      </c>
      <c r="Y34" s="10">
        <v>3.5</v>
      </c>
      <c r="Z34" s="10">
        <v>2</v>
      </c>
      <c r="AA34" s="10">
        <v>7</v>
      </c>
      <c r="AB34" s="10">
        <v>64.599999999999994</v>
      </c>
      <c r="AC34" s="10" t="s">
        <v>47</v>
      </c>
      <c r="AD34" s="10">
        <v>2</v>
      </c>
      <c r="AE34" s="10">
        <v>4</v>
      </c>
      <c r="AF34" s="10">
        <v>8</v>
      </c>
      <c r="AG34" s="10">
        <v>73</v>
      </c>
      <c r="AH34" s="10" t="s">
        <v>40</v>
      </c>
      <c r="AI34" s="10">
        <v>3</v>
      </c>
      <c r="AJ34" s="10">
        <v>4</v>
      </c>
      <c r="AK34" s="10">
        <v>12</v>
      </c>
      <c r="AL34" s="10">
        <v>79.61666666666666</v>
      </c>
      <c r="AM34" s="10" t="s">
        <v>39</v>
      </c>
      <c r="AN34" s="10">
        <v>3.5</v>
      </c>
      <c r="AO34" s="10">
        <v>3</v>
      </c>
      <c r="AP34" s="10">
        <v>10.5</v>
      </c>
      <c r="AQ34" s="9">
        <v>76.400000000000006</v>
      </c>
      <c r="AR34" s="10" t="str">
        <f t="shared" si="157"/>
        <v>B+</v>
      </c>
      <c r="AS34" s="1">
        <f t="shared" si="7"/>
        <v>3.5</v>
      </c>
      <c r="AT34" s="10">
        <v>3</v>
      </c>
      <c r="AU34" s="1">
        <f t="shared" si="158"/>
        <v>10.5</v>
      </c>
      <c r="AV34" s="12">
        <v>70</v>
      </c>
      <c r="AW34" s="10" t="str">
        <f t="shared" si="159"/>
        <v>B</v>
      </c>
      <c r="AX34" s="1">
        <f t="shared" si="8"/>
        <v>3</v>
      </c>
      <c r="AY34" s="10">
        <v>2</v>
      </c>
      <c r="AZ34" s="1">
        <f t="shared" si="160"/>
        <v>6</v>
      </c>
      <c r="BA34" s="15">
        <v>80.349999999999994</v>
      </c>
      <c r="BB34" s="10" t="str">
        <f t="shared" si="161"/>
        <v>A</v>
      </c>
      <c r="BC34" s="1">
        <f t="shared" si="9"/>
        <v>4</v>
      </c>
      <c r="BD34" s="10">
        <v>2</v>
      </c>
      <c r="BE34" s="1">
        <f t="shared" si="162"/>
        <v>8</v>
      </c>
      <c r="BF34" s="14">
        <v>72.849999999999994</v>
      </c>
      <c r="BG34" s="10" t="str">
        <f t="shared" si="163"/>
        <v>B</v>
      </c>
      <c r="BH34" s="1">
        <f t="shared" si="10"/>
        <v>3</v>
      </c>
      <c r="BI34" s="10">
        <v>3</v>
      </c>
      <c r="BJ34" s="1">
        <f t="shared" si="164"/>
        <v>9</v>
      </c>
      <c r="BK34" s="14">
        <v>77.25</v>
      </c>
      <c r="BL34" s="10" t="str">
        <f t="shared" si="165"/>
        <v>B+</v>
      </c>
      <c r="BM34" s="1">
        <f t="shared" si="11"/>
        <v>3.5</v>
      </c>
      <c r="BN34" s="10">
        <v>2</v>
      </c>
      <c r="BO34" s="1">
        <f t="shared" si="166"/>
        <v>7</v>
      </c>
      <c r="BP34" s="12">
        <v>74.5</v>
      </c>
      <c r="BQ34" s="10" t="str">
        <f t="shared" si="167"/>
        <v>B</v>
      </c>
      <c r="BR34" s="1">
        <f t="shared" si="12"/>
        <v>3</v>
      </c>
      <c r="BS34" s="10">
        <v>2</v>
      </c>
      <c r="BT34" s="1">
        <f t="shared" si="168"/>
        <v>6</v>
      </c>
      <c r="BU34" s="12">
        <v>72.3</v>
      </c>
      <c r="BV34" s="10" t="str">
        <f t="shared" si="169"/>
        <v>B</v>
      </c>
      <c r="BW34" s="1">
        <f t="shared" si="13"/>
        <v>3</v>
      </c>
      <c r="BX34" s="10">
        <v>3</v>
      </c>
      <c r="BY34" s="1">
        <f t="shared" si="170"/>
        <v>9</v>
      </c>
      <c r="BZ34" s="15">
        <v>67.849999999999994</v>
      </c>
      <c r="CA34" s="10" t="str">
        <f t="shared" si="171"/>
        <v>C+</v>
      </c>
      <c r="CB34" s="1">
        <f t="shared" si="14"/>
        <v>2.5</v>
      </c>
      <c r="CC34" s="10">
        <v>2</v>
      </c>
      <c r="CD34" s="1">
        <f t="shared" si="172"/>
        <v>5</v>
      </c>
      <c r="CE34" s="19">
        <v>78</v>
      </c>
      <c r="CF34" s="10" t="str">
        <f t="shared" si="72"/>
        <v>B+</v>
      </c>
      <c r="CG34" s="1">
        <f t="shared" si="15"/>
        <v>3.5</v>
      </c>
      <c r="CH34" s="10">
        <v>4</v>
      </c>
      <c r="CI34" s="1">
        <f t="shared" si="73"/>
        <v>14</v>
      </c>
      <c r="CJ34" s="19">
        <v>76.399999999999991</v>
      </c>
      <c r="CK34" s="10" t="str">
        <f t="shared" si="74"/>
        <v>B+</v>
      </c>
      <c r="CL34" s="1">
        <f t="shared" si="16"/>
        <v>3.5</v>
      </c>
      <c r="CM34" s="10">
        <v>4</v>
      </c>
      <c r="CN34" s="1">
        <f t="shared" si="75"/>
        <v>14</v>
      </c>
      <c r="CO34" s="19">
        <v>73.525000000000006</v>
      </c>
      <c r="CP34" s="10" t="str">
        <f t="shared" si="76"/>
        <v>B</v>
      </c>
      <c r="CQ34" s="1">
        <f t="shared" si="17"/>
        <v>3</v>
      </c>
      <c r="CR34" s="10">
        <v>3</v>
      </c>
      <c r="CS34" s="1">
        <f t="shared" si="77"/>
        <v>9</v>
      </c>
      <c r="CT34" s="17">
        <v>73.366285714285723</v>
      </c>
      <c r="CU34" s="10" t="str">
        <f t="shared" si="78"/>
        <v>B</v>
      </c>
      <c r="CV34" s="1">
        <f t="shared" si="18"/>
        <v>3</v>
      </c>
      <c r="CW34" s="10">
        <v>2</v>
      </c>
      <c r="CX34" s="1">
        <f t="shared" si="79"/>
        <v>6</v>
      </c>
      <c r="CY34" s="18">
        <v>82.975000000000009</v>
      </c>
      <c r="CZ34" s="10" t="str">
        <f t="shared" si="80"/>
        <v>A</v>
      </c>
      <c r="DA34" s="1">
        <f t="shared" si="19"/>
        <v>4</v>
      </c>
      <c r="DB34" s="10">
        <v>2</v>
      </c>
      <c r="DC34" s="1">
        <f t="shared" si="81"/>
        <v>8</v>
      </c>
      <c r="DD34" s="19">
        <v>80.099999999999994</v>
      </c>
      <c r="DE34" s="10" t="str">
        <f t="shared" si="82"/>
        <v>A</v>
      </c>
      <c r="DF34" s="1">
        <f t="shared" si="20"/>
        <v>4</v>
      </c>
      <c r="DG34" s="10">
        <v>2</v>
      </c>
      <c r="DH34" s="1">
        <f t="shared" si="83"/>
        <v>8</v>
      </c>
      <c r="DI34" s="5">
        <v>73.75</v>
      </c>
      <c r="DJ34" s="10" t="str">
        <f t="shared" si="84"/>
        <v>B</v>
      </c>
      <c r="DK34" s="1">
        <f t="shared" si="21"/>
        <v>3</v>
      </c>
      <c r="DL34" s="10">
        <v>2</v>
      </c>
      <c r="DM34" s="1">
        <f t="shared" si="85"/>
        <v>6</v>
      </c>
      <c r="DN34" s="20">
        <v>75</v>
      </c>
      <c r="DO34" s="10" t="str">
        <f t="shared" si="86"/>
        <v>B+</v>
      </c>
      <c r="DP34" s="1">
        <f t="shared" si="22"/>
        <v>3.5</v>
      </c>
      <c r="DQ34" s="10">
        <v>2</v>
      </c>
      <c r="DR34" s="1">
        <f t="shared" si="87"/>
        <v>7</v>
      </c>
      <c r="DS34" s="19">
        <v>75.05</v>
      </c>
      <c r="DT34" s="10" t="str">
        <f t="shared" si="88"/>
        <v>B+</v>
      </c>
      <c r="DU34" s="1">
        <f t="shared" si="23"/>
        <v>3.5</v>
      </c>
      <c r="DV34" s="10">
        <v>4</v>
      </c>
      <c r="DW34" s="1">
        <f t="shared" si="89"/>
        <v>14</v>
      </c>
      <c r="DX34" s="19">
        <v>71.75</v>
      </c>
      <c r="DY34" s="10" t="str">
        <f t="shared" si="90"/>
        <v>B</v>
      </c>
      <c r="DZ34" s="1">
        <f t="shared" si="24"/>
        <v>3</v>
      </c>
      <c r="EA34" s="10">
        <v>3</v>
      </c>
      <c r="EB34" s="1">
        <f t="shared" si="91"/>
        <v>9</v>
      </c>
      <c r="EC34" s="19">
        <v>78.2</v>
      </c>
      <c r="ED34" s="10" t="str">
        <f t="shared" si="92"/>
        <v>B+</v>
      </c>
      <c r="EE34" s="1">
        <f t="shared" si="25"/>
        <v>3.5</v>
      </c>
      <c r="EF34" s="10">
        <v>3</v>
      </c>
      <c r="EG34" s="1">
        <f t="shared" si="93"/>
        <v>10.5</v>
      </c>
      <c r="EH34" s="6">
        <v>78</v>
      </c>
      <c r="EI34" s="10" t="str">
        <f t="shared" si="94"/>
        <v>B+</v>
      </c>
      <c r="EJ34" s="1">
        <f t="shared" si="26"/>
        <v>3.5</v>
      </c>
      <c r="EK34" s="10">
        <v>3</v>
      </c>
      <c r="EL34" s="1">
        <f t="shared" si="95"/>
        <v>10.5</v>
      </c>
      <c r="EM34" s="18">
        <v>74.88333333333334</v>
      </c>
      <c r="EN34" s="10" t="str">
        <f t="shared" si="96"/>
        <v>B</v>
      </c>
      <c r="EO34" s="1">
        <f t="shared" si="27"/>
        <v>3</v>
      </c>
      <c r="EP34" s="10">
        <v>3</v>
      </c>
      <c r="EQ34" s="1">
        <f t="shared" si="97"/>
        <v>9</v>
      </c>
      <c r="ER34" s="7">
        <v>77.5</v>
      </c>
      <c r="ES34" s="10" t="str">
        <f t="shared" si="98"/>
        <v>B+</v>
      </c>
      <c r="ET34" s="1">
        <f t="shared" si="28"/>
        <v>3.5</v>
      </c>
      <c r="EU34" s="10">
        <v>2</v>
      </c>
      <c r="EV34" s="1">
        <f t="shared" si="99"/>
        <v>7</v>
      </c>
      <c r="EW34" s="5">
        <v>80.3</v>
      </c>
      <c r="EX34" s="10" t="str">
        <f t="shared" si="100"/>
        <v>A</v>
      </c>
      <c r="EY34" s="1">
        <f t="shared" si="29"/>
        <v>4</v>
      </c>
      <c r="EZ34" s="10">
        <v>3</v>
      </c>
      <c r="FA34" s="1">
        <f t="shared" si="101"/>
        <v>12</v>
      </c>
      <c r="FB34" s="19">
        <v>77</v>
      </c>
      <c r="FC34" s="10" t="str">
        <f t="shared" si="102"/>
        <v>B+</v>
      </c>
      <c r="FD34" s="1">
        <f t="shared" si="30"/>
        <v>3.5</v>
      </c>
      <c r="FE34" s="10">
        <v>2</v>
      </c>
      <c r="FF34" s="1">
        <f t="shared" si="103"/>
        <v>7</v>
      </c>
      <c r="FG34" s="19">
        <v>79</v>
      </c>
      <c r="FH34" s="10" t="str">
        <f t="shared" si="104"/>
        <v>B+</v>
      </c>
      <c r="FI34" s="1">
        <f t="shared" si="31"/>
        <v>3.5</v>
      </c>
      <c r="FJ34" s="10">
        <v>3</v>
      </c>
      <c r="FK34" s="1">
        <f t="shared" si="105"/>
        <v>10.5</v>
      </c>
      <c r="FL34" s="19">
        <v>76.400000000000006</v>
      </c>
      <c r="FM34" s="10" t="str">
        <f t="shared" si="106"/>
        <v>B+</v>
      </c>
      <c r="FN34" s="1">
        <f t="shared" si="32"/>
        <v>3.5</v>
      </c>
      <c r="FO34" s="10">
        <v>3</v>
      </c>
      <c r="FP34" s="1">
        <f t="shared" si="107"/>
        <v>10.5</v>
      </c>
      <c r="FQ34" s="6">
        <v>77.77</v>
      </c>
      <c r="FR34" s="10" t="str">
        <f t="shared" si="108"/>
        <v>B+</v>
      </c>
      <c r="FS34" s="1">
        <f t="shared" si="109"/>
        <v>3.5</v>
      </c>
      <c r="FT34" s="10">
        <v>3</v>
      </c>
      <c r="FU34" s="1">
        <f t="shared" si="110"/>
        <v>10.5</v>
      </c>
      <c r="FV34" s="18">
        <v>78.900000000000006</v>
      </c>
      <c r="FW34" s="10" t="str">
        <f t="shared" si="111"/>
        <v>B+</v>
      </c>
      <c r="FX34" s="1">
        <f t="shared" si="33"/>
        <v>3.5</v>
      </c>
      <c r="FY34" s="10">
        <v>3</v>
      </c>
      <c r="FZ34" s="1">
        <f t="shared" si="112"/>
        <v>10.5</v>
      </c>
      <c r="GA34" s="7">
        <v>75.3</v>
      </c>
      <c r="GB34" s="10" t="str">
        <f t="shared" si="113"/>
        <v>B+</v>
      </c>
      <c r="GC34" s="1">
        <f t="shared" si="34"/>
        <v>3.5</v>
      </c>
      <c r="GD34" s="10">
        <v>2</v>
      </c>
      <c r="GE34" s="1">
        <f t="shared" si="114"/>
        <v>7</v>
      </c>
      <c r="GF34" s="5">
        <v>77</v>
      </c>
      <c r="GG34" s="10" t="str">
        <f t="shared" si="115"/>
        <v>B+</v>
      </c>
      <c r="GH34" s="1">
        <f t="shared" si="35"/>
        <v>3.5</v>
      </c>
      <c r="GI34" s="10">
        <v>3</v>
      </c>
      <c r="GJ34" s="1">
        <f t="shared" si="116"/>
        <v>10.5</v>
      </c>
      <c r="GK34" s="5">
        <v>65.8</v>
      </c>
      <c r="GL34" s="10" t="str">
        <f t="shared" si="117"/>
        <v>C+</v>
      </c>
      <c r="GM34" s="1">
        <f t="shared" si="36"/>
        <v>2.5</v>
      </c>
      <c r="GN34" s="10">
        <v>2</v>
      </c>
      <c r="GO34" s="1">
        <f t="shared" si="118"/>
        <v>5</v>
      </c>
      <c r="GP34" s="19">
        <v>75</v>
      </c>
      <c r="GQ34" s="10" t="str">
        <f t="shared" si="119"/>
        <v>B+</v>
      </c>
      <c r="GR34" s="1">
        <f t="shared" si="37"/>
        <v>3.5</v>
      </c>
      <c r="GS34" s="10">
        <v>3</v>
      </c>
      <c r="GT34" s="1">
        <f t="shared" si="120"/>
        <v>10.5</v>
      </c>
      <c r="GU34" s="19">
        <v>73.94</v>
      </c>
      <c r="GV34" s="10" t="str">
        <f t="shared" si="121"/>
        <v>B</v>
      </c>
      <c r="GW34" s="1">
        <f t="shared" si="38"/>
        <v>3</v>
      </c>
      <c r="GX34" s="10">
        <v>4</v>
      </c>
      <c r="GY34" s="1">
        <f t="shared" si="122"/>
        <v>12</v>
      </c>
      <c r="GZ34" s="7">
        <v>72.25</v>
      </c>
      <c r="HA34" s="10" t="str">
        <f t="shared" si="123"/>
        <v>B</v>
      </c>
      <c r="HB34" s="1">
        <f t="shared" si="124"/>
        <v>3</v>
      </c>
      <c r="HC34" s="10">
        <v>4</v>
      </c>
      <c r="HD34" s="1">
        <f t="shared" si="125"/>
        <v>12</v>
      </c>
      <c r="HE34" s="6">
        <v>76.099999999999994</v>
      </c>
      <c r="HF34" s="10" t="str">
        <f t="shared" si="126"/>
        <v>B+</v>
      </c>
      <c r="HG34" s="1">
        <f t="shared" si="39"/>
        <v>3.5</v>
      </c>
      <c r="HH34" s="10">
        <v>2</v>
      </c>
      <c r="HI34" s="1">
        <f t="shared" si="127"/>
        <v>7</v>
      </c>
      <c r="HJ34" s="18">
        <v>70.416666666666671</v>
      </c>
      <c r="HK34" s="10" t="str">
        <f t="shared" si="128"/>
        <v>B</v>
      </c>
      <c r="HL34" s="1">
        <f t="shared" si="40"/>
        <v>3</v>
      </c>
      <c r="HM34" s="10">
        <v>3</v>
      </c>
      <c r="HN34" s="1">
        <f t="shared" si="129"/>
        <v>9</v>
      </c>
      <c r="HO34" s="12">
        <v>72.775000000000006</v>
      </c>
      <c r="HP34" s="10" t="str">
        <f t="shared" si="130"/>
        <v>B</v>
      </c>
      <c r="HQ34" s="1">
        <f t="shared" si="41"/>
        <v>3</v>
      </c>
      <c r="HR34" s="10">
        <v>3</v>
      </c>
      <c r="HS34" s="1">
        <f t="shared" si="131"/>
        <v>9</v>
      </c>
      <c r="HT34" s="10">
        <v>74.400000000000006</v>
      </c>
      <c r="HU34" s="10" t="str">
        <f t="shared" si="132"/>
        <v>B</v>
      </c>
      <c r="HV34" s="1">
        <f t="shared" si="133"/>
        <v>3</v>
      </c>
      <c r="HW34" s="10">
        <v>4</v>
      </c>
      <c r="HX34" s="1">
        <f t="shared" si="134"/>
        <v>12</v>
      </c>
      <c r="HY34" s="19">
        <v>78.349999999999994</v>
      </c>
      <c r="HZ34" s="10" t="str">
        <f t="shared" si="135"/>
        <v>B+</v>
      </c>
      <c r="IA34" s="1">
        <f t="shared" si="136"/>
        <v>3.5</v>
      </c>
      <c r="IB34" s="10">
        <v>2</v>
      </c>
      <c r="IC34" s="1">
        <f t="shared" si="137"/>
        <v>7</v>
      </c>
      <c r="ID34" s="7">
        <v>75.58</v>
      </c>
      <c r="IE34" s="10" t="str">
        <f t="shared" si="138"/>
        <v>B+</v>
      </c>
      <c r="IF34" s="1">
        <f t="shared" si="139"/>
        <v>3.5</v>
      </c>
      <c r="IG34" s="10">
        <v>3</v>
      </c>
      <c r="IH34" s="1">
        <f t="shared" si="140"/>
        <v>10.5</v>
      </c>
      <c r="II34" s="6">
        <v>74.400000000000006</v>
      </c>
      <c r="IJ34" s="10" t="str">
        <f t="shared" si="141"/>
        <v>B</v>
      </c>
      <c r="IK34" s="1">
        <f t="shared" si="142"/>
        <v>3</v>
      </c>
      <c r="IL34" s="10">
        <v>2</v>
      </c>
      <c r="IM34" s="1">
        <f t="shared" si="143"/>
        <v>6</v>
      </c>
      <c r="IN34" s="18">
        <v>78.03</v>
      </c>
      <c r="IO34" s="10" t="str">
        <f t="shared" si="144"/>
        <v>B+</v>
      </c>
      <c r="IP34" s="1">
        <f t="shared" si="145"/>
        <v>3.5</v>
      </c>
      <c r="IQ34" s="10">
        <v>2</v>
      </c>
      <c r="IR34" s="1">
        <f t="shared" si="146"/>
        <v>7</v>
      </c>
      <c r="IS34" s="10">
        <v>75.400000000000006</v>
      </c>
      <c r="IT34" s="10" t="str">
        <f t="shared" si="147"/>
        <v>B+</v>
      </c>
      <c r="IU34" s="1">
        <f t="shared" si="148"/>
        <v>3.5</v>
      </c>
      <c r="IV34" s="10">
        <v>4</v>
      </c>
      <c r="IW34" s="1">
        <f t="shared" si="149"/>
        <v>14</v>
      </c>
      <c r="IX34" s="10">
        <v>80</v>
      </c>
      <c r="IY34" s="10" t="str">
        <f t="shared" si="150"/>
        <v>A</v>
      </c>
      <c r="IZ34" s="1">
        <f t="shared" si="151"/>
        <v>4</v>
      </c>
      <c r="JA34" s="10">
        <v>4</v>
      </c>
      <c r="JB34" s="1">
        <f t="shared" si="152"/>
        <v>16</v>
      </c>
      <c r="JC34" s="2">
        <v>66</v>
      </c>
      <c r="JD34" s="2">
        <v>22</v>
      </c>
      <c r="JE34" s="2">
        <v>60.5</v>
      </c>
      <c r="JF34" s="2">
        <v>19</v>
      </c>
      <c r="JG34" s="2">
        <v>72</v>
      </c>
      <c r="JH34" s="2">
        <v>21</v>
      </c>
      <c r="JI34" s="2">
        <v>72</v>
      </c>
      <c r="JJ34" s="2">
        <v>21</v>
      </c>
      <c r="JK34" s="2">
        <v>71.5</v>
      </c>
      <c r="JL34" s="2">
        <v>21</v>
      </c>
      <c r="JM34" s="2">
        <v>59.5</v>
      </c>
      <c r="JN34" s="2">
        <v>19</v>
      </c>
      <c r="JO34" s="2">
        <v>56.5</v>
      </c>
      <c r="JP34" s="2">
        <v>17</v>
      </c>
      <c r="JQ34" s="2">
        <v>16</v>
      </c>
      <c r="JR34" s="2">
        <v>4</v>
      </c>
      <c r="JS34" s="2">
        <f t="shared" si="153"/>
        <v>474</v>
      </c>
      <c r="JT34" s="2">
        <f t="shared" si="153"/>
        <v>144</v>
      </c>
      <c r="JU34" s="3">
        <f t="shared" si="154"/>
        <v>3.2916666666666665</v>
      </c>
      <c r="JV34" s="2" t="str">
        <f t="shared" si="155"/>
        <v>Sangat Memuaskan</v>
      </c>
      <c r="JW34" s="2" t="str">
        <f t="shared" si="156"/>
        <v>Highly Satisfactory</v>
      </c>
      <c r="JX34" s="23" t="s">
        <v>218</v>
      </c>
      <c r="JY34" s="23" t="s">
        <v>286</v>
      </c>
    </row>
    <row r="35" spans="1:285" x14ac:dyDescent="0.25">
      <c r="A35" s="55">
        <v>33</v>
      </c>
      <c r="B35" s="23" t="s">
        <v>59</v>
      </c>
      <c r="C35" s="2">
        <v>152111055</v>
      </c>
      <c r="D35" s="10" t="s">
        <v>163</v>
      </c>
      <c r="E35" s="24" t="s">
        <v>143</v>
      </c>
      <c r="F35" s="27" t="s">
        <v>219</v>
      </c>
      <c r="G35" s="2" t="s">
        <v>249</v>
      </c>
      <c r="H35" s="10">
        <v>81.25</v>
      </c>
      <c r="I35" s="10" t="s">
        <v>38</v>
      </c>
      <c r="J35" s="10">
        <v>4</v>
      </c>
      <c r="K35" s="10">
        <v>2</v>
      </c>
      <c r="L35" s="10">
        <v>8</v>
      </c>
      <c r="M35" s="10">
        <v>78.25</v>
      </c>
      <c r="N35" s="10" t="s">
        <v>39</v>
      </c>
      <c r="O35" s="10">
        <v>3.5</v>
      </c>
      <c r="P35" s="10">
        <v>3</v>
      </c>
      <c r="Q35" s="10">
        <v>10.5</v>
      </c>
      <c r="R35" s="10">
        <v>76.866666666666674</v>
      </c>
      <c r="S35" s="10" t="s">
        <v>39</v>
      </c>
      <c r="T35" s="10">
        <v>3.5</v>
      </c>
      <c r="U35" s="10">
        <v>4</v>
      </c>
      <c r="V35" s="10">
        <v>14</v>
      </c>
      <c r="W35" s="10">
        <v>85.75</v>
      </c>
      <c r="X35" s="10" t="s">
        <v>38</v>
      </c>
      <c r="Y35" s="10">
        <v>4</v>
      </c>
      <c r="Z35" s="10">
        <v>2</v>
      </c>
      <c r="AA35" s="10">
        <v>8</v>
      </c>
      <c r="AB35" s="10">
        <v>70.05</v>
      </c>
      <c r="AC35" s="10" t="s">
        <v>40</v>
      </c>
      <c r="AD35" s="10">
        <v>3</v>
      </c>
      <c r="AE35" s="10">
        <v>4</v>
      </c>
      <c r="AF35" s="10">
        <v>12</v>
      </c>
      <c r="AG35" s="10">
        <v>75</v>
      </c>
      <c r="AH35" s="10" t="s">
        <v>39</v>
      </c>
      <c r="AI35" s="10">
        <v>3.5</v>
      </c>
      <c r="AJ35" s="10">
        <v>4</v>
      </c>
      <c r="AK35" s="10">
        <v>14</v>
      </c>
      <c r="AL35" s="10">
        <v>79.61666666666666</v>
      </c>
      <c r="AM35" s="10" t="s">
        <v>39</v>
      </c>
      <c r="AN35" s="10">
        <v>3.5</v>
      </c>
      <c r="AO35" s="10">
        <v>3</v>
      </c>
      <c r="AP35" s="10">
        <v>10.5</v>
      </c>
      <c r="AQ35" s="9">
        <v>85.9</v>
      </c>
      <c r="AR35" s="10" t="str">
        <f t="shared" si="157"/>
        <v>A</v>
      </c>
      <c r="AS35" s="1">
        <f t="shared" si="7"/>
        <v>4</v>
      </c>
      <c r="AT35" s="10">
        <v>3</v>
      </c>
      <c r="AU35" s="1">
        <f t="shared" si="158"/>
        <v>12</v>
      </c>
      <c r="AV35" s="12">
        <v>75</v>
      </c>
      <c r="AW35" s="10" t="str">
        <f t="shared" si="159"/>
        <v>B+</v>
      </c>
      <c r="AX35" s="1">
        <f t="shared" si="8"/>
        <v>3.5</v>
      </c>
      <c r="AY35" s="10">
        <v>2</v>
      </c>
      <c r="AZ35" s="1">
        <f t="shared" si="160"/>
        <v>7</v>
      </c>
      <c r="BA35" s="15">
        <v>81.150000000000006</v>
      </c>
      <c r="BB35" s="10" t="str">
        <f t="shared" si="161"/>
        <v>A</v>
      </c>
      <c r="BC35" s="1">
        <f t="shared" si="9"/>
        <v>4</v>
      </c>
      <c r="BD35" s="10">
        <v>2</v>
      </c>
      <c r="BE35" s="1">
        <f t="shared" si="162"/>
        <v>8</v>
      </c>
      <c r="BF35" s="14">
        <v>78.349999999999994</v>
      </c>
      <c r="BG35" s="10" t="str">
        <f t="shared" si="163"/>
        <v>B+</v>
      </c>
      <c r="BH35" s="1">
        <f t="shared" si="10"/>
        <v>3.5</v>
      </c>
      <c r="BI35" s="10">
        <v>3</v>
      </c>
      <c r="BJ35" s="1">
        <f t="shared" si="164"/>
        <v>10.5</v>
      </c>
      <c r="BK35" s="14">
        <v>69</v>
      </c>
      <c r="BL35" s="10" t="str">
        <f t="shared" si="165"/>
        <v>C+</v>
      </c>
      <c r="BM35" s="1">
        <f t="shared" si="11"/>
        <v>2.5</v>
      </c>
      <c r="BN35" s="10">
        <v>2</v>
      </c>
      <c r="BO35" s="1">
        <f t="shared" si="166"/>
        <v>5</v>
      </c>
      <c r="BP35" s="12">
        <v>76.95</v>
      </c>
      <c r="BQ35" s="10" t="str">
        <f t="shared" si="167"/>
        <v>B+</v>
      </c>
      <c r="BR35" s="1">
        <f t="shared" si="12"/>
        <v>3.5</v>
      </c>
      <c r="BS35" s="10">
        <v>2</v>
      </c>
      <c r="BT35" s="1">
        <f t="shared" si="168"/>
        <v>7</v>
      </c>
      <c r="BU35" s="12">
        <v>79.05</v>
      </c>
      <c r="BV35" s="10" t="str">
        <f t="shared" si="169"/>
        <v>B+</v>
      </c>
      <c r="BW35" s="1">
        <f t="shared" si="13"/>
        <v>3.5</v>
      </c>
      <c r="BX35" s="10">
        <v>3</v>
      </c>
      <c r="BY35" s="1">
        <f t="shared" si="170"/>
        <v>10.5</v>
      </c>
      <c r="BZ35" s="15">
        <v>72.349999999999994</v>
      </c>
      <c r="CA35" s="10" t="str">
        <f t="shared" si="171"/>
        <v>B</v>
      </c>
      <c r="CB35" s="1">
        <f t="shared" si="14"/>
        <v>3</v>
      </c>
      <c r="CC35" s="10">
        <v>2</v>
      </c>
      <c r="CD35" s="1">
        <f t="shared" si="172"/>
        <v>6</v>
      </c>
      <c r="CE35" s="19">
        <v>79.150000000000006</v>
      </c>
      <c r="CF35" s="10" t="str">
        <f t="shared" si="72"/>
        <v>B+</v>
      </c>
      <c r="CG35" s="1">
        <f t="shared" si="15"/>
        <v>3.5</v>
      </c>
      <c r="CH35" s="10">
        <v>4</v>
      </c>
      <c r="CI35" s="1">
        <f t="shared" si="73"/>
        <v>14</v>
      </c>
      <c r="CJ35" s="19">
        <v>70.099999999999994</v>
      </c>
      <c r="CK35" s="10" t="str">
        <f t="shared" si="74"/>
        <v>B</v>
      </c>
      <c r="CL35" s="1">
        <f t="shared" si="16"/>
        <v>3</v>
      </c>
      <c r="CM35" s="10">
        <v>4</v>
      </c>
      <c r="CN35" s="1">
        <f t="shared" si="75"/>
        <v>12</v>
      </c>
      <c r="CO35" s="19">
        <v>75.925000000000011</v>
      </c>
      <c r="CP35" s="10" t="str">
        <f t="shared" si="76"/>
        <v>B+</v>
      </c>
      <c r="CQ35" s="1">
        <f t="shared" si="17"/>
        <v>3.5</v>
      </c>
      <c r="CR35" s="10">
        <v>3</v>
      </c>
      <c r="CS35" s="1">
        <f t="shared" si="77"/>
        <v>10.5</v>
      </c>
      <c r="CT35" s="17">
        <v>78.375714285714295</v>
      </c>
      <c r="CU35" s="10" t="str">
        <f t="shared" si="78"/>
        <v>B+</v>
      </c>
      <c r="CV35" s="1">
        <f t="shared" si="18"/>
        <v>3.5</v>
      </c>
      <c r="CW35" s="10">
        <v>2</v>
      </c>
      <c r="CX35" s="1">
        <f t="shared" si="79"/>
        <v>7</v>
      </c>
      <c r="CY35" s="18">
        <v>82.225000000000009</v>
      </c>
      <c r="CZ35" s="10" t="str">
        <f t="shared" si="80"/>
        <v>A</v>
      </c>
      <c r="DA35" s="1">
        <f t="shared" si="19"/>
        <v>4</v>
      </c>
      <c r="DB35" s="10">
        <v>2</v>
      </c>
      <c r="DC35" s="1">
        <f t="shared" si="81"/>
        <v>8</v>
      </c>
      <c r="DD35" s="19">
        <v>80.099999999999994</v>
      </c>
      <c r="DE35" s="10" t="str">
        <f t="shared" si="82"/>
        <v>A</v>
      </c>
      <c r="DF35" s="1">
        <f t="shared" si="20"/>
        <v>4</v>
      </c>
      <c r="DG35" s="10">
        <v>2</v>
      </c>
      <c r="DH35" s="1">
        <f t="shared" si="83"/>
        <v>8</v>
      </c>
      <c r="DI35" s="5">
        <v>82</v>
      </c>
      <c r="DJ35" s="10" t="str">
        <f t="shared" si="84"/>
        <v>A</v>
      </c>
      <c r="DK35" s="1">
        <f t="shared" si="21"/>
        <v>4</v>
      </c>
      <c r="DL35" s="10">
        <v>2</v>
      </c>
      <c r="DM35" s="1">
        <f t="shared" si="85"/>
        <v>8</v>
      </c>
      <c r="DN35" s="20">
        <v>79</v>
      </c>
      <c r="DO35" s="10" t="str">
        <f t="shared" si="86"/>
        <v>B+</v>
      </c>
      <c r="DP35" s="1">
        <f t="shared" si="22"/>
        <v>3.5</v>
      </c>
      <c r="DQ35" s="10">
        <v>2</v>
      </c>
      <c r="DR35" s="1">
        <f t="shared" si="87"/>
        <v>7</v>
      </c>
      <c r="DS35" s="19">
        <v>80.05</v>
      </c>
      <c r="DT35" s="10" t="str">
        <f t="shared" si="88"/>
        <v>A</v>
      </c>
      <c r="DU35" s="1">
        <f t="shared" si="23"/>
        <v>4</v>
      </c>
      <c r="DV35" s="10">
        <v>4</v>
      </c>
      <c r="DW35" s="1">
        <f t="shared" si="89"/>
        <v>16</v>
      </c>
      <c r="DX35" s="19">
        <v>92.3</v>
      </c>
      <c r="DY35" s="10" t="str">
        <f t="shared" si="90"/>
        <v>A</v>
      </c>
      <c r="DZ35" s="1">
        <f t="shared" si="24"/>
        <v>4</v>
      </c>
      <c r="EA35" s="10">
        <v>3</v>
      </c>
      <c r="EB35" s="1">
        <f t="shared" si="91"/>
        <v>12</v>
      </c>
      <c r="EC35" s="19">
        <v>80.75</v>
      </c>
      <c r="ED35" s="10" t="str">
        <f t="shared" si="92"/>
        <v>A</v>
      </c>
      <c r="EE35" s="1">
        <f t="shared" si="25"/>
        <v>4</v>
      </c>
      <c r="EF35" s="10">
        <v>3</v>
      </c>
      <c r="EG35" s="1">
        <f t="shared" si="93"/>
        <v>12</v>
      </c>
      <c r="EH35" s="6">
        <v>80.8</v>
      </c>
      <c r="EI35" s="10" t="str">
        <f t="shared" si="94"/>
        <v>A</v>
      </c>
      <c r="EJ35" s="1">
        <f t="shared" si="26"/>
        <v>4</v>
      </c>
      <c r="EK35" s="10">
        <v>3</v>
      </c>
      <c r="EL35" s="1">
        <f t="shared" si="95"/>
        <v>12</v>
      </c>
      <c r="EM35" s="18">
        <v>79.206666666666678</v>
      </c>
      <c r="EN35" s="10" t="str">
        <f t="shared" si="96"/>
        <v>B+</v>
      </c>
      <c r="EO35" s="1">
        <f t="shared" si="27"/>
        <v>3.5</v>
      </c>
      <c r="EP35" s="10">
        <v>3</v>
      </c>
      <c r="EQ35" s="1">
        <f t="shared" si="97"/>
        <v>10.5</v>
      </c>
      <c r="ER35" s="7">
        <v>80.400000000000006</v>
      </c>
      <c r="ES35" s="10" t="str">
        <f t="shared" si="98"/>
        <v>A</v>
      </c>
      <c r="ET35" s="1">
        <f t="shared" si="28"/>
        <v>4</v>
      </c>
      <c r="EU35" s="10">
        <v>2</v>
      </c>
      <c r="EV35" s="1">
        <f t="shared" si="99"/>
        <v>8</v>
      </c>
      <c r="EW35" s="5">
        <v>80.099999999999994</v>
      </c>
      <c r="EX35" s="10" t="str">
        <f t="shared" si="100"/>
        <v>A</v>
      </c>
      <c r="EY35" s="1">
        <f t="shared" si="29"/>
        <v>4</v>
      </c>
      <c r="EZ35" s="10">
        <v>3</v>
      </c>
      <c r="FA35" s="1">
        <f t="shared" si="101"/>
        <v>12</v>
      </c>
      <c r="FB35" s="19">
        <v>81</v>
      </c>
      <c r="FC35" s="10" t="str">
        <f t="shared" si="102"/>
        <v>A</v>
      </c>
      <c r="FD35" s="1">
        <f t="shared" si="30"/>
        <v>4</v>
      </c>
      <c r="FE35" s="10">
        <v>2</v>
      </c>
      <c r="FF35" s="1">
        <f t="shared" si="103"/>
        <v>8</v>
      </c>
      <c r="FG35" s="19">
        <v>81</v>
      </c>
      <c r="FH35" s="10" t="str">
        <f t="shared" si="104"/>
        <v>A</v>
      </c>
      <c r="FI35" s="1">
        <f t="shared" si="31"/>
        <v>4</v>
      </c>
      <c r="FJ35" s="10">
        <v>3</v>
      </c>
      <c r="FK35" s="1">
        <f t="shared" si="105"/>
        <v>12</v>
      </c>
      <c r="FL35" s="19">
        <v>79.733333333333334</v>
      </c>
      <c r="FM35" s="10" t="str">
        <f t="shared" si="106"/>
        <v>B+</v>
      </c>
      <c r="FN35" s="1">
        <f t="shared" si="32"/>
        <v>3.5</v>
      </c>
      <c r="FO35" s="10">
        <v>3</v>
      </c>
      <c r="FP35" s="1">
        <f t="shared" si="107"/>
        <v>10.5</v>
      </c>
      <c r="FQ35" s="6">
        <v>76.25</v>
      </c>
      <c r="FR35" s="10" t="str">
        <f t="shared" si="108"/>
        <v>B+</v>
      </c>
      <c r="FS35" s="1">
        <f t="shared" si="109"/>
        <v>3.5</v>
      </c>
      <c r="FT35" s="10">
        <v>3</v>
      </c>
      <c r="FU35" s="1">
        <f t="shared" si="110"/>
        <v>10.5</v>
      </c>
      <c r="FV35" s="18">
        <v>77.900000000000006</v>
      </c>
      <c r="FW35" s="10" t="str">
        <f t="shared" si="111"/>
        <v>B+</v>
      </c>
      <c r="FX35" s="1">
        <f t="shared" si="33"/>
        <v>3.5</v>
      </c>
      <c r="FY35" s="10">
        <v>3</v>
      </c>
      <c r="FZ35" s="1">
        <f t="shared" si="112"/>
        <v>10.5</v>
      </c>
      <c r="GA35" s="7">
        <v>78.400000000000006</v>
      </c>
      <c r="GB35" s="10" t="str">
        <f t="shared" si="113"/>
        <v>B+</v>
      </c>
      <c r="GC35" s="1">
        <f t="shared" si="34"/>
        <v>3.5</v>
      </c>
      <c r="GD35" s="10">
        <v>2</v>
      </c>
      <c r="GE35" s="1">
        <f t="shared" si="114"/>
        <v>7</v>
      </c>
      <c r="GF35" s="5">
        <v>81</v>
      </c>
      <c r="GG35" s="10" t="str">
        <f t="shared" si="115"/>
        <v>A</v>
      </c>
      <c r="GH35" s="1">
        <f t="shared" si="35"/>
        <v>4</v>
      </c>
      <c r="GI35" s="10">
        <v>3</v>
      </c>
      <c r="GJ35" s="1">
        <f t="shared" si="116"/>
        <v>12</v>
      </c>
      <c r="GK35" s="5">
        <v>75</v>
      </c>
      <c r="GL35" s="10" t="str">
        <f t="shared" si="117"/>
        <v>B+</v>
      </c>
      <c r="GM35" s="1">
        <f t="shared" si="36"/>
        <v>3.5</v>
      </c>
      <c r="GN35" s="10">
        <v>2</v>
      </c>
      <c r="GO35" s="1">
        <f t="shared" si="118"/>
        <v>7</v>
      </c>
      <c r="GP35" s="19">
        <v>75</v>
      </c>
      <c r="GQ35" s="10" t="str">
        <f t="shared" si="119"/>
        <v>B+</v>
      </c>
      <c r="GR35" s="1">
        <f t="shared" si="37"/>
        <v>3.5</v>
      </c>
      <c r="GS35" s="10">
        <v>3</v>
      </c>
      <c r="GT35" s="1">
        <f t="shared" si="120"/>
        <v>10.5</v>
      </c>
      <c r="GU35" s="19">
        <v>78.180000000000007</v>
      </c>
      <c r="GV35" s="10" t="str">
        <f t="shared" si="121"/>
        <v>B+</v>
      </c>
      <c r="GW35" s="1">
        <f t="shared" si="38"/>
        <v>3.5</v>
      </c>
      <c r="GX35" s="10">
        <v>4</v>
      </c>
      <c r="GY35" s="1">
        <f t="shared" si="122"/>
        <v>14</v>
      </c>
      <c r="GZ35" s="7">
        <v>77</v>
      </c>
      <c r="HA35" s="10" t="str">
        <f t="shared" si="123"/>
        <v>B+</v>
      </c>
      <c r="HB35" s="1">
        <f t="shared" si="124"/>
        <v>3.5</v>
      </c>
      <c r="HC35" s="10">
        <v>4</v>
      </c>
      <c r="HD35" s="1">
        <f t="shared" si="125"/>
        <v>14</v>
      </c>
      <c r="HE35" s="6">
        <v>75.474999999999994</v>
      </c>
      <c r="HF35" s="10" t="str">
        <f t="shared" si="126"/>
        <v>B+</v>
      </c>
      <c r="HG35" s="1">
        <f t="shared" si="39"/>
        <v>3.5</v>
      </c>
      <c r="HH35" s="10">
        <v>2</v>
      </c>
      <c r="HI35" s="1">
        <f t="shared" si="127"/>
        <v>7</v>
      </c>
      <c r="HJ35" s="18">
        <v>72.802380952380958</v>
      </c>
      <c r="HK35" s="10" t="str">
        <f t="shared" si="128"/>
        <v>B</v>
      </c>
      <c r="HL35" s="1">
        <f t="shared" si="40"/>
        <v>3</v>
      </c>
      <c r="HM35" s="10">
        <v>3</v>
      </c>
      <c r="HN35" s="1">
        <f t="shared" si="129"/>
        <v>9</v>
      </c>
      <c r="HO35" s="12">
        <v>80.224999999999994</v>
      </c>
      <c r="HP35" s="10" t="str">
        <f t="shared" si="130"/>
        <v>A</v>
      </c>
      <c r="HQ35" s="1">
        <f t="shared" si="41"/>
        <v>4</v>
      </c>
      <c r="HR35" s="10">
        <v>3</v>
      </c>
      <c r="HS35" s="1">
        <f t="shared" si="131"/>
        <v>12</v>
      </c>
      <c r="HT35" s="10">
        <v>78</v>
      </c>
      <c r="HU35" s="10" t="str">
        <f t="shared" si="132"/>
        <v>B+</v>
      </c>
      <c r="HV35" s="1">
        <f t="shared" si="133"/>
        <v>3.5</v>
      </c>
      <c r="HW35" s="10">
        <v>4</v>
      </c>
      <c r="HX35" s="1">
        <f t="shared" si="134"/>
        <v>14</v>
      </c>
      <c r="HY35" s="19">
        <v>81.95</v>
      </c>
      <c r="HZ35" s="10" t="str">
        <f t="shared" si="135"/>
        <v>A</v>
      </c>
      <c r="IA35" s="1">
        <f t="shared" si="136"/>
        <v>4</v>
      </c>
      <c r="IB35" s="10">
        <v>2</v>
      </c>
      <c r="IC35" s="1">
        <f t="shared" si="137"/>
        <v>8</v>
      </c>
      <c r="ID35" s="7">
        <v>80</v>
      </c>
      <c r="IE35" s="10" t="str">
        <f t="shared" si="138"/>
        <v>A</v>
      </c>
      <c r="IF35" s="1">
        <f t="shared" si="139"/>
        <v>4</v>
      </c>
      <c r="IG35" s="10">
        <v>3</v>
      </c>
      <c r="IH35" s="1">
        <f t="shared" si="140"/>
        <v>12</v>
      </c>
      <c r="II35" s="6">
        <v>78</v>
      </c>
      <c r="IJ35" s="10" t="str">
        <f t="shared" si="141"/>
        <v>B+</v>
      </c>
      <c r="IK35" s="1">
        <f t="shared" si="142"/>
        <v>3.5</v>
      </c>
      <c r="IL35" s="10">
        <v>2</v>
      </c>
      <c r="IM35" s="1">
        <f t="shared" si="143"/>
        <v>7</v>
      </c>
      <c r="IN35" s="18">
        <v>76.5</v>
      </c>
      <c r="IO35" s="10" t="str">
        <f t="shared" si="144"/>
        <v>B+</v>
      </c>
      <c r="IP35" s="1">
        <f t="shared" si="145"/>
        <v>3.5</v>
      </c>
      <c r="IQ35" s="10">
        <v>2</v>
      </c>
      <c r="IR35" s="1">
        <f t="shared" si="146"/>
        <v>7</v>
      </c>
      <c r="IS35" s="10">
        <v>76.400000000000006</v>
      </c>
      <c r="IT35" s="10" t="str">
        <f t="shared" si="147"/>
        <v>B+</v>
      </c>
      <c r="IU35" s="1">
        <f t="shared" si="148"/>
        <v>3.5</v>
      </c>
      <c r="IV35" s="10">
        <v>4</v>
      </c>
      <c r="IW35" s="1">
        <f t="shared" si="149"/>
        <v>14</v>
      </c>
      <c r="IX35" s="10">
        <v>80</v>
      </c>
      <c r="IY35" s="10" t="str">
        <f t="shared" si="150"/>
        <v>A</v>
      </c>
      <c r="IZ35" s="1">
        <f t="shared" si="151"/>
        <v>4</v>
      </c>
      <c r="JA35" s="10">
        <v>4</v>
      </c>
      <c r="JB35" s="1">
        <f t="shared" si="152"/>
        <v>16</v>
      </c>
      <c r="JC35" s="2">
        <v>77</v>
      </c>
      <c r="JD35" s="2">
        <v>22</v>
      </c>
      <c r="JE35" s="2">
        <v>66</v>
      </c>
      <c r="JF35" s="2">
        <v>19</v>
      </c>
      <c r="JG35" s="2">
        <v>74.5</v>
      </c>
      <c r="JH35" s="2">
        <v>21</v>
      </c>
      <c r="JI35" s="2">
        <v>82.5</v>
      </c>
      <c r="JJ35" s="2">
        <v>21</v>
      </c>
      <c r="JK35" s="2">
        <v>77.5</v>
      </c>
      <c r="JL35" s="2">
        <v>21</v>
      </c>
      <c r="JM35" s="2">
        <v>66.5</v>
      </c>
      <c r="JN35" s="2">
        <v>19</v>
      </c>
      <c r="JO35" s="2">
        <v>62</v>
      </c>
      <c r="JP35" s="2">
        <v>17</v>
      </c>
      <c r="JQ35" s="2">
        <v>16</v>
      </c>
      <c r="JR35" s="2">
        <v>4</v>
      </c>
      <c r="JS35" s="2">
        <f>JC35+JE35+JG35+JI35+JK35+JM35+JO35+JQ35</f>
        <v>522</v>
      </c>
      <c r="JT35" s="2">
        <f>JD35+JF35+JH35+JJ35+JL35+JN35+JP35+JR35</f>
        <v>144</v>
      </c>
      <c r="JU35" s="3">
        <f t="shared" si="154"/>
        <v>3.625</v>
      </c>
      <c r="JV35" s="2" t="str">
        <f t="shared" si="155"/>
        <v>Cum Laude</v>
      </c>
      <c r="JW35" s="2" t="str">
        <f t="shared" si="156"/>
        <v>Excellent</v>
      </c>
      <c r="JX35" s="56" t="s">
        <v>201</v>
      </c>
      <c r="JY35" s="23" t="s">
        <v>287</v>
      </c>
    </row>
  </sheetData>
  <mergeCells count="72">
    <mergeCell ref="JY1:JY2"/>
    <mergeCell ref="JQ1:JR1"/>
    <mergeCell ref="JS1:JT1"/>
    <mergeCell ref="JV1:JV2"/>
    <mergeCell ref="JW1:JW2"/>
    <mergeCell ref="JX1:JX2"/>
    <mergeCell ref="JU1:JU2"/>
    <mergeCell ref="HJ1:HN1"/>
    <mergeCell ref="HO1:HS1"/>
    <mergeCell ref="HT1:HX1"/>
    <mergeCell ref="GF1:GJ1"/>
    <mergeCell ref="GK1:GO1"/>
    <mergeCell ref="GP1:GT1"/>
    <mergeCell ref="GU1:GY1"/>
    <mergeCell ref="GZ1:HD1"/>
    <mergeCell ref="HE1:HI1"/>
    <mergeCell ref="JC1:JD1"/>
    <mergeCell ref="JE1:JF1"/>
    <mergeCell ref="HY1:IC1"/>
    <mergeCell ref="ID1:IH1"/>
    <mergeCell ref="II1:IM1"/>
    <mergeCell ref="IN1:IR1"/>
    <mergeCell ref="IS1:IW1"/>
    <mergeCell ref="IX1:JB1"/>
    <mergeCell ref="JG1:JH1"/>
    <mergeCell ref="JI1:JJ1"/>
    <mergeCell ref="JK1:JL1"/>
    <mergeCell ref="JM1:JN1"/>
    <mergeCell ref="JO1:JP1"/>
    <mergeCell ref="GA1:GE1"/>
    <mergeCell ref="EH1:EL1"/>
    <mergeCell ref="EM1:EQ1"/>
    <mergeCell ref="ER1:EV1"/>
    <mergeCell ref="EW1:FA1"/>
    <mergeCell ref="FB1:FF1"/>
    <mergeCell ref="FG1:FK1"/>
    <mergeCell ref="FL1:FP1"/>
    <mergeCell ref="FQ1:FU1"/>
    <mergeCell ref="FV1:FZ1"/>
    <mergeCell ref="BK1:BO1"/>
    <mergeCell ref="DS1:DW1"/>
    <mergeCell ref="DX1:EB1"/>
    <mergeCell ref="EC1:EG1"/>
    <mergeCell ref="DD1:DH1"/>
    <mergeCell ref="DI1:DM1"/>
    <mergeCell ref="DN1:DR1"/>
    <mergeCell ref="CT1:CX1"/>
    <mergeCell ref="CY1:DC1"/>
    <mergeCell ref="W1:AA1"/>
    <mergeCell ref="AB1:AF1"/>
    <mergeCell ref="AG1:AK1"/>
    <mergeCell ref="AL1:AP1"/>
    <mergeCell ref="CJ1:CN1"/>
    <mergeCell ref="BP1:BT1"/>
    <mergeCell ref="BU1:BY1"/>
    <mergeCell ref="BZ1:CD1"/>
    <mergeCell ref="CE1:CI1"/>
    <mergeCell ref="CO1:CS1"/>
    <mergeCell ref="AQ1:AU1"/>
    <mergeCell ref="AV1:AZ1"/>
    <mergeCell ref="BA1:BE1"/>
    <mergeCell ref="BF1:BJ1"/>
    <mergeCell ref="R1:V1"/>
    <mergeCell ref="A1:A2"/>
    <mergeCell ref="B1:B2"/>
    <mergeCell ref="C1:C2"/>
    <mergeCell ref="H1:L1"/>
    <mergeCell ref="M1:Q1"/>
    <mergeCell ref="D1:D2"/>
    <mergeCell ref="E1:E2"/>
    <mergeCell ref="G1:G2"/>
    <mergeCell ref="F1:F2"/>
  </mergeCells>
  <phoneticPr fontId="9" type="noConversion"/>
  <pageMargins left="0.7" right="0.7" top="0.75" bottom="0.75" header="0.3" footer="0.3"/>
  <pageSetup orientation="portrait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6A3D86-D24C-4DA2-ABE1-62C4B79804D1}">
  <dimension ref="A1:CO40"/>
  <sheetViews>
    <sheetView zoomScale="115" zoomScaleNormal="115" workbookViewId="0">
      <selection activeCell="CO5" sqref="CO5"/>
    </sheetView>
  </sheetViews>
  <sheetFormatPr defaultRowHeight="15" x14ac:dyDescent="0.25"/>
  <cols>
    <col min="1" max="1" width="4.28515625" customWidth="1"/>
    <col min="2" max="2" width="34" customWidth="1"/>
    <col min="3" max="3" width="14.7109375" customWidth="1"/>
    <col min="4" max="4" width="23.85546875" customWidth="1"/>
    <col min="5" max="5" width="22.140625" customWidth="1"/>
    <col min="6" max="6" width="24.85546875" customWidth="1"/>
    <col min="72" max="72" width="8" customWidth="1"/>
    <col min="73" max="73" width="6.85546875" customWidth="1"/>
    <col min="74" max="76" width="5.7109375" customWidth="1"/>
    <col min="77" max="77" width="6.85546875" customWidth="1"/>
    <col min="78" max="81" width="5.7109375" customWidth="1"/>
    <col min="82" max="82" width="7.140625" customWidth="1"/>
    <col min="83" max="85" width="5.7109375" customWidth="1"/>
    <col min="86" max="86" width="7.140625" customWidth="1"/>
    <col min="87" max="87" width="7" customWidth="1"/>
    <col min="88" max="88" width="14.5703125" customWidth="1"/>
    <col min="89" max="89" width="14.7109375" customWidth="1"/>
    <col min="90" max="90" width="10.42578125" customWidth="1"/>
    <col min="91" max="91" width="19" customWidth="1"/>
    <col min="92" max="92" width="21.85546875" customWidth="1"/>
    <col min="93" max="93" width="19.85546875" customWidth="1"/>
  </cols>
  <sheetData>
    <row r="1" spans="1:93" ht="15" customHeight="1" x14ac:dyDescent="0.25">
      <c r="A1" s="42" t="s">
        <v>0</v>
      </c>
      <c r="B1" s="42" t="s">
        <v>1</v>
      </c>
      <c r="C1" s="42" t="s">
        <v>2</v>
      </c>
      <c r="D1" s="42" t="s">
        <v>105</v>
      </c>
      <c r="E1" s="43" t="s">
        <v>106</v>
      </c>
      <c r="F1" s="42" t="s">
        <v>107</v>
      </c>
      <c r="G1" s="49" t="s">
        <v>92</v>
      </c>
      <c r="H1" s="50"/>
      <c r="I1" s="50"/>
      <c r="J1" s="50"/>
      <c r="K1" s="51"/>
      <c r="L1" s="49" t="s">
        <v>93</v>
      </c>
      <c r="M1" s="50"/>
      <c r="N1" s="50"/>
      <c r="O1" s="50"/>
      <c r="P1" s="51"/>
      <c r="Q1" s="49" t="s">
        <v>94</v>
      </c>
      <c r="R1" s="50"/>
      <c r="S1" s="50"/>
      <c r="T1" s="50"/>
      <c r="U1" s="51"/>
      <c r="V1" s="49" t="s">
        <v>95</v>
      </c>
      <c r="W1" s="50"/>
      <c r="X1" s="50"/>
      <c r="Y1" s="50"/>
      <c r="Z1" s="51"/>
      <c r="AA1" s="52" t="s">
        <v>96</v>
      </c>
      <c r="AB1" s="53"/>
      <c r="AC1" s="53"/>
      <c r="AD1" s="53"/>
      <c r="AE1" s="54"/>
      <c r="AF1" s="49" t="s">
        <v>97</v>
      </c>
      <c r="AG1" s="50"/>
      <c r="AH1" s="50"/>
      <c r="AI1" s="50"/>
      <c r="AJ1" s="51"/>
      <c r="AK1" s="49" t="s">
        <v>98</v>
      </c>
      <c r="AL1" s="50"/>
      <c r="AM1" s="50"/>
      <c r="AN1" s="50"/>
      <c r="AO1" s="51"/>
      <c r="AP1" s="49" t="s">
        <v>99</v>
      </c>
      <c r="AQ1" s="50"/>
      <c r="AR1" s="50"/>
      <c r="AS1" s="50"/>
      <c r="AT1" s="51"/>
      <c r="AU1" s="49" t="s">
        <v>100</v>
      </c>
      <c r="AV1" s="50"/>
      <c r="AW1" s="50"/>
      <c r="AX1" s="50"/>
      <c r="AY1" s="51"/>
      <c r="AZ1" s="49" t="s">
        <v>101</v>
      </c>
      <c r="BA1" s="50"/>
      <c r="BB1" s="50"/>
      <c r="BC1" s="50"/>
      <c r="BD1" s="51"/>
      <c r="BE1" s="52" t="s">
        <v>102</v>
      </c>
      <c r="BF1" s="53"/>
      <c r="BG1" s="53"/>
      <c r="BH1" s="53"/>
      <c r="BI1" s="54"/>
      <c r="BJ1" s="49" t="s">
        <v>103</v>
      </c>
      <c r="BK1" s="50"/>
      <c r="BL1" s="50"/>
      <c r="BM1" s="50"/>
      <c r="BN1" s="51"/>
      <c r="BO1" s="49" t="s">
        <v>104</v>
      </c>
      <c r="BP1" s="50"/>
      <c r="BQ1" s="50"/>
      <c r="BR1" s="50"/>
      <c r="BS1" s="51"/>
      <c r="BT1" s="42" t="s">
        <v>10</v>
      </c>
      <c r="BU1" s="42"/>
      <c r="BV1" s="42" t="s">
        <v>111</v>
      </c>
      <c r="BW1" s="42"/>
      <c r="BX1" s="42" t="s">
        <v>112</v>
      </c>
      <c r="BY1" s="42"/>
      <c r="BZ1" s="42" t="s">
        <v>113</v>
      </c>
      <c r="CA1" s="42"/>
      <c r="CB1" s="42" t="s">
        <v>114</v>
      </c>
      <c r="CC1" s="42"/>
      <c r="CD1" s="42" t="s">
        <v>115</v>
      </c>
      <c r="CE1" s="42"/>
      <c r="CF1" s="48" t="s">
        <v>116</v>
      </c>
      <c r="CG1" s="48"/>
      <c r="CH1" s="48" t="s">
        <v>117</v>
      </c>
      <c r="CI1" s="48"/>
      <c r="CJ1" s="48" t="s">
        <v>132</v>
      </c>
      <c r="CK1" s="48"/>
      <c r="CL1" s="42" t="s">
        <v>11</v>
      </c>
      <c r="CM1" s="48" t="s">
        <v>108</v>
      </c>
      <c r="CN1" s="48" t="s">
        <v>109</v>
      </c>
      <c r="CO1" s="48" t="s">
        <v>110</v>
      </c>
    </row>
    <row r="2" spans="1:93" x14ac:dyDescent="0.25">
      <c r="A2" s="42"/>
      <c r="B2" s="42"/>
      <c r="C2" s="42"/>
      <c r="D2" s="42"/>
      <c r="E2" s="43"/>
      <c r="F2" s="42"/>
      <c r="G2" s="1" t="s">
        <v>12</v>
      </c>
      <c r="H2" s="1" t="s">
        <v>13</v>
      </c>
      <c r="I2" s="1" t="s">
        <v>14</v>
      </c>
      <c r="J2" s="1" t="s">
        <v>15</v>
      </c>
      <c r="K2" s="1" t="s">
        <v>16</v>
      </c>
      <c r="L2" s="1" t="s">
        <v>12</v>
      </c>
      <c r="M2" s="1" t="s">
        <v>13</v>
      </c>
      <c r="N2" s="1" t="s">
        <v>14</v>
      </c>
      <c r="O2" s="1" t="s">
        <v>15</v>
      </c>
      <c r="P2" s="1" t="s">
        <v>16</v>
      </c>
      <c r="Q2" s="1" t="s">
        <v>12</v>
      </c>
      <c r="R2" s="1" t="s">
        <v>13</v>
      </c>
      <c r="S2" s="1" t="s">
        <v>14</v>
      </c>
      <c r="T2" s="1" t="s">
        <v>15</v>
      </c>
      <c r="U2" s="1" t="s">
        <v>16</v>
      </c>
      <c r="V2" s="1" t="s">
        <v>12</v>
      </c>
      <c r="W2" s="1" t="s">
        <v>13</v>
      </c>
      <c r="X2" s="1" t="s">
        <v>14</v>
      </c>
      <c r="Y2" s="1" t="s">
        <v>15</v>
      </c>
      <c r="Z2" s="1" t="s">
        <v>16</v>
      </c>
      <c r="AA2" s="1" t="s">
        <v>12</v>
      </c>
      <c r="AB2" s="1" t="s">
        <v>13</v>
      </c>
      <c r="AC2" s="1" t="s">
        <v>14</v>
      </c>
      <c r="AD2" s="1" t="s">
        <v>15</v>
      </c>
      <c r="AE2" s="1" t="s">
        <v>16</v>
      </c>
      <c r="AF2" s="1" t="s">
        <v>12</v>
      </c>
      <c r="AG2" s="1" t="s">
        <v>13</v>
      </c>
      <c r="AH2" s="1" t="s">
        <v>14</v>
      </c>
      <c r="AI2" s="1" t="s">
        <v>15</v>
      </c>
      <c r="AJ2" s="1" t="s">
        <v>16</v>
      </c>
      <c r="AK2" s="1" t="s">
        <v>12</v>
      </c>
      <c r="AL2" s="1" t="s">
        <v>13</v>
      </c>
      <c r="AM2" s="1" t="s">
        <v>14</v>
      </c>
      <c r="AN2" s="1" t="s">
        <v>15</v>
      </c>
      <c r="AO2" s="1" t="s">
        <v>16</v>
      </c>
      <c r="AP2" s="1" t="s">
        <v>12</v>
      </c>
      <c r="AQ2" s="1" t="s">
        <v>13</v>
      </c>
      <c r="AR2" s="1" t="s">
        <v>14</v>
      </c>
      <c r="AS2" s="1" t="s">
        <v>15</v>
      </c>
      <c r="AT2" s="1" t="s">
        <v>16</v>
      </c>
      <c r="AU2" s="1" t="s">
        <v>12</v>
      </c>
      <c r="AV2" s="1" t="s">
        <v>13</v>
      </c>
      <c r="AW2" s="1" t="s">
        <v>14</v>
      </c>
      <c r="AX2" s="1" t="s">
        <v>15</v>
      </c>
      <c r="AY2" s="1" t="s">
        <v>16</v>
      </c>
      <c r="AZ2" s="1" t="s">
        <v>12</v>
      </c>
      <c r="BA2" s="1" t="s">
        <v>13</v>
      </c>
      <c r="BB2" s="1" t="s">
        <v>14</v>
      </c>
      <c r="BC2" s="1" t="s">
        <v>15</v>
      </c>
      <c r="BD2" s="1" t="s">
        <v>16</v>
      </c>
      <c r="BE2" s="1" t="s">
        <v>12</v>
      </c>
      <c r="BF2" s="1" t="s">
        <v>13</v>
      </c>
      <c r="BG2" s="1" t="s">
        <v>14</v>
      </c>
      <c r="BH2" s="1" t="s">
        <v>15</v>
      </c>
      <c r="BI2" s="1" t="s">
        <v>16</v>
      </c>
      <c r="BJ2" s="1" t="s">
        <v>12</v>
      </c>
      <c r="BK2" s="1" t="s">
        <v>13</v>
      </c>
      <c r="BL2" s="1" t="s">
        <v>14</v>
      </c>
      <c r="BM2" s="1" t="s">
        <v>15</v>
      </c>
      <c r="BN2" s="1" t="s">
        <v>16</v>
      </c>
      <c r="BO2" s="1" t="s">
        <v>12</v>
      </c>
      <c r="BP2" s="1" t="s">
        <v>13</v>
      </c>
      <c r="BQ2" s="1" t="s">
        <v>14</v>
      </c>
      <c r="BR2" s="1" t="s">
        <v>15</v>
      </c>
      <c r="BS2" s="1" t="s">
        <v>16</v>
      </c>
      <c r="BT2" s="26" t="s">
        <v>17</v>
      </c>
      <c r="BU2" s="26" t="s">
        <v>18</v>
      </c>
      <c r="BV2" s="26" t="s">
        <v>118</v>
      </c>
      <c r="BW2" s="26" t="s">
        <v>119</v>
      </c>
      <c r="BX2" s="26" t="s">
        <v>120</v>
      </c>
      <c r="BY2" s="26" t="s">
        <v>121</v>
      </c>
      <c r="BZ2" s="26" t="s">
        <v>122</v>
      </c>
      <c r="CA2" s="26" t="s">
        <v>123</v>
      </c>
      <c r="CB2" s="26" t="s">
        <v>124</v>
      </c>
      <c r="CC2" s="26" t="s">
        <v>125</v>
      </c>
      <c r="CD2" s="26" t="s">
        <v>126</v>
      </c>
      <c r="CE2" s="26" t="s">
        <v>127</v>
      </c>
      <c r="CF2" s="26" t="s">
        <v>128</v>
      </c>
      <c r="CG2" s="26" t="s">
        <v>129</v>
      </c>
      <c r="CH2" s="26" t="s">
        <v>130</v>
      </c>
      <c r="CI2" s="26" t="s">
        <v>131</v>
      </c>
      <c r="CJ2" s="26" t="s">
        <v>12</v>
      </c>
      <c r="CK2" s="26" t="s">
        <v>133</v>
      </c>
      <c r="CL2" s="42"/>
      <c r="CM2" s="48"/>
      <c r="CN2" s="48"/>
      <c r="CO2" s="48"/>
    </row>
    <row r="3" spans="1:93" x14ac:dyDescent="0.25">
      <c r="A3" s="2">
        <v>1</v>
      </c>
      <c r="B3" s="30" t="s">
        <v>19</v>
      </c>
      <c r="C3" s="25">
        <v>152111001</v>
      </c>
      <c r="D3" s="25" t="s">
        <v>137</v>
      </c>
      <c r="E3" s="27" t="s">
        <v>158</v>
      </c>
      <c r="F3" s="25"/>
      <c r="G3" s="19">
        <v>75.150000000000006</v>
      </c>
      <c r="H3" s="10" t="str">
        <f>IF(G3&gt;=80,"A",IF(G3&gt;=75,"B+",IF(G3&gt;=70,"B",IF(G3&gt;=65,"C+",IF(G3&gt;=60,"C",IF(G3&gt;=55,"D",IF(G3&lt;54,"E")))))))</f>
        <v>B+</v>
      </c>
      <c r="I3" s="1">
        <f t="shared" ref="I3:I40" si="0">IF(H3="A",4,IF(H3="B+",3.5,IF(H3="B",3,IF(H3="C+",2.5,IF(H3="C",2,IF(H3="D",1,0))))))</f>
        <v>3.5</v>
      </c>
      <c r="J3" s="10">
        <v>3</v>
      </c>
      <c r="K3" s="1">
        <f>I3*J3</f>
        <v>10.5</v>
      </c>
      <c r="L3" s="5">
        <v>75.099999999999994</v>
      </c>
      <c r="M3" s="10" t="str">
        <f>IF(L3&gt;=80,"A",IF(L3&gt;=75,"B+",IF(L3&gt;=70,"B",IF(L3&gt;=65,"C+",IF(L3&gt;=60,"C",IF(L3&gt;=55,"D",IF(L3&lt;54,"E")))))))</f>
        <v>B+</v>
      </c>
      <c r="N3" s="1">
        <f t="shared" ref="N3:N40" si="1">IF(M3="A",4,IF(M3="B+",3.5,IF(M3="B",3,IF(M3="C+",2.5,IF(M3="C",2,IF(M3="D",1,0))))))</f>
        <v>3.5</v>
      </c>
      <c r="O3" s="10">
        <v>4</v>
      </c>
      <c r="P3" s="1">
        <f>N3*O3</f>
        <v>14</v>
      </c>
      <c r="Q3" s="7">
        <v>74.25</v>
      </c>
      <c r="R3" s="10" t="str">
        <f>IF(Q3&gt;=80,"A",IF(Q3&gt;=75,"B+",IF(Q3&gt;=70,"B",IF(Q3&gt;=65,"C+",IF(Q3&gt;=60,"C",IF(Q3&gt;=55,"D",IF(Q3&lt;54,"E")))))))</f>
        <v>B</v>
      </c>
      <c r="S3" s="1">
        <f>IF(R3="A",4,IF(R3="B+",3.5,IF(R3="B",3,IF(R3="C+",2.5,IF(R3="C",2,IF(R3="D",1,0))))))</f>
        <v>3</v>
      </c>
      <c r="T3" s="10">
        <v>4</v>
      </c>
      <c r="U3" s="1">
        <f>S3*T3</f>
        <v>12</v>
      </c>
      <c r="V3" s="6">
        <v>72.900000000000006</v>
      </c>
      <c r="W3" s="10" t="str">
        <f>IF(V3&gt;=80,"A",IF(V3&gt;=75,"B+",IF(V3&gt;=70,"B",IF(V3&gt;=65,"C+",IF(V3&gt;=60,"C",IF(V3&gt;=55,"D",IF(V3&lt;54,"E")))))))</f>
        <v>B</v>
      </c>
      <c r="X3" s="1">
        <f t="shared" ref="X3:X40" si="2">IF(W3="A",4,IF(W3="B+",3.5,IF(W3="B",3,IF(W3="C+",2.5,IF(W3="C",2,IF(W3="D",1,0))))))</f>
        <v>3</v>
      </c>
      <c r="Y3" s="10">
        <v>2</v>
      </c>
      <c r="Z3" s="1">
        <f>X3*Y3</f>
        <v>6</v>
      </c>
      <c r="AA3" s="18">
        <v>71.083333333333329</v>
      </c>
      <c r="AB3" s="10" t="str">
        <f>IF(AA3&gt;=80,"A",IF(AA3&gt;=75,"B+",IF(AA3&gt;=70,"B",IF(AA3&gt;=65,"C+",IF(AA3&gt;=60,"C",IF(AA3&gt;=55,"D",IF(AA3&lt;54,"E")))))))</f>
        <v>B</v>
      </c>
      <c r="AC3" s="1">
        <f t="shared" ref="AC3:AC40" si="3">IF(AB3="A",4,IF(AB3="B+",3.5,IF(AB3="B",3,IF(AB3="C+",2.5,IF(AB3="C",2,IF(AB3="D",1,0))))))</f>
        <v>3</v>
      </c>
      <c r="AD3" s="10">
        <v>3</v>
      </c>
      <c r="AE3" s="1">
        <f>AC3*AD3</f>
        <v>9</v>
      </c>
      <c r="AF3" s="12">
        <v>79.75</v>
      </c>
      <c r="AG3" s="10" t="str">
        <f>IF(AF3&gt;=80,"A",IF(AF3&gt;=75,"B+",IF(AF3&gt;=70,"B",IF(AF3&gt;=65,"C+",IF(AF3&gt;=60,"C",IF(AF3&gt;=55,"D",IF(AF3&lt;54,"E")))))))</f>
        <v>B+</v>
      </c>
      <c r="AH3" s="1">
        <f t="shared" ref="AH3:AH40" si="4">IF(AG3="A",4,IF(AG3="B+",3.5,IF(AG3="B",3,IF(AG3="C+",2.5,IF(AG3="C",2,IF(AG3="D",1,0))))))</f>
        <v>3.5</v>
      </c>
      <c r="AI3" s="10">
        <v>3</v>
      </c>
      <c r="AJ3" s="1">
        <f>AH3*AI3</f>
        <v>10.5</v>
      </c>
      <c r="AK3" s="10">
        <v>78</v>
      </c>
      <c r="AL3" s="10" t="str">
        <f>IF(AK3&gt;=80,"A",IF(AK3&gt;=75,"B+",IF(AK3&gt;=70,"B",IF(AK3&gt;=65,"C+",IF(AK3&gt;=60,"C",IF(AK3&gt;=55,"D",IF(AK3&lt;54,"E")))))))</f>
        <v>B+</v>
      </c>
      <c r="AM3" s="1">
        <f>IF(AL3="A",4,IF(AL3="B+",3.5,IF(AL3="B",3,IF(AL3="C+",2.5,IF(AL3="C",2,IF(AL3="D",1,0))))))</f>
        <v>3.5</v>
      </c>
      <c r="AN3" s="10">
        <v>4</v>
      </c>
      <c r="AO3" s="1">
        <f>AM3*AN3</f>
        <v>14</v>
      </c>
      <c r="AP3" s="5">
        <v>77.55</v>
      </c>
      <c r="AQ3" s="10" t="str">
        <f>IF(AP3&gt;=80,"A",IF(AP3&gt;=75,"B+",IF(AP3&gt;=70,"B",IF(AP3&gt;=65,"C+",IF(AP3&gt;=60,"C",IF(AP3&gt;=55,"D",IF(AP3&lt;54,"E")))))))</f>
        <v>B+</v>
      </c>
      <c r="AR3" s="1">
        <f>IF(AQ3="A",4,IF(AQ3="B+",3.5,IF(AQ3="B",3,IF(AQ3="C+",2.5,IF(AQ3="C",2,IF(AQ3="D",1,0))))))</f>
        <v>3.5</v>
      </c>
      <c r="AS3" s="10">
        <v>2</v>
      </c>
      <c r="AT3" s="1">
        <f>AR3*AS3</f>
        <v>7</v>
      </c>
      <c r="AU3" s="7">
        <v>74.83</v>
      </c>
      <c r="AV3" s="10" t="str">
        <f>IF(AU3&gt;=80,"A",IF(AU3&gt;=75,"B+",IF(AU3&gt;=70,"B",IF(AU3&gt;=65,"C+",IF(AU3&gt;=60,"C",IF(AU3&gt;=55,"D",IF(AU3&lt;54,"E")))))))</f>
        <v>B</v>
      </c>
      <c r="AW3" s="1">
        <f>IF(AV3="A",4,IF(AV3="B+",3.5,IF(AV3="B",3,IF(AV3="C+",2.5,IF(AV3="C",2,IF(AV3="D",1,0))))))</f>
        <v>3</v>
      </c>
      <c r="AX3" s="10">
        <v>3</v>
      </c>
      <c r="AY3" s="1">
        <f>AW3*AX3</f>
        <v>9</v>
      </c>
      <c r="AZ3" s="6">
        <v>78</v>
      </c>
      <c r="BA3" s="10" t="str">
        <f>IF(AZ3&gt;=80,"A",IF(AZ3&gt;=75,"B+",IF(AZ3&gt;=70,"B",IF(AZ3&gt;=65,"C+",IF(AZ3&gt;=60,"C",IF(AZ3&gt;=55,"D",IF(AZ3&lt;54,"E")))))))</f>
        <v>B+</v>
      </c>
      <c r="BB3" s="1">
        <f>IF(BA3="A",4,IF(BA3="B+",3.5,IF(BA3="B",3,IF(BA3="C+",2.5,IF(BA3="C",2,IF(BA3="D",1,0))))))</f>
        <v>3.5</v>
      </c>
      <c r="BC3" s="10">
        <v>2</v>
      </c>
      <c r="BD3" s="1">
        <f>BB3*BC3</f>
        <v>7</v>
      </c>
      <c r="BE3" s="18">
        <v>74.680000000000007</v>
      </c>
      <c r="BF3" s="10" t="str">
        <f>IF(BE3&gt;=80,"A",IF(BE3&gt;=75,"B+",IF(BE3&gt;=70,"B",IF(BE3&gt;=65,"C+",IF(BE3&gt;=60,"C",IF(BE3&gt;=55,"D",IF(BE3&lt;54,"E")))))))</f>
        <v>B</v>
      </c>
      <c r="BG3" s="1">
        <f>IF(BF3="A",4,IF(BF3="B+",3.5,IF(BF3="B",3,IF(BF3="C+",2.5,IF(BF3="C",2,IF(BF3="D",1,0))))))</f>
        <v>3</v>
      </c>
      <c r="BH3" s="10">
        <v>2</v>
      </c>
      <c r="BI3" s="1">
        <f>BG3*BH3</f>
        <v>6</v>
      </c>
      <c r="BJ3" s="10">
        <v>75</v>
      </c>
      <c r="BK3" s="10" t="str">
        <f>IF(BJ3&gt;=80,"A",IF(BJ3&gt;=75,"B+",IF(BJ3&gt;=70,"B",IF(BJ3&gt;=65,"C+",IF(BJ3&gt;=60,"C",IF(BJ3&gt;=55,"D",IF(BJ3&lt;54,"E")))))))</f>
        <v>B+</v>
      </c>
      <c r="BL3" s="1">
        <f>IF(BK3="A",4,IF(BK3="B+",3.5,IF(BK3="B",3,IF(BK3="C+",2.5,IF(BK3="C",2,IF(BK3="D",1,0))))))</f>
        <v>3.5</v>
      </c>
      <c r="BM3" s="10">
        <v>4</v>
      </c>
      <c r="BN3" s="1">
        <f>BL3*BM3</f>
        <v>14</v>
      </c>
      <c r="BO3" s="10">
        <v>80</v>
      </c>
      <c r="BP3" s="10" t="str">
        <f>IF(BO3&gt;=80,"A",IF(BO3&gt;=75,"B+",IF(BO3&gt;=70,"B",IF(BO3&gt;=65,"C+",IF(BO3&gt;=60,"C",IF(BO3&gt;=55,"D",IF(BO3&lt;54,"E")))))))</f>
        <v>A</v>
      </c>
      <c r="BQ3" s="1">
        <f>IF(BP3="A",4,IF(BP3="B+",3.5,IF(BP3="B",3,IF(BP3="C+",2.5,IF(BP3="C",2,IF(BP3="D",1,0))))))</f>
        <v>4</v>
      </c>
      <c r="BR3" s="10">
        <v>4</v>
      </c>
      <c r="BS3" s="1">
        <f>BQ3*BR3</f>
        <v>16</v>
      </c>
      <c r="BT3" s="2">
        <v>70.5</v>
      </c>
      <c r="BU3" s="2">
        <v>22</v>
      </c>
      <c r="BV3" s="2">
        <v>63.5</v>
      </c>
      <c r="BW3" s="2">
        <v>19</v>
      </c>
      <c r="BX3" s="2">
        <v>72.5</v>
      </c>
      <c r="BY3" s="2">
        <v>21</v>
      </c>
      <c r="BZ3" s="2">
        <v>70.5</v>
      </c>
      <c r="CA3" s="2">
        <v>21</v>
      </c>
      <c r="CB3" s="2">
        <v>67</v>
      </c>
      <c r="CC3" s="2">
        <v>21</v>
      </c>
      <c r="CD3" s="2">
        <v>62</v>
      </c>
      <c r="CE3" s="2">
        <v>19</v>
      </c>
      <c r="CF3" s="2">
        <v>57</v>
      </c>
      <c r="CG3" s="2">
        <v>17</v>
      </c>
      <c r="CH3" s="2">
        <v>16</v>
      </c>
      <c r="CI3" s="2">
        <v>4</v>
      </c>
      <c r="CJ3" s="2">
        <f>BT3+BV3+BX3+BZ3+CB3+CD3+CF3+CH3</f>
        <v>479</v>
      </c>
      <c r="CK3" s="2">
        <f>BU3+BW3+BY3+CA3+CC3+CE3+CG3+CI3</f>
        <v>144</v>
      </c>
      <c r="CL3" s="3">
        <f>CJ3/CK3</f>
        <v>3.3263888888888888</v>
      </c>
      <c r="CM3" s="2" t="str">
        <f>IF(CL3&gt;=3.51,"Cum Laude",(IF(CL3&gt;=2.75,"Sangat Memuaskan",(IF(CL3&gt;=2,"Memuaskan","GAGAL")))))</f>
        <v>Sangat Memuaskan</v>
      </c>
      <c r="CN3" s="37" t="str">
        <f>IF(CL3&gt;=3.51,"Excellent",(IF(CL3&gt;=2.75,"Highly Satisfactory",(IF(CL3&gt;=2,"Satisfactory","FAILED")))))</f>
        <v>Highly Satisfactory</v>
      </c>
      <c r="CO3" s="23"/>
    </row>
    <row r="4" spans="1:93" x14ac:dyDescent="0.25">
      <c r="A4" s="2">
        <v>2</v>
      </c>
      <c r="B4" s="30" t="s">
        <v>20</v>
      </c>
      <c r="C4" s="25">
        <v>152111002</v>
      </c>
      <c r="D4" s="25"/>
      <c r="E4" s="27"/>
      <c r="F4" s="25"/>
      <c r="G4" s="19">
        <v>76.349999999999994</v>
      </c>
      <c r="H4" s="10" t="str">
        <f t="shared" ref="H4:H40" si="5">IF(G4&gt;=80,"A",IF(G4&gt;=75,"B+",IF(G4&gt;=70,"B",IF(G4&gt;=65,"C+",IF(G4&gt;=60,"C",IF(G4&gt;=55,"D",IF(G4&lt;54,"E")))))))</f>
        <v>B+</v>
      </c>
      <c r="I4" s="1">
        <f t="shared" si="0"/>
        <v>3.5</v>
      </c>
      <c r="J4" s="10">
        <v>3</v>
      </c>
      <c r="K4" s="1">
        <f t="shared" ref="K4:K40" si="6">I4*J4</f>
        <v>10.5</v>
      </c>
      <c r="L4" s="5">
        <v>75.900000000000006</v>
      </c>
      <c r="M4" s="10" t="str">
        <f t="shared" ref="M4:M40" si="7">IF(L4&gt;=80,"A",IF(L4&gt;=75,"B+",IF(L4&gt;=70,"B",IF(L4&gt;=65,"C+",IF(L4&gt;=60,"C",IF(L4&gt;=55,"D",IF(L4&lt;54,"E")))))))</f>
        <v>B+</v>
      </c>
      <c r="N4" s="1">
        <f t="shared" si="1"/>
        <v>3.5</v>
      </c>
      <c r="O4" s="10">
        <v>4</v>
      </c>
      <c r="P4" s="1">
        <f t="shared" ref="P4:P40" si="8">N4*O4</f>
        <v>14</v>
      </c>
      <c r="Q4" s="7">
        <v>74.25</v>
      </c>
      <c r="R4" s="10" t="str">
        <f t="shared" ref="R4:R40" si="9">IF(Q4&gt;=80,"A",IF(Q4&gt;=75,"B+",IF(Q4&gt;=70,"B",IF(Q4&gt;=65,"C+",IF(Q4&gt;=60,"C",IF(Q4&gt;=55,"D",IF(Q4&lt;54,"E")))))))</f>
        <v>B</v>
      </c>
      <c r="S4" s="1">
        <f t="shared" ref="S4:S40" si="10">IF(R4="A",4,IF(R4="B+",3.5,IF(R4="B",3,IF(R4="C+",2.5,IF(R4="C",2,IF(R4="D",1,0))))))</f>
        <v>3</v>
      </c>
      <c r="T4" s="10">
        <v>4</v>
      </c>
      <c r="U4" s="1">
        <f t="shared" ref="U4:U40" si="11">S4*T4</f>
        <v>12</v>
      </c>
      <c r="V4" s="6">
        <v>72.275000000000006</v>
      </c>
      <c r="W4" s="10" t="str">
        <f t="shared" ref="W4:W40" si="12">IF(V4&gt;=80,"A",IF(V4&gt;=75,"B+",IF(V4&gt;=70,"B",IF(V4&gt;=65,"C+",IF(V4&gt;=60,"C",IF(V4&gt;=55,"D",IF(V4&lt;54,"E")))))))</f>
        <v>B</v>
      </c>
      <c r="X4" s="1">
        <f t="shared" si="2"/>
        <v>3</v>
      </c>
      <c r="Y4" s="10">
        <v>2</v>
      </c>
      <c r="Z4" s="1">
        <f t="shared" ref="Z4:Z40" si="13">X4*Y4</f>
        <v>6</v>
      </c>
      <c r="AA4" s="18">
        <v>69.935714285714283</v>
      </c>
      <c r="AB4" s="10" t="str">
        <f t="shared" ref="AB4:AB40" si="14">IF(AA4&gt;=80,"A",IF(AA4&gt;=75,"B+",IF(AA4&gt;=70,"B",IF(AA4&gt;=65,"C+",IF(AA4&gt;=60,"C",IF(AA4&gt;=55,"D",IF(AA4&lt;54,"E")))))))</f>
        <v>C+</v>
      </c>
      <c r="AC4" s="1">
        <f t="shared" si="3"/>
        <v>2.5</v>
      </c>
      <c r="AD4" s="10">
        <v>3</v>
      </c>
      <c r="AE4" s="1">
        <f t="shared" ref="AE4:AE40" si="15">AC4*AD4</f>
        <v>7.5</v>
      </c>
      <c r="AF4" s="12">
        <v>70.575000000000003</v>
      </c>
      <c r="AG4" s="10" t="str">
        <f t="shared" ref="AG4:AG40" si="16">IF(AF4&gt;=80,"A",IF(AF4&gt;=75,"B+",IF(AF4&gt;=70,"B",IF(AF4&gt;=65,"C+",IF(AF4&gt;=60,"C",IF(AF4&gt;=55,"D",IF(AF4&lt;54,"E")))))))</f>
        <v>B</v>
      </c>
      <c r="AH4" s="1">
        <f t="shared" si="4"/>
        <v>3</v>
      </c>
      <c r="AI4" s="10">
        <v>3</v>
      </c>
      <c r="AJ4" s="1">
        <f t="shared" ref="AJ4:AJ40" si="17">AH4*AI4</f>
        <v>9</v>
      </c>
      <c r="AK4" s="12">
        <v>74</v>
      </c>
      <c r="AL4" s="10" t="str">
        <f t="shared" ref="AL4:AL40" si="18">IF(AK4&gt;=80,"A",IF(AK4&gt;=75,"B+",IF(AK4&gt;=70,"B",IF(AK4&gt;=65,"C+",IF(AK4&gt;=60,"C",IF(AK4&gt;=55,"D",IF(AK4&lt;54,"E")))))))</f>
        <v>B</v>
      </c>
      <c r="AM4" s="1">
        <f t="shared" ref="AM4:AM40" si="19">IF(AL4="A",4,IF(AL4="B+",3.5,IF(AL4="B",3,IF(AL4="C+",2.5,IF(AL4="C",2,IF(AL4="D",1,0))))))</f>
        <v>3</v>
      </c>
      <c r="AN4" s="10">
        <v>4</v>
      </c>
      <c r="AO4" s="1">
        <f t="shared" ref="AO4:AO40" si="20">AM4*AN4</f>
        <v>12</v>
      </c>
      <c r="AP4" s="5">
        <v>77.95</v>
      </c>
      <c r="AQ4" s="10" t="str">
        <f t="shared" ref="AQ4:AQ40" si="21">IF(AP4&gt;=80,"A",IF(AP4&gt;=75,"B+",IF(AP4&gt;=70,"B",IF(AP4&gt;=65,"C+",IF(AP4&gt;=60,"C",IF(AP4&gt;=55,"D",IF(AP4&lt;54,"E")))))))</f>
        <v>B+</v>
      </c>
      <c r="AR4" s="1">
        <f t="shared" ref="AR4:AR40" si="22">IF(AQ4="A",4,IF(AQ4="B+",3.5,IF(AQ4="B",3,IF(AQ4="C+",2.5,IF(AQ4="C",2,IF(AQ4="D",1,0))))))</f>
        <v>3.5</v>
      </c>
      <c r="AS4" s="10">
        <v>2</v>
      </c>
      <c r="AT4" s="1">
        <f t="shared" ref="AT4:AT40" si="23">AR4*AS4</f>
        <v>7</v>
      </c>
      <c r="AU4" s="7">
        <v>75.03</v>
      </c>
      <c r="AV4" s="10" t="str">
        <f t="shared" ref="AV4:AV40" si="24">IF(AU4&gt;=80,"A",IF(AU4&gt;=75,"B+",IF(AU4&gt;=70,"B",IF(AU4&gt;=65,"C+",IF(AU4&gt;=60,"C",IF(AU4&gt;=55,"D",IF(AU4&lt;54,"E")))))))</f>
        <v>B+</v>
      </c>
      <c r="AW4" s="1">
        <f t="shared" ref="AW4:AW40" si="25">IF(AV4="A",4,IF(AV4="B+",3.5,IF(AV4="B",3,IF(AV4="C+",2.5,IF(AV4="C",2,IF(AV4="D",1,0))))))</f>
        <v>3.5</v>
      </c>
      <c r="AX4" s="10">
        <v>3</v>
      </c>
      <c r="AY4" s="1">
        <f t="shared" ref="AY4:AY40" si="26">AW4*AX4</f>
        <v>10.5</v>
      </c>
      <c r="AZ4" s="6">
        <v>74</v>
      </c>
      <c r="BA4" s="10" t="str">
        <f t="shared" ref="BA4:BA40" si="27">IF(AZ4&gt;=80,"A",IF(AZ4&gt;=75,"B+",IF(AZ4&gt;=70,"B",IF(AZ4&gt;=65,"C+",IF(AZ4&gt;=60,"C",IF(AZ4&gt;=55,"D",IF(AZ4&lt;54,"E")))))))</f>
        <v>B</v>
      </c>
      <c r="BB4" s="1">
        <f t="shared" ref="BB4:BB40" si="28">IF(BA4="A",4,IF(BA4="B+",3.5,IF(BA4="B",3,IF(BA4="C+",2.5,IF(BA4="C",2,IF(BA4="D",1,0))))))</f>
        <v>3</v>
      </c>
      <c r="BC4" s="10">
        <v>2</v>
      </c>
      <c r="BD4" s="1">
        <f t="shared" ref="BD4:BD40" si="29">BB4*BC4</f>
        <v>6</v>
      </c>
      <c r="BE4" s="18">
        <v>76.75</v>
      </c>
      <c r="BF4" s="10" t="str">
        <f t="shared" ref="BF4:BF40" si="30">IF(BE4&gt;=80,"A",IF(BE4&gt;=75,"B+",IF(BE4&gt;=70,"B",IF(BE4&gt;=65,"C+",IF(BE4&gt;=60,"C",IF(BE4&gt;=55,"D",IF(BE4&lt;54,"E")))))))</f>
        <v>B+</v>
      </c>
      <c r="BG4" s="1">
        <f t="shared" ref="BG4:BG40" si="31">IF(BF4="A",4,IF(BF4="B+",3.5,IF(BF4="B",3,IF(BF4="C+",2.5,IF(BF4="C",2,IF(BF4="D",1,0))))))</f>
        <v>3.5</v>
      </c>
      <c r="BH4" s="10">
        <v>2</v>
      </c>
      <c r="BI4" s="1">
        <f t="shared" ref="BI4:BI40" si="32">BG4*BH4</f>
        <v>7</v>
      </c>
      <c r="BJ4" s="10">
        <v>78.5</v>
      </c>
      <c r="BK4" s="10" t="str">
        <f t="shared" ref="BK4:BK40" si="33">IF(BJ4&gt;=80,"A",IF(BJ4&gt;=75,"B+",IF(BJ4&gt;=70,"B",IF(BJ4&gt;=65,"C+",IF(BJ4&gt;=60,"C",IF(BJ4&gt;=55,"D",IF(BJ4&lt;54,"E")))))))</f>
        <v>B+</v>
      </c>
      <c r="BL4" s="1">
        <f t="shared" ref="BL4:BL40" si="34">IF(BK4="A",4,IF(BK4="B+",3.5,IF(BK4="B",3,IF(BK4="C+",2.5,IF(BK4="C",2,IF(BK4="D",1,0))))))</f>
        <v>3.5</v>
      </c>
      <c r="BM4" s="10">
        <v>4</v>
      </c>
      <c r="BN4" s="1">
        <f t="shared" ref="BN4:BN40" si="35">BL4*BM4</f>
        <v>14</v>
      </c>
      <c r="BO4" s="10">
        <v>80.2</v>
      </c>
      <c r="BP4" s="10" t="str">
        <f t="shared" ref="BP4:BP40" si="36">IF(BO4&gt;=80,"A",IF(BO4&gt;=75,"B+",IF(BO4&gt;=70,"B",IF(BO4&gt;=65,"C+",IF(BO4&gt;=60,"C",IF(BO4&gt;=55,"D",IF(BO4&lt;54,"E")))))))</f>
        <v>A</v>
      </c>
      <c r="BQ4" s="1">
        <f t="shared" ref="BQ4:BQ40" si="37">IF(BP4="A",4,IF(BP4="B+",3.5,IF(BP4="B",3,IF(BP4="C+",2.5,IF(BP4="C",2,IF(BP4="D",1,0))))))</f>
        <v>4</v>
      </c>
      <c r="BR4" s="10">
        <v>4</v>
      </c>
      <c r="BS4" s="1">
        <f t="shared" ref="BS4:BS40" si="38">BQ4*BR4</f>
        <v>16</v>
      </c>
      <c r="BT4" s="2">
        <v>73</v>
      </c>
      <c r="BU4" s="2">
        <v>22</v>
      </c>
      <c r="BV4" s="2">
        <v>64.5</v>
      </c>
      <c r="BW4" s="2">
        <v>19</v>
      </c>
      <c r="BX4" s="2">
        <v>72</v>
      </c>
      <c r="BY4" s="2">
        <v>21</v>
      </c>
      <c r="BZ4" s="2">
        <v>70</v>
      </c>
      <c r="CA4" s="2">
        <v>21</v>
      </c>
      <c r="CB4" s="2">
        <v>68</v>
      </c>
      <c r="CC4" s="2">
        <v>21</v>
      </c>
      <c r="CD4" s="2">
        <v>59</v>
      </c>
      <c r="CE4" s="2">
        <v>19</v>
      </c>
      <c r="CF4" s="2">
        <v>56.5</v>
      </c>
      <c r="CG4" s="2">
        <v>17</v>
      </c>
      <c r="CH4" s="2">
        <v>16</v>
      </c>
      <c r="CI4" s="2">
        <v>4</v>
      </c>
      <c r="CJ4" s="2">
        <f t="shared" ref="CJ4:CJ39" si="39">BT4+BV4+BX4+BZ4+CB4+CD4+CF4+CH4</f>
        <v>479</v>
      </c>
      <c r="CK4" s="2">
        <f t="shared" ref="CK4:CK39" si="40">BU4+BW4+BY4+CA4+CC4+CE4+CG4+CI4</f>
        <v>144</v>
      </c>
      <c r="CL4" s="3">
        <f t="shared" ref="CL4:CL40" si="41">CJ4/CK4</f>
        <v>3.3263888888888888</v>
      </c>
      <c r="CM4" s="2" t="str">
        <f t="shared" ref="CM4:CM40" si="42">IF(CL4&gt;=3.51,"Cum Laude",(IF(CL4&gt;=2.75,"Sangat Memuaskan",(IF(CL4&gt;=2,"Memuaskan","GAGAL")))))</f>
        <v>Sangat Memuaskan</v>
      </c>
      <c r="CN4" s="37" t="str">
        <f t="shared" ref="CN4:CN40" si="43">IF(CL4&gt;=3.51,"Excellent",(IF(CL4&gt;=2.75,"Highly Satisfactory",(IF(CL4&gt;=2,"Satisfactory","FAILED")))))</f>
        <v>Highly Satisfactory</v>
      </c>
      <c r="CO4" s="23"/>
    </row>
    <row r="5" spans="1:93" x14ac:dyDescent="0.25">
      <c r="A5" s="2">
        <v>3</v>
      </c>
      <c r="B5" s="22" t="s">
        <v>21</v>
      </c>
      <c r="C5" s="25">
        <v>152111003</v>
      </c>
      <c r="D5" s="25" t="s">
        <v>134</v>
      </c>
      <c r="E5" s="27" t="s">
        <v>171</v>
      </c>
      <c r="F5" s="25"/>
      <c r="G5" s="19">
        <v>80.2</v>
      </c>
      <c r="H5" s="10" t="str">
        <f t="shared" si="5"/>
        <v>A</v>
      </c>
      <c r="I5" s="1">
        <f t="shared" si="0"/>
        <v>4</v>
      </c>
      <c r="J5" s="10">
        <v>3</v>
      </c>
      <c r="K5" s="1">
        <f t="shared" si="6"/>
        <v>12</v>
      </c>
      <c r="L5" s="5">
        <v>78.66</v>
      </c>
      <c r="M5" s="10" t="str">
        <f t="shared" si="7"/>
        <v>B+</v>
      </c>
      <c r="N5" s="1">
        <f t="shared" si="1"/>
        <v>3.5</v>
      </c>
      <c r="O5" s="10">
        <v>4</v>
      </c>
      <c r="P5" s="1">
        <f t="shared" si="8"/>
        <v>14</v>
      </c>
      <c r="Q5" s="7">
        <v>75.5</v>
      </c>
      <c r="R5" s="10" t="str">
        <f t="shared" si="9"/>
        <v>B+</v>
      </c>
      <c r="S5" s="1">
        <f t="shared" si="10"/>
        <v>3.5</v>
      </c>
      <c r="T5" s="10">
        <v>4</v>
      </c>
      <c r="U5" s="1">
        <f t="shared" si="11"/>
        <v>14</v>
      </c>
      <c r="V5" s="6">
        <v>81.325000000000003</v>
      </c>
      <c r="W5" s="10" t="str">
        <f t="shared" si="12"/>
        <v>A</v>
      </c>
      <c r="X5" s="1">
        <f t="shared" si="2"/>
        <v>4</v>
      </c>
      <c r="Y5" s="10">
        <v>2</v>
      </c>
      <c r="Z5" s="1">
        <f t="shared" si="13"/>
        <v>8</v>
      </c>
      <c r="AA5" s="18">
        <v>84.083333333333329</v>
      </c>
      <c r="AB5" s="10" t="str">
        <f t="shared" si="14"/>
        <v>A</v>
      </c>
      <c r="AC5" s="1">
        <f t="shared" si="3"/>
        <v>4</v>
      </c>
      <c r="AD5" s="10">
        <v>3</v>
      </c>
      <c r="AE5" s="1">
        <f t="shared" si="15"/>
        <v>12</v>
      </c>
      <c r="AF5" s="12">
        <v>81.674999999999997</v>
      </c>
      <c r="AG5" s="10" t="str">
        <f t="shared" si="16"/>
        <v>A</v>
      </c>
      <c r="AH5" s="1">
        <f t="shared" si="4"/>
        <v>4</v>
      </c>
      <c r="AI5" s="10">
        <v>3</v>
      </c>
      <c r="AJ5" s="1">
        <f t="shared" si="17"/>
        <v>12</v>
      </c>
      <c r="AK5" s="10">
        <v>75.400000000000006</v>
      </c>
      <c r="AL5" s="10" t="str">
        <f t="shared" si="18"/>
        <v>B+</v>
      </c>
      <c r="AM5" s="1">
        <f t="shared" si="19"/>
        <v>3.5</v>
      </c>
      <c r="AN5" s="10">
        <v>4</v>
      </c>
      <c r="AO5" s="1">
        <f t="shared" si="20"/>
        <v>14</v>
      </c>
      <c r="AP5" s="5">
        <v>80.75</v>
      </c>
      <c r="AQ5" s="10" t="str">
        <f t="shared" si="21"/>
        <v>A</v>
      </c>
      <c r="AR5" s="1">
        <f t="shared" si="22"/>
        <v>4</v>
      </c>
      <c r="AS5" s="10">
        <v>2</v>
      </c>
      <c r="AT5" s="1">
        <f t="shared" si="23"/>
        <v>8</v>
      </c>
      <c r="AU5" s="7">
        <v>80</v>
      </c>
      <c r="AV5" s="10" t="str">
        <f t="shared" si="24"/>
        <v>A</v>
      </c>
      <c r="AW5" s="1">
        <f t="shared" si="25"/>
        <v>4</v>
      </c>
      <c r="AX5" s="10">
        <v>3</v>
      </c>
      <c r="AY5" s="1">
        <f t="shared" si="26"/>
        <v>12</v>
      </c>
      <c r="AZ5" s="6">
        <v>75.400000000000006</v>
      </c>
      <c r="BA5" s="10" t="str">
        <f t="shared" si="27"/>
        <v>B+</v>
      </c>
      <c r="BB5" s="1">
        <f t="shared" si="28"/>
        <v>3.5</v>
      </c>
      <c r="BC5" s="10">
        <v>2</v>
      </c>
      <c r="BD5" s="1">
        <f t="shared" si="29"/>
        <v>7</v>
      </c>
      <c r="BE5" s="18">
        <v>78.55</v>
      </c>
      <c r="BF5" s="10" t="str">
        <f t="shared" si="30"/>
        <v>B+</v>
      </c>
      <c r="BG5" s="1">
        <f t="shared" si="31"/>
        <v>3.5</v>
      </c>
      <c r="BH5" s="10">
        <v>2</v>
      </c>
      <c r="BI5" s="1">
        <f t="shared" si="32"/>
        <v>7</v>
      </c>
      <c r="BJ5" s="10">
        <v>81.2</v>
      </c>
      <c r="BK5" s="10" t="str">
        <f t="shared" si="33"/>
        <v>A</v>
      </c>
      <c r="BL5" s="1">
        <f t="shared" si="34"/>
        <v>4</v>
      </c>
      <c r="BM5" s="10">
        <v>4</v>
      </c>
      <c r="BN5" s="1">
        <f t="shared" si="35"/>
        <v>16</v>
      </c>
      <c r="BO5" s="10">
        <v>83</v>
      </c>
      <c r="BP5" s="10" t="str">
        <f t="shared" si="36"/>
        <v>A</v>
      </c>
      <c r="BQ5" s="1">
        <f t="shared" si="37"/>
        <v>4</v>
      </c>
      <c r="BR5" s="10">
        <v>4</v>
      </c>
      <c r="BS5" s="1">
        <f t="shared" si="38"/>
        <v>16</v>
      </c>
      <c r="BT5" s="2">
        <v>83</v>
      </c>
      <c r="BU5" s="2">
        <v>22</v>
      </c>
      <c r="BV5" s="2">
        <v>69</v>
      </c>
      <c r="BW5" s="2">
        <v>19</v>
      </c>
      <c r="BX5" s="2">
        <v>80.5</v>
      </c>
      <c r="BY5" s="2">
        <v>21</v>
      </c>
      <c r="BZ5" s="2">
        <v>81</v>
      </c>
      <c r="CA5" s="2">
        <v>21</v>
      </c>
      <c r="CB5" s="2">
        <v>83</v>
      </c>
      <c r="CC5" s="2">
        <v>21</v>
      </c>
      <c r="CD5" s="2">
        <v>72</v>
      </c>
      <c r="CE5" s="2">
        <v>19</v>
      </c>
      <c r="CF5" s="2">
        <v>64</v>
      </c>
      <c r="CG5" s="2">
        <v>17</v>
      </c>
      <c r="CH5" s="2">
        <v>16</v>
      </c>
      <c r="CI5" s="2">
        <v>4</v>
      </c>
      <c r="CJ5" s="2">
        <f t="shared" si="39"/>
        <v>548.5</v>
      </c>
      <c r="CK5" s="2">
        <f t="shared" si="40"/>
        <v>144</v>
      </c>
      <c r="CL5" s="3">
        <f t="shared" si="41"/>
        <v>3.8090277777777777</v>
      </c>
      <c r="CM5" s="2" t="str">
        <f t="shared" si="42"/>
        <v>Cum Laude</v>
      </c>
      <c r="CN5" s="37" t="str">
        <f t="shared" si="43"/>
        <v>Excellent</v>
      </c>
      <c r="CO5" s="23"/>
    </row>
    <row r="6" spans="1:93" x14ac:dyDescent="0.25">
      <c r="A6" s="2">
        <v>4</v>
      </c>
      <c r="B6" s="22" t="s">
        <v>22</v>
      </c>
      <c r="C6" s="25">
        <v>152111004</v>
      </c>
      <c r="D6" s="10" t="s">
        <v>135</v>
      </c>
      <c r="E6" s="27" t="s">
        <v>136</v>
      </c>
      <c r="F6" s="25"/>
      <c r="G6" s="19">
        <v>75</v>
      </c>
      <c r="H6" s="10" t="str">
        <f t="shared" si="5"/>
        <v>B+</v>
      </c>
      <c r="I6" s="1">
        <f t="shared" si="0"/>
        <v>3.5</v>
      </c>
      <c r="J6" s="10">
        <v>3</v>
      </c>
      <c r="K6" s="1">
        <f t="shared" si="6"/>
        <v>10.5</v>
      </c>
      <c r="L6" s="5">
        <v>78.42</v>
      </c>
      <c r="M6" s="10" t="str">
        <f t="shared" si="7"/>
        <v>B+</v>
      </c>
      <c r="N6" s="1">
        <f t="shared" si="1"/>
        <v>3.5</v>
      </c>
      <c r="O6" s="10">
        <v>4</v>
      </c>
      <c r="P6" s="1">
        <f t="shared" si="8"/>
        <v>14</v>
      </c>
      <c r="Q6" s="7">
        <v>74.25</v>
      </c>
      <c r="R6" s="10" t="str">
        <f t="shared" si="9"/>
        <v>B</v>
      </c>
      <c r="S6" s="1">
        <f t="shared" si="10"/>
        <v>3</v>
      </c>
      <c r="T6" s="10">
        <v>4</v>
      </c>
      <c r="U6" s="1">
        <f t="shared" si="11"/>
        <v>12</v>
      </c>
      <c r="V6" s="6">
        <v>73.150000000000006</v>
      </c>
      <c r="W6" s="10" t="str">
        <f t="shared" si="12"/>
        <v>B</v>
      </c>
      <c r="X6" s="1">
        <f t="shared" si="2"/>
        <v>3</v>
      </c>
      <c r="Y6" s="10">
        <v>2</v>
      </c>
      <c r="Z6" s="1">
        <f t="shared" si="13"/>
        <v>6</v>
      </c>
      <c r="AA6" s="18">
        <v>79.849999999999994</v>
      </c>
      <c r="AB6" s="10" t="str">
        <f t="shared" si="14"/>
        <v>B+</v>
      </c>
      <c r="AC6" s="1">
        <f t="shared" si="3"/>
        <v>3.5</v>
      </c>
      <c r="AD6" s="10">
        <v>3</v>
      </c>
      <c r="AE6" s="1">
        <f t="shared" si="15"/>
        <v>10.5</v>
      </c>
      <c r="AF6" s="12">
        <v>77.625</v>
      </c>
      <c r="AG6" s="10" t="str">
        <f t="shared" si="16"/>
        <v>B+</v>
      </c>
      <c r="AH6" s="1">
        <f t="shared" si="4"/>
        <v>3.5</v>
      </c>
      <c r="AI6" s="10">
        <v>3</v>
      </c>
      <c r="AJ6" s="1">
        <f t="shared" si="17"/>
        <v>10.5</v>
      </c>
      <c r="AK6" s="10">
        <v>79.400000000000006</v>
      </c>
      <c r="AL6" s="10" t="str">
        <f t="shared" si="18"/>
        <v>B+</v>
      </c>
      <c r="AM6" s="1">
        <f t="shared" si="19"/>
        <v>3.5</v>
      </c>
      <c r="AN6" s="10">
        <v>4</v>
      </c>
      <c r="AO6" s="1">
        <f t="shared" si="20"/>
        <v>14</v>
      </c>
      <c r="AP6" s="5">
        <v>76.75</v>
      </c>
      <c r="AQ6" s="10" t="str">
        <f t="shared" si="21"/>
        <v>B+</v>
      </c>
      <c r="AR6" s="1">
        <f t="shared" si="22"/>
        <v>3.5</v>
      </c>
      <c r="AS6" s="10">
        <v>2</v>
      </c>
      <c r="AT6" s="1">
        <f t="shared" si="23"/>
        <v>7</v>
      </c>
      <c r="AU6" s="7">
        <v>82</v>
      </c>
      <c r="AV6" s="10" t="str">
        <f t="shared" si="24"/>
        <v>A</v>
      </c>
      <c r="AW6" s="1">
        <f t="shared" si="25"/>
        <v>4</v>
      </c>
      <c r="AX6" s="10">
        <v>3</v>
      </c>
      <c r="AY6" s="1">
        <f t="shared" si="26"/>
        <v>12</v>
      </c>
      <c r="AZ6" s="6">
        <v>79.400000000000006</v>
      </c>
      <c r="BA6" s="10" t="str">
        <f t="shared" si="27"/>
        <v>B+</v>
      </c>
      <c r="BB6" s="1">
        <f t="shared" si="28"/>
        <v>3.5</v>
      </c>
      <c r="BC6" s="10">
        <v>2</v>
      </c>
      <c r="BD6" s="1">
        <f t="shared" si="29"/>
        <v>7</v>
      </c>
      <c r="BE6" s="18">
        <v>70.38</v>
      </c>
      <c r="BF6" s="10" t="str">
        <f t="shared" si="30"/>
        <v>B</v>
      </c>
      <c r="BG6" s="1">
        <f t="shared" si="31"/>
        <v>3</v>
      </c>
      <c r="BH6" s="10">
        <v>2</v>
      </c>
      <c r="BI6" s="1">
        <f t="shared" si="32"/>
        <v>6</v>
      </c>
      <c r="BJ6" s="10">
        <v>76.400000000000006</v>
      </c>
      <c r="BK6" s="10" t="str">
        <f t="shared" si="33"/>
        <v>B+</v>
      </c>
      <c r="BL6" s="1">
        <f t="shared" si="34"/>
        <v>3.5</v>
      </c>
      <c r="BM6" s="10">
        <v>4</v>
      </c>
      <c r="BN6" s="1">
        <f t="shared" si="35"/>
        <v>14</v>
      </c>
      <c r="BO6" s="10">
        <v>81.8</v>
      </c>
      <c r="BP6" s="10" t="str">
        <f t="shared" si="36"/>
        <v>A</v>
      </c>
      <c r="BQ6" s="1">
        <f t="shared" si="37"/>
        <v>4</v>
      </c>
      <c r="BR6" s="10">
        <v>4</v>
      </c>
      <c r="BS6" s="1">
        <f t="shared" si="38"/>
        <v>16</v>
      </c>
      <c r="BT6" s="2">
        <v>76</v>
      </c>
      <c r="BU6" s="2">
        <v>22</v>
      </c>
      <c r="BV6" s="2">
        <v>67</v>
      </c>
      <c r="BW6" s="2">
        <v>19</v>
      </c>
      <c r="BX6" s="2">
        <v>77.5</v>
      </c>
      <c r="BY6" s="2">
        <v>21</v>
      </c>
      <c r="BZ6" s="2">
        <v>81</v>
      </c>
      <c r="CA6" s="2">
        <v>21</v>
      </c>
      <c r="CB6" s="2">
        <v>76.5</v>
      </c>
      <c r="CC6" s="2">
        <v>21</v>
      </c>
      <c r="CD6" s="2">
        <v>63.5</v>
      </c>
      <c r="CE6" s="2">
        <v>19</v>
      </c>
      <c r="CF6" s="2">
        <v>60</v>
      </c>
      <c r="CG6" s="2">
        <v>17</v>
      </c>
      <c r="CH6" s="2">
        <v>16</v>
      </c>
      <c r="CI6" s="2">
        <v>4</v>
      </c>
      <c r="CJ6" s="2">
        <f t="shared" si="39"/>
        <v>517.5</v>
      </c>
      <c r="CK6" s="2">
        <f t="shared" si="40"/>
        <v>144</v>
      </c>
      <c r="CL6" s="3">
        <f t="shared" si="41"/>
        <v>3.59375</v>
      </c>
      <c r="CM6" s="2" t="str">
        <f t="shared" si="42"/>
        <v>Cum Laude</v>
      </c>
      <c r="CN6" s="37" t="str">
        <f t="shared" si="43"/>
        <v>Excellent</v>
      </c>
      <c r="CO6" s="23"/>
    </row>
    <row r="7" spans="1:93" x14ac:dyDescent="0.25">
      <c r="A7" s="2">
        <v>5</v>
      </c>
      <c r="B7" s="32" t="s">
        <v>23</v>
      </c>
      <c r="C7" s="25">
        <v>152111005</v>
      </c>
      <c r="D7" s="25"/>
      <c r="E7" s="27"/>
      <c r="F7" s="25"/>
      <c r="G7" s="19">
        <v>73.2</v>
      </c>
      <c r="H7" s="10" t="str">
        <f t="shared" si="5"/>
        <v>B</v>
      </c>
      <c r="I7" s="1">
        <f t="shared" si="0"/>
        <v>3</v>
      </c>
      <c r="J7" s="10">
        <v>3</v>
      </c>
      <c r="K7" s="1">
        <f t="shared" si="6"/>
        <v>9</v>
      </c>
      <c r="L7" s="5">
        <v>73.8</v>
      </c>
      <c r="M7" s="10" t="str">
        <f t="shared" si="7"/>
        <v>B</v>
      </c>
      <c r="N7" s="1">
        <f t="shared" si="1"/>
        <v>3</v>
      </c>
      <c r="O7" s="10">
        <v>4</v>
      </c>
      <c r="P7" s="1">
        <f t="shared" si="8"/>
        <v>12</v>
      </c>
      <c r="Q7" s="7">
        <v>74.25</v>
      </c>
      <c r="R7" s="10" t="str">
        <f t="shared" si="9"/>
        <v>B</v>
      </c>
      <c r="S7" s="1">
        <f t="shared" si="10"/>
        <v>3</v>
      </c>
      <c r="T7" s="10">
        <v>4</v>
      </c>
      <c r="U7" s="1">
        <f t="shared" si="11"/>
        <v>12</v>
      </c>
      <c r="V7" s="6">
        <v>67.25</v>
      </c>
      <c r="W7" s="10" t="str">
        <f t="shared" si="12"/>
        <v>C+</v>
      </c>
      <c r="X7" s="1">
        <f t="shared" si="2"/>
        <v>2.5</v>
      </c>
      <c r="Y7" s="10">
        <v>2</v>
      </c>
      <c r="Z7" s="1">
        <f t="shared" si="13"/>
        <v>5</v>
      </c>
      <c r="AA7" s="18">
        <v>69.7</v>
      </c>
      <c r="AB7" s="10" t="str">
        <f t="shared" si="14"/>
        <v>C+</v>
      </c>
      <c r="AC7" s="1">
        <f t="shared" si="3"/>
        <v>2.5</v>
      </c>
      <c r="AD7" s="10">
        <v>3</v>
      </c>
      <c r="AE7" s="1">
        <f t="shared" si="15"/>
        <v>7.5</v>
      </c>
      <c r="AF7" s="12">
        <v>68.375</v>
      </c>
      <c r="AG7" s="10" t="str">
        <f t="shared" si="16"/>
        <v>C+</v>
      </c>
      <c r="AH7" s="1">
        <f t="shared" si="4"/>
        <v>2.5</v>
      </c>
      <c r="AI7" s="10">
        <v>3</v>
      </c>
      <c r="AJ7" s="1">
        <f t="shared" si="17"/>
        <v>7.5</v>
      </c>
      <c r="AK7" s="10">
        <v>83.8</v>
      </c>
      <c r="AL7" s="10" t="str">
        <f t="shared" si="18"/>
        <v>A</v>
      </c>
      <c r="AM7" s="1">
        <f t="shared" si="19"/>
        <v>4</v>
      </c>
      <c r="AN7" s="10">
        <v>4</v>
      </c>
      <c r="AO7" s="1">
        <f t="shared" si="20"/>
        <v>16</v>
      </c>
      <c r="AP7" s="5">
        <v>81.150000000000006</v>
      </c>
      <c r="AQ7" s="10" t="str">
        <f t="shared" si="21"/>
        <v>A</v>
      </c>
      <c r="AR7" s="1">
        <f t="shared" si="22"/>
        <v>4</v>
      </c>
      <c r="AS7" s="10">
        <v>2</v>
      </c>
      <c r="AT7" s="1">
        <f t="shared" si="23"/>
        <v>8</v>
      </c>
      <c r="AU7" s="7">
        <v>79</v>
      </c>
      <c r="AV7" s="10" t="str">
        <f t="shared" si="24"/>
        <v>B+</v>
      </c>
      <c r="AW7" s="1">
        <f t="shared" si="25"/>
        <v>3.5</v>
      </c>
      <c r="AX7" s="10">
        <v>3</v>
      </c>
      <c r="AY7" s="1">
        <f t="shared" si="26"/>
        <v>10.5</v>
      </c>
      <c r="AZ7" s="6">
        <v>83.8</v>
      </c>
      <c r="BA7" s="10" t="str">
        <f t="shared" si="27"/>
        <v>A</v>
      </c>
      <c r="BB7" s="1">
        <f t="shared" si="28"/>
        <v>4</v>
      </c>
      <c r="BC7" s="10">
        <v>2</v>
      </c>
      <c r="BD7" s="1">
        <f t="shared" si="29"/>
        <v>8</v>
      </c>
      <c r="BE7" s="18">
        <v>58.25</v>
      </c>
      <c r="BF7" s="10" t="str">
        <f t="shared" si="30"/>
        <v>D</v>
      </c>
      <c r="BG7" s="1">
        <f t="shared" si="31"/>
        <v>1</v>
      </c>
      <c r="BH7" s="10">
        <v>2</v>
      </c>
      <c r="BI7" s="1">
        <f t="shared" si="32"/>
        <v>2</v>
      </c>
      <c r="BJ7" s="10">
        <v>79</v>
      </c>
      <c r="BK7" s="10" t="str">
        <f t="shared" si="33"/>
        <v>B+</v>
      </c>
      <c r="BL7" s="1">
        <f t="shared" si="34"/>
        <v>3.5</v>
      </c>
      <c r="BM7" s="10">
        <v>4</v>
      </c>
      <c r="BN7" s="1">
        <f t="shared" si="35"/>
        <v>14</v>
      </c>
      <c r="BO7" s="10">
        <v>38</v>
      </c>
      <c r="BP7" s="10" t="str">
        <f t="shared" si="36"/>
        <v>E</v>
      </c>
      <c r="BQ7" s="1">
        <f t="shared" si="37"/>
        <v>0</v>
      </c>
      <c r="BR7" s="10">
        <v>4</v>
      </c>
      <c r="BS7" s="1">
        <f t="shared" si="38"/>
        <v>0</v>
      </c>
      <c r="BT7" s="2">
        <v>67</v>
      </c>
      <c r="BU7" s="2">
        <v>22</v>
      </c>
      <c r="BV7" s="2">
        <v>58.5</v>
      </c>
      <c r="BW7" s="2">
        <v>19</v>
      </c>
      <c r="BX7" s="2">
        <v>73</v>
      </c>
      <c r="BY7" s="2">
        <v>21</v>
      </c>
      <c r="BZ7" s="2">
        <v>68.5</v>
      </c>
      <c r="CA7" s="2">
        <v>21</v>
      </c>
      <c r="CB7" s="2">
        <v>68</v>
      </c>
      <c r="CC7" s="2">
        <v>21</v>
      </c>
      <c r="CD7" s="2">
        <v>53</v>
      </c>
      <c r="CE7" s="2">
        <v>19</v>
      </c>
      <c r="CF7" s="2">
        <v>58.5</v>
      </c>
      <c r="CG7" s="2">
        <v>17</v>
      </c>
      <c r="CH7" s="2">
        <v>0</v>
      </c>
      <c r="CI7" s="2">
        <v>4</v>
      </c>
      <c r="CJ7" s="2">
        <f t="shared" si="39"/>
        <v>446.5</v>
      </c>
      <c r="CK7" s="2">
        <f t="shared" si="40"/>
        <v>144</v>
      </c>
      <c r="CL7" s="3">
        <f t="shared" si="41"/>
        <v>3.1006944444444446</v>
      </c>
      <c r="CM7" s="2" t="str">
        <f t="shared" si="42"/>
        <v>Sangat Memuaskan</v>
      </c>
      <c r="CN7" s="37" t="str">
        <f t="shared" si="43"/>
        <v>Highly Satisfactory</v>
      </c>
      <c r="CO7" s="23"/>
    </row>
    <row r="8" spans="1:93" x14ac:dyDescent="0.25">
      <c r="A8" s="2">
        <v>6</v>
      </c>
      <c r="B8" s="32" t="s">
        <v>24</v>
      </c>
      <c r="C8" s="25">
        <v>152111006</v>
      </c>
      <c r="D8" s="10" t="s">
        <v>137</v>
      </c>
      <c r="E8" s="27" t="s">
        <v>138</v>
      </c>
      <c r="F8" s="25"/>
      <c r="G8" s="19">
        <v>76.2</v>
      </c>
      <c r="H8" s="10" t="str">
        <f t="shared" si="5"/>
        <v>B+</v>
      </c>
      <c r="I8" s="1">
        <f t="shared" si="0"/>
        <v>3.5</v>
      </c>
      <c r="J8" s="10">
        <v>3</v>
      </c>
      <c r="K8" s="1">
        <f t="shared" si="6"/>
        <v>10.5</v>
      </c>
      <c r="L8" s="5">
        <v>76</v>
      </c>
      <c r="M8" s="10" t="str">
        <f t="shared" si="7"/>
        <v>B+</v>
      </c>
      <c r="N8" s="1">
        <f t="shared" si="1"/>
        <v>3.5</v>
      </c>
      <c r="O8" s="10">
        <v>4</v>
      </c>
      <c r="P8" s="1">
        <f t="shared" si="8"/>
        <v>14</v>
      </c>
      <c r="Q8" s="7">
        <v>74.25</v>
      </c>
      <c r="R8" s="10" t="str">
        <f t="shared" si="9"/>
        <v>B</v>
      </c>
      <c r="S8" s="1">
        <f t="shared" si="10"/>
        <v>3</v>
      </c>
      <c r="T8" s="10">
        <v>4</v>
      </c>
      <c r="U8" s="1">
        <f t="shared" si="11"/>
        <v>12</v>
      </c>
      <c r="V8" s="6">
        <v>86.075000000000003</v>
      </c>
      <c r="W8" s="10" t="str">
        <f t="shared" si="12"/>
        <v>A</v>
      </c>
      <c r="X8" s="1">
        <f t="shared" si="2"/>
        <v>4</v>
      </c>
      <c r="Y8" s="10">
        <v>2</v>
      </c>
      <c r="Z8" s="1">
        <f t="shared" si="13"/>
        <v>8</v>
      </c>
      <c r="AA8" s="18">
        <v>78.2</v>
      </c>
      <c r="AB8" s="10" t="str">
        <f t="shared" si="14"/>
        <v>B+</v>
      </c>
      <c r="AC8" s="1">
        <f t="shared" si="3"/>
        <v>3.5</v>
      </c>
      <c r="AD8" s="10">
        <v>3</v>
      </c>
      <c r="AE8" s="1">
        <f t="shared" si="15"/>
        <v>10.5</v>
      </c>
      <c r="AF8" s="12">
        <v>74.25</v>
      </c>
      <c r="AG8" s="10" t="str">
        <f t="shared" si="16"/>
        <v>B</v>
      </c>
      <c r="AH8" s="1">
        <f t="shared" si="4"/>
        <v>3</v>
      </c>
      <c r="AI8" s="10">
        <v>3</v>
      </c>
      <c r="AJ8" s="1">
        <f t="shared" si="17"/>
        <v>9</v>
      </c>
      <c r="AK8" s="10">
        <v>81</v>
      </c>
      <c r="AL8" s="10" t="str">
        <f t="shared" si="18"/>
        <v>A</v>
      </c>
      <c r="AM8" s="1">
        <f t="shared" si="19"/>
        <v>4</v>
      </c>
      <c r="AN8" s="10">
        <v>4</v>
      </c>
      <c r="AO8" s="1">
        <f t="shared" si="20"/>
        <v>16</v>
      </c>
      <c r="AP8" s="5">
        <v>80.95</v>
      </c>
      <c r="AQ8" s="10" t="str">
        <f t="shared" si="21"/>
        <v>A</v>
      </c>
      <c r="AR8" s="1">
        <f t="shared" si="22"/>
        <v>4</v>
      </c>
      <c r="AS8" s="10">
        <v>2</v>
      </c>
      <c r="AT8" s="1">
        <f t="shared" si="23"/>
        <v>8</v>
      </c>
      <c r="AU8" s="7">
        <v>76.05</v>
      </c>
      <c r="AV8" s="10" t="str">
        <f t="shared" si="24"/>
        <v>B+</v>
      </c>
      <c r="AW8" s="1">
        <f t="shared" si="25"/>
        <v>3.5</v>
      </c>
      <c r="AX8" s="10">
        <v>3</v>
      </c>
      <c r="AY8" s="1">
        <f t="shared" si="26"/>
        <v>10.5</v>
      </c>
      <c r="AZ8" s="6">
        <v>81</v>
      </c>
      <c r="BA8" s="10" t="str">
        <f t="shared" si="27"/>
        <v>A</v>
      </c>
      <c r="BB8" s="1">
        <f t="shared" si="28"/>
        <v>4</v>
      </c>
      <c r="BC8" s="10">
        <v>2</v>
      </c>
      <c r="BD8" s="1">
        <f t="shared" si="29"/>
        <v>8</v>
      </c>
      <c r="BE8" s="18">
        <v>77.75</v>
      </c>
      <c r="BF8" s="10" t="str">
        <f t="shared" si="30"/>
        <v>B+</v>
      </c>
      <c r="BG8" s="1">
        <f t="shared" si="31"/>
        <v>3.5</v>
      </c>
      <c r="BH8" s="10">
        <v>2</v>
      </c>
      <c r="BI8" s="1">
        <f t="shared" si="32"/>
        <v>7</v>
      </c>
      <c r="BJ8" s="10">
        <v>79</v>
      </c>
      <c r="BK8" s="10" t="str">
        <f t="shared" si="33"/>
        <v>B+</v>
      </c>
      <c r="BL8" s="1">
        <f t="shared" si="34"/>
        <v>3.5</v>
      </c>
      <c r="BM8" s="10">
        <v>4</v>
      </c>
      <c r="BN8" s="1">
        <f t="shared" si="35"/>
        <v>14</v>
      </c>
      <c r="BO8" s="10">
        <v>80</v>
      </c>
      <c r="BP8" s="10" t="str">
        <f t="shared" si="36"/>
        <v>A</v>
      </c>
      <c r="BQ8" s="1">
        <f t="shared" si="37"/>
        <v>4</v>
      </c>
      <c r="BR8" s="10">
        <v>4</v>
      </c>
      <c r="BS8" s="1">
        <f t="shared" si="38"/>
        <v>16</v>
      </c>
      <c r="BT8" s="2">
        <v>77</v>
      </c>
      <c r="BU8" s="2">
        <v>22</v>
      </c>
      <c r="BV8" s="2">
        <v>65.5</v>
      </c>
      <c r="BW8" s="2">
        <v>19</v>
      </c>
      <c r="BX8" s="2">
        <v>77.5</v>
      </c>
      <c r="BY8" s="2">
        <v>21</v>
      </c>
      <c r="BZ8" s="2">
        <v>77.5</v>
      </c>
      <c r="CA8" s="2">
        <v>21</v>
      </c>
      <c r="CB8" s="2">
        <v>75</v>
      </c>
      <c r="CC8" s="2">
        <v>21</v>
      </c>
      <c r="CD8" s="2">
        <v>64</v>
      </c>
      <c r="CE8" s="2">
        <v>19</v>
      </c>
      <c r="CF8" s="2">
        <v>63.5</v>
      </c>
      <c r="CG8" s="2">
        <v>17</v>
      </c>
      <c r="CH8" s="2">
        <v>16</v>
      </c>
      <c r="CI8" s="2">
        <v>4</v>
      </c>
      <c r="CJ8" s="2">
        <f t="shared" si="39"/>
        <v>516</v>
      </c>
      <c r="CK8" s="2">
        <f t="shared" si="40"/>
        <v>144</v>
      </c>
      <c r="CL8" s="3">
        <f t="shared" si="41"/>
        <v>3.5833333333333335</v>
      </c>
      <c r="CM8" s="2" t="str">
        <f t="shared" si="42"/>
        <v>Cum Laude</v>
      </c>
      <c r="CN8" s="37" t="str">
        <f t="shared" si="43"/>
        <v>Excellent</v>
      </c>
      <c r="CO8" s="23"/>
    </row>
    <row r="9" spans="1:93" x14ac:dyDescent="0.25">
      <c r="A9" s="2">
        <v>7</v>
      </c>
      <c r="B9" s="32" t="s">
        <v>25</v>
      </c>
      <c r="C9" s="25">
        <v>152111007</v>
      </c>
      <c r="D9" s="10" t="s">
        <v>135</v>
      </c>
      <c r="E9" s="27" t="s">
        <v>139</v>
      </c>
      <c r="F9" s="25"/>
      <c r="G9" s="19">
        <v>80.2</v>
      </c>
      <c r="H9" s="10" t="str">
        <f t="shared" si="5"/>
        <v>A</v>
      </c>
      <c r="I9" s="1">
        <f t="shared" si="0"/>
        <v>4</v>
      </c>
      <c r="J9" s="10">
        <v>3</v>
      </c>
      <c r="K9" s="1">
        <f t="shared" si="6"/>
        <v>12</v>
      </c>
      <c r="L9" s="5">
        <v>81.760000000000005</v>
      </c>
      <c r="M9" s="10" t="str">
        <f t="shared" si="7"/>
        <v>A</v>
      </c>
      <c r="N9" s="1">
        <f t="shared" si="1"/>
        <v>4</v>
      </c>
      <c r="O9" s="10">
        <v>4</v>
      </c>
      <c r="P9" s="1">
        <f t="shared" si="8"/>
        <v>16</v>
      </c>
      <c r="Q9" s="7">
        <v>76</v>
      </c>
      <c r="R9" s="10" t="str">
        <f t="shared" si="9"/>
        <v>B+</v>
      </c>
      <c r="S9" s="1">
        <f t="shared" si="10"/>
        <v>3.5</v>
      </c>
      <c r="T9" s="10">
        <v>4</v>
      </c>
      <c r="U9" s="1">
        <f t="shared" si="11"/>
        <v>14</v>
      </c>
      <c r="V9" s="6">
        <v>80.5</v>
      </c>
      <c r="W9" s="10" t="str">
        <f t="shared" si="12"/>
        <v>A</v>
      </c>
      <c r="X9" s="1">
        <f t="shared" si="2"/>
        <v>4</v>
      </c>
      <c r="Y9" s="10">
        <v>2</v>
      </c>
      <c r="Z9" s="1">
        <f t="shared" si="13"/>
        <v>8</v>
      </c>
      <c r="AA9" s="18">
        <v>77.033333333333331</v>
      </c>
      <c r="AB9" s="10" t="str">
        <f t="shared" si="14"/>
        <v>B+</v>
      </c>
      <c r="AC9" s="1">
        <f t="shared" si="3"/>
        <v>3.5</v>
      </c>
      <c r="AD9" s="10">
        <v>3</v>
      </c>
      <c r="AE9" s="1">
        <f t="shared" si="15"/>
        <v>10.5</v>
      </c>
      <c r="AF9" s="12">
        <v>80.075000000000003</v>
      </c>
      <c r="AG9" s="10" t="str">
        <f t="shared" si="16"/>
        <v>A</v>
      </c>
      <c r="AH9" s="1">
        <f t="shared" si="4"/>
        <v>4</v>
      </c>
      <c r="AI9" s="10">
        <v>3</v>
      </c>
      <c r="AJ9" s="1">
        <f t="shared" si="17"/>
        <v>12</v>
      </c>
      <c r="AK9" s="10">
        <v>78.2</v>
      </c>
      <c r="AL9" s="10" t="str">
        <f t="shared" si="18"/>
        <v>B+</v>
      </c>
      <c r="AM9" s="1">
        <f t="shared" si="19"/>
        <v>3.5</v>
      </c>
      <c r="AN9" s="10">
        <v>4</v>
      </c>
      <c r="AO9" s="1">
        <f t="shared" si="20"/>
        <v>14</v>
      </c>
      <c r="AP9" s="5">
        <v>83.55</v>
      </c>
      <c r="AQ9" s="10" t="str">
        <f t="shared" si="21"/>
        <v>A</v>
      </c>
      <c r="AR9" s="1">
        <f t="shared" si="22"/>
        <v>4</v>
      </c>
      <c r="AS9" s="10">
        <v>2</v>
      </c>
      <c r="AT9" s="1">
        <f t="shared" si="23"/>
        <v>8</v>
      </c>
      <c r="AU9" s="7">
        <v>80.38</v>
      </c>
      <c r="AV9" s="10" t="str">
        <f t="shared" si="24"/>
        <v>A</v>
      </c>
      <c r="AW9" s="1">
        <f t="shared" si="25"/>
        <v>4</v>
      </c>
      <c r="AX9" s="10">
        <v>3</v>
      </c>
      <c r="AY9" s="1">
        <f t="shared" si="26"/>
        <v>12</v>
      </c>
      <c r="AZ9" s="6">
        <v>78.2</v>
      </c>
      <c r="BA9" s="10" t="str">
        <f t="shared" si="27"/>
        <v>B+</v>
      </c>
      <c r="BB9" s="1">
        <f t="shared" si="28"/>
        <v>3.5</v>
      </c>
      <c r="BC9" s="10">
        <v>2</v>
      </c>
      <c r="BD9" s="1">
        <f t="shared" si="29"/>
        <v>7</v>
      </c>
      <c r="BE9" s="18">
        <v>77.08</v>
      </c>
      <c r="BF9" s="10" t="str">
        <f t="shared" si="30"/>
        <v>B+</v>
      </c>
      <c r="BG9" s="1">
        <f t="shared" si="31"/>
        <v>3.5</v>
      </c>
      <c r="BH9" s="10">
        <v>2</v>
      </c>
      <c r="BI9" s="1">
        <f t="shared" si="32"/>
        <v>7</v>
      </c>
      <c r="BJ9" s="10">
        <v>77.8</v>
      </c>
      <c r="BK9" s="10" t="str">
        <f t="shared" si="33"/>
        <v>B+</v>
      </c>
      <c r="BL9" s="1">
        <f t="shared" si="34"/>
        <v>3.5</v>
      </c>
      <c r="BM9" s="10">
        <v>4</v>
      </c>
      <c r="BN9" s="1">
        <f t="shared" si="35"/>
        <v>14</v>
      </c>
      <c r="BO9" s="10">
        <v>82.9</v>
      </c>
      <c r="BP9" s="10" t="str">
        <f t="shared" si="36"/>
        <v>A</v>
      </c>
      <c r="BQ9" s="1">
        <f t="shared" si="37"/>
        <v>4</v>
      </c>
      <c r="BR9" s="10">
        <v>4</v>
      </c>
      <c r="BS9" s="1">
        <f t="shared" si="38"/>
        <v>16</v>
      </c>
      <c r="BT9" s="2">
        <v>80.5</v>
      </c>
      <c r="BU9" s="2">
        <v>22</v>
      </c>
      <c r="BV9" s="2">
        <v>69</v>
      </c>
      <c r="BW9" s="2">
        <v>19</v>
      </c>
      <c r="BX9" s="2">
        <v>77.5</v>
      </c>
      <c r="BY9" s="2">
        <v>21</v>
      </c>
      <c r="BZ9" s="2">
        <v>82.5</v>
      </c>
      <c r="CA9" s="2">
        <v>21</v>
      </c>
      <c r="CB9" s="2">
        <v>81.5</v>
      </c>
      <c r="CC9" s="2">
        <v>21</v>
      </c>
      <c r="CD9" s="2">
        <v>72.5</v>
      </c>
      <c r="CE9" s="2">
        <v>19</v>
      </c>
      <c r="CF9" s="2">
        <v>62</v>
      </c>
      <c r="CG9" s="2">
        <v>17</v>
      </c>
      <c r="CH9" s="2">
        <v>16</v>
      </c>
      <c r="CI9" s="2">
        <v>4</v>
      </c>
      <c r="CJ9" s="2">
        <f t="shared" si="39"/>
        <v>541.5</v>
      </c>
      <c r="CK9" s="2">
        <f t="shared" si="40"/>
        <v>144</v>
      </c>
      <c r="CL9" s="3">
        <f t="shared" si="41"/>
        <v>3.7604166666666665</v>
      </c>
      <c r="CM9" s="2" t="str">
        <f t="shared" si="42"/>
        <v>Cum Laude</v>
      </c>
      <c r="CN9" s="37" t="str">
        <f t="shared" si="43"/>
        <v>Excellent</v>
      </c>
      <c r="CO9" s="23"/>
    </row>
    <row r="10" spans="1:93" x14ac:dyDescent="0.25">
      <c r="A10" s="2">
        <v>8</v>
      </c>
      <c r="B10" s="32" t="s">
        <v>26</v>
      </c>
      <c r="C10" s="25">
        <v>152111010</v>
      </c>
      <c r="D10" s="10" t="s">
        <v>140</v>
      </c>
      <c r="E10" s="27" t="s">
        <v>141</v>
      </c>
      <c r="F10" s="25"/>
      <c r="G10" s="19">
        <v>75</v>
      </c>
      <c r="H10" s="10" t="str">
        <f t="shared" si="5"/>
        <v>B+</v>
      </c>
      <c r="I10" s="1">
        <f>IF(H10="A",4,IF(H10="B+",3.5,IF(H10="B",3,IF(H10="C+",2.5,IF(H10="C",2,IF(H10="D",1,0))))))</f>
        <v>3.5</v>
      </c>
      <c r="J10" s="10">
        <v>3</v>
      </c>
      <c r="K10" s="1">
        <f t="shared" si="6"/>
        <v>10.5</v>
      </c>
      <c r="L10" s="16">
        <v>71.86</v>
      </c>
      <c r="M10" s="10" t="str">
        <f t="shared" si="7"/>
        <v>B</v>
      </c>
      <c r="N10" s="1">
        <f t="shared" si="1"/>
        <v>3</v>
      </c>
      <c r="O10" s="10">
        <v>4</v>
      </c>
      <c r="P10" s="1">
        <f t="shared" si="8"/>
        <v>12</v>
      </c>
      <c r="Q10" s="7">
        <v>74.25</v>
      </c>
      <c r="R10" s="10" t="str">
        <f t="shared" si="9"/>
        <v>B</v>
      </c>
      <c r="S10" s="1">
        <f t="shared" si="10"/>
        <v>3</v>
      </c>
      <c r="T10" s="10">
        <v>4</v>
      </c>
      <c r="U10" s="1">
        <f t="shared" si="11"/>
        <v>12</v>
      </c>
      <c r="V10" s="6">
        <v>68.228571428571428</v>
      </c>
      <c r="W10" s="10" t="str">
        <f t="shared" si="12"/>
        <v>C+</v>
      </c>
      <c r="X10" s="1">
        <f t="shared" si="2"/>
        <v>2.5</v>
      </c>
      <c r="Y10" s="10">
        <v>2</v>
      </c>
      <c r="Z10" s="1">
        <f t="shared" si="13"/>
        <v>5</v>
      </c>
      <c r="AA10" s="18">
        <v>71.045238095238105</v>
      </c>
      <c r="AB10" s="10" t="str">
        <f t="shared" si="14"/>
        <v>B</v>
      </c>
      <c r="AC10" s="1">
        <f t="shared" si="3"/>
        <v>3</v>
      </c>
      <c r="AD10" s="10">
        <v>3</v>
      </c>
      <c r="AE10" s="1">
        <f t="shared" si="15"/>
        <v>9</v>
      </c>
      <c r="AF10" s="12">
        <v>68.575000000000003</v>
      </c>
      <c r="AG10" s="10" t="str">
        <f t="shared" si="16"/>
        <v>C+</v>
      </c>
      <c r="AH10" s="1">
        <f t="shared" si="4"/>
        <v>2.5</v>
      </c>
      <c r="AI10" s="10">
        <v>3</v>
      </c>
      <c r="AJ10" s="1">
        <f t="shared" si="17"/>
        <v>7.5</v>
      </c>
      <c r="AK10" s="10">
        <v>81.2</v>
      </c>
      <c r="AL10" s="10" t="str">
        <f t="shared" si="18"/>
        <v>A</v>
      </c>
      <c r="AM10" s="1">
        <f t="shared" si="19"/>
        <v>4</v>
      </c>
      <c r="AN10" s="10">
        <v>4</v>
      </c>
      <c r="AO10" s="1">
        <f t="shared" si="20"/>
        <v>16</v>
      </c>
      <c r="AP10" s="16">
        <v>77.95</v>
      </c>
      <c r="AQ10" s="10" t="str">
        <f t="shared" si="21"/>
        <v>B+</v>
      </c>
      <c r="AR10" s="1">
        <f t="shared" si="22"/>
        <v>3.5</v>
      </c>
      <c r="AS10" s="10">
        <v>2</v>
      </c>
      <c r="AT10" s="1">
        <f t="shared" si="23"/>
        <v>7</v>
      </c>
      <c r="AU10" s="7">
        <v>78</v>
      </c>
      <c r="AV10" s="10" t="str">
        <f t="shared" si="24"/>
        <v>B+</v>
      </c>
      <c r="AW10" s="1">
        <f t="shared" si="25"/>
        <v>3.5</v>
      </c>
      <c r="AX10" s="10">
        <v>3</v>
      </c>
      <c r="AY10" s="1">
        <f t="shared" si="26"/>
        <v>10.5</v>
      </c>
      <c r="AZ10" s="6">
        <v>81.2</v>
      </c>
      <c r="BA10" s="10" t="str">
        <f t="shared" si="27"/>
        <v>A</v>
      </c>
      <c r="BB10" s="1">
        <f t="shared" si="28"/>
        <v>4</v>
      </c>
      <c r="BC10" s="10">
        <v>2</v>
      </c>
      <c r="BD10" s="1">
        <f t="shared" si="29"/>
        <v>8</v>
      </c>
      <c r="BE10" s="18">
        <v>73.150000000000006</v>
      </c>
      <c r="BF10" s="10" t="str">
        <f t="shared" si="30"/>
        <v>B</v>
      </c>
      <c r="BG10" s="1">
        <f t="shared" si="31"/>
        <v>3</v>
      </c>
      <c r="BH10" s="10">
        <v>2</v>
      </c>
      <c r="BI10" s="1">
        <f t="shared" si="32"/>
        <v>6</v>
      </c>
      <c r="BJ10" s="10">
        <v>76.099999999999994</v>
      </c>
      <c r="BK10" s="10" t="str">
        <f t="shared" si="33"/>
        <v>B+</v>
      </c>
      <c r="BL10" s="1">
        <f t="shared" si="34"/>
        <v>3.5</v>
      </c>
      <c r="BM10" s="10">
        <v>4</v>
      </c>
      <c r="BN10" s="1">
        <f t="shared" si="35"/>
        <v>14</v>
      </c>
      <c r="BO10" s="10">
        <v>80.3</v>
      </c>
      <c r="BP10" s="10" t="str">
        <f t="shared" si="36"/>
        <v>A</v>
      </c>
      <c r="BQ10" s="1">
        <f t="shared" si="37"/>
        <v>4</v>
      </c>
      <c r="BR10" s="10">
        <v>4</v>
      </c>
      <c r="BS10" s="1">
        <f t="shared" si="38"/>
        <v>16</v>
      </c>
      <c r="BT10" s="2">
        <v>64.5</v>
      </c>
      <c r="BU10" s="2">
        <v>22</v>
      </c>
      <c r="BV10" s="2">
        <v>64</v>
      </c>
      <c r="BW10" s="2">
        <v>19</v>
      </c>
      <c r="BX10" s="2">
        <v>74.5</v>
      </c>
      <c r="BY10" s="2">
        <v>21</v>
      </c>
      <c r="BZ10" s="2">
        <v>68.5</v>
      </c>
      <c r="CA10" s="2">
        <v>21</v>
      </c>
      <c r="CB10" s="2">
        <v>68.5</v>
      </c>
      <c r="CC10" s="2">
        <v>21</v>
      </c>
      <c r="CD10" s="2">
        <v>56</v>
      </c>
      <c r="CE10" s="2">
        <v>19</v>
      </c>
      <c r="CF10" s="2">
        <v>61.5</v>
      </c>
      <c r="CG10" s="2">
        <v>17</v>
      </c>
      <c r="CH10" s="2">
        <v>16</v>
      </c>
      <c r="CI10" s="2">
        <v>4</v>
      </c>
      <c r="CJ10" s="2">
        <f t="shared" si="39"/>
        <v>473.5</v>
      </c>
      <c r="CK10" s="2">
        <f t="shared" si="40"/>
        <v>144</v>
      </c>
      <c r="CL10" s="3">
        <f t="shared" si="41"/>
        <v>3.2881944444444446</v>
      </c>
      <c r="CM10" s="2" t="str">
        <f t="shared" si="42"/>
        <v>Sangat Memuaskan</v>
      </c>
      <c r="CN10" s="37" t="str">
        <f t="shared" si="43"/>
        <v>Highly Satisfactory</v>
      </c>
      <c r="CO10" s="23"/>
    </row>
    <row r="11" spans="1:93" x14ac:dyDescent="0.25">
      <c r="A11" s="2">
        <v>9</v>
      </c>
      <c r="B11" s="32" t="s">
        <v>27</v>
      </c>
      <c r="C11" s="25">
        <v>152111013</v>
      </c>
      <c r="D11" s="10" t="s">
        <v>135</v>
      </c>
      <c r="E11" s="27" t="s">
        <v>142</v>
      </c>
      <c r="F11" s="25"/>
      <c r="G11" s="19">
        <v>75</v>
      </c>
      <c r="H11" s="10" t="str">
        <f t="shared" si="5"/>
        <v>B+</v>
      </c>
      <c r="I11" s="1">
        <f t="shared" si="0"/>
        <v>3.5</v>
      </c>
      <c r="J11" s="10">
        <v>3</v>
      </c>
      <c r="K11" s="1">
        <f t="shared" si="6"/>
        <v>10.5</v>
      </c>
      <c r="L11" s="16">
        <v>74.599999999999994</v>
      </c>
      <c r="M11" s="10" t="str">
        <f t="shared" si="7"/>
        <v>B</v>
      </c>
      <c r="N11" s="1">
        <f t="shared" si="1"/>
        <v>3</v>
      </c>
      <c r="O11" s="10">
        <v>4</v>
      </c>
      <c r="P11" s="1">
        <f t="shared" si="8"/>
        <v>12</v>
      </c>
      <c r="Q11" s="7">
        <v>75.5</v>
      </c>
      <c r="R11" s="10" t="str">
        <f t="shared" si="9"/>
        <v>B+</v>
      </c>
      <c r="S11" s="1">
        <f t="shared" si="10"/>
        <v>3.5</v>
      </c>
      <c r="T11" s="10">
        <v>4</v>
      </c>
      <c r="U11" s="1">
        <f t="shared" si="11"/>
        <v>14</v>
      </c>
      <c r="V11" s="6">
        <v>75.074999999999989</v>
      </c>
      <c r="W11" s="10" t="str">
        <f t="shared" si="12"/>
        <v>B+</v>
      </c>
      <c r="X11" s="1">
        <f t="shared" si="2"/>
        <v>3.5</v>
      </c>
      <c r="Y11" s="10">
        <v>2</v>
      </c>
      <c r="Z11" s="1">
        <f t="shared" si="13"/>
        <v>7</v>
      </c>
      <c r="AA11" s="18">
        <v>77.416666666666671</v>
      </c>
      <c r="AB11" s="10" t="str">
        <f t="shared" si="14"/>
        <v>B+</v>
      </c>
      <c r="AC11" s="1">
        <f t="shared" si="3"/>
        <v>3.5</v>
      </c>
      <c r="AD11" s="10">
        <v>3</v>
      </c>
      <c r="AE11" s="1">
        <f t="shared" si="15"/>
        <v>10.5</v>
      </c>
      <c r="AF11" s="12">
        <v>74.525000000000006</v>
      </c>
      <c r="AG11" s="10" t="str">
        <f t="shared" si="16"/>
        <v>B</v>
      </c>
      <c r="AH11" s="1">
        <f t="shared" si="4"/>
        <v>3</v>
      </c>
      <c r="AI11" s="10">
        <v>3</v>
      </c>
      <c r="AJ11" s="1">
        <f t="shared" si="17"/>
        <v>9</v>
      </c>
      <c r="AK11" s="10">
        <v>82</v>
      </c>
      <c r="AL11" s="10" t="str">
        <f t="shared" si="18"/>
        <v>A</v>
      </c>
      <c r="AM11" s="1">
        <f t="shared" si="19"/>
        <v>4</v>
      </c>
      <c r="AN11" s="10">
        <v>4</v>
      </c>
      <c r="AO11" s="1">
        <f t="shared" si="20"/>
        <v>16</v>
      </c>
      <c r="AP11" s="16">
        <v>81.95</v>
      </c>
      <c r="AQ11" s="10" t="str">
        <f t="shared" si="21"/>
        <v>A</v>
      </c>
      <c r="AR11" s="1">
        <f t="shared" si="22"/>
        <v>4</v>
      </c>
      <c r="AS11" s="10">
        <v>2</v>
      </c>
      <c r="AT11" s="1">
        <f t="shared" si="23"/>
        <v>8</v>
      </c>
      <c r="AU11" s="7">
        <v>75.38</v>
      </c>
      <c r="AV11" s="10" t="str">
        <f t="shared" si="24"/>
        <v>B+</v>
      </c>
      <c r="AW11" s="1">
        <f t="shared" si="25"/>
        <v>3.5</v>
      </c>
      <c r="AX11" s="10">
        <v>3</v>
      </c>
      <c r="AY11" s="1">
        <f t="shared" si="26"/>
        <v>10.5</v>
      </c>
      <c r="AZ11" s="6">
        <v>82</v>
      </c>
      <c r="BA11" s="10" t="str">
        <f t="shared" si="27"/>
        <v>A</v>
      </c>
      <c r="BB11" s="1">
        <f t="shared" si="28"/>
        <v>4</v>
      </c>
      <c r="BC11" s="10">
        <v>2</v>
      </c>
      <c r="BD11" s="1">
        <f t="shared" si="29"/>
        <v>8</v>
      </c>
      <c r="BE11" s="18">
        <v>77.58</v>
      </c>
      <c r="BF11" s="10" t="str">
        <f t="shared" si="30"/>
        <v>B+</v>
      </c>
      <c r="BG11" s="1">
        <f t="shared" si="31"/>
        <v>3.5</v>
      </c>
      <c r="BH11" s="10">
        <v>2</v>
      </c>
      <c r="BI11" s="1">
        <f t="shared" si="32"/>
        <v>7</v>
      </c>
      <c r="BJ11" s="10">
        <v>80</v>
      </c>
      <c r="BK11" s="10" t="str">
        <f t="shared" si="33"/>
        <v>A</v>
      </c>
      <c r="BL11" s="1">
        <f t="shared" si="34"/>
        <v>4</v>
      </c>
      <c r="BM11" s="10">
        <v>4</v>
      </c>
      <c r="BN11" s="1">
        <f t="shared" si="35"/>
        <v>16</v>
      </c>
      <c r="BO11" s="10">
        <v>0</v>
      </c>
      <c r="BP11" s="10" t="str">
        <f t="shared" si="36"/>
        <v>E</v>
      </c>
      <c r="BQ11" s="1">
        <f t="shared" si="37"/>
        <v>0</v>
      </c>
      <c r="BR11" s="10">
        <v>4</v>
      </c>
      <c r="BS11" s="1">
        <f t="shared" si="38"/>
        <v>0</v>
      </c>
      <c r="BT11" s="2">
        <v>76</v>
      </c>
      <c r="BU11" s="2">
        <v>22</v>
      </c>
      <c r="BV11" s="2">
        <v>67</v>
      </c>
      <c r="BW11" s="2">
        <v>19</v>
      </c>
      <c r="BX11" s="2">
        <v>76.5</v>
      </c>
      <c r="BY11" s="2">
        <v>21</v>
      </c>
      <c r="BZ11" s="2">
        <v>74</v>
      </c>
      <c r="CA11" s="2">
        <v>21</v>
      </c>
      <c r="CB11" s="2">
        <v>72.5</v>
      </c>
      <c r="CC11" s="2">
        <v>21</v>
      </c>
      <c r="CD11" s="2">
        <v>63</v>
      </c>
      <c r="CE11" s="2">
        <v>19</v>
      </c>
      <c r="CF11" s="2">
        <v>65.5</v>
      </c>
      <c r="CG11" s="2">
        <v>17</v>
      </c>
      <c r="CH11" s="2">
        <v>0</v>
      </c>
      <c r="CI11" s="2">
        <v>4</v>
      </c>
      <c r="CJ11" s="2">
        <f t="shared" si="39"/>
        <v>494.5</v>
      </c>
      <c r="CK11" s="2">
        <f t="shared" si="40"/>
        <v>144</v>
      </c>
      <c r="CL11" s="3">
        <f t="shared" si="41"/>
        <v>3.4340277777777777</v>
      </c>
      <c r="CM11" s="2" t="str">
        <f t="shared" si="42"/>
        <v>Sangat Memuaskan</v>
      </c>
      <c r="CN11" s="37" t="str">
        <f t="shared" si="43"/>
        <v>Highly Satisfactory</v>
      </c>
      <c r="CO11" s="23"/>
    </row>
    <row r="12" spans="1:93" x14ac:dyDescent="0.25">
      <c r="A12" s="2">
        <v>10</v>
      </c>
      <c r="B12" s="32" t="s">
        <v>28</v>
      </c>
      <c r="C12" s="25">
        <v>152111015</v>
      </c>
      <c r="D12" s="25" t="s">
        <v>135</v>
      </c>
      <c r="E12" s="27" t="s">
        <v>143</v>
      </c>
      <c r="F12" s="25"/>
      <c r="G12" s="19">
        <v>76</v>
      </c>
      <c r="H12" s="10" t="str">
        <f t="shared" si="5"/>
        <v>B+</v>
      </c>
      <c r="I12" s="1">
        <f t="shared" si="0"/>
        <v>3.5</v>
      </c>
      <c r="J12" s="10">
        <v>3</v>
      </c>
      <c r="K12" s="1">
        <f t="shared" si="6"/>
        <v>10.5</v>
      </c>
      <c r="L12" s="16">
        <v>81.86</v>
      </c>
      <c r="M12" s="10" t="str">
        <f t="shared" si="7"/>
        <v>A</v>
      </c>
      <c r="N12" s="1">
        <f t="shared" si="1"/>
        <v>4</v>
      </c>
      <c r="O12" s="10">
        <v>4</v>
      </c>
      <c r="P12" s="1">
        <f t="shared" si="8"/>
        <v>16</v>
      </c>
      <c r="Q12" s="7">
        <v>75.5</v>
      </c>
      <c r="R12" s="10" t="str">
        <f t="shared" si="9"/>
        <v>B+</v>
      </c>
      <c r="S12" s="1">
        <f t="shared" si="10"/>
        <v>3.5</v>
      </c>
      <c r="T12" s="10">
        <v>4</v>
      </c>
      <c r="U12" s="1">
        <f t="shared" si="11"/>
        <v>14</v>
      </c>
      <c r="V12" s="6">
        <v>69.800000000000011</v>
      </c>
      <c r="W12" s="10" t="str">
        <f t="shared" si="12"/>
        <v>C+</v>
      </c>
      <c r="X12" s="1">
        <f t="shared" si="2"/>
        <v>2.5</v>
      </c>
      <c r="Y12" s="10">
        <v>2</v>
      </c>
      <c r="Z12" s="1">
        <f t="shared" si="13"/>
        <v>5</v>
      </c>
      <c r="AA12" s="18">
        <v>70.533333333333331</v>
      </c>
      <c r="AB12" s="10" t="str">
        <f t="shared" si="14"/>
        <v>B</v>
      </c>
      <c r="AC12" s="1">
        <f t="shared" si="3"/>
        <v>3</v>
      </c>
      <c r="AD12" s="10">
        <v>3</v>
      </c>
      <c r="AE12" s="1">
        <f t="shared" si="15"/>
        <v>9</v>
      </c>
      <c r="AF12" s="12">
        <v>68.174999999999997</v>
      </c>
      <c r="AG12" s="10" t="str">
        <f t="shared" si="16"/>
        <v>C+</v>
      </c>
      <c r="AH12" s="1">
        <f t="shared" si="4"/>
        <v>2.5</v>
      </c>
      <c r="AI12" s="10">
        <v>3</v>
      </c>
      <c r="AJ12" s="1">
        <f t="shared" si="17"/>
        <v>7.5</v>
      </c>
      <c r="AK12" s="10">
        <v>79.599999999999994</v>
      </c>
      <c r="AL12" s="10" t="str">
        <f t="shared" si="18"/>
        <v>B+</v>
      </c>
      <c r="AM12" s="1">
        <f t="shared" si="19"/>
        <v>3.5</v>
      </c>
      <c r="AN12" s="10">
        <v>4</v>
      </c>
      <c r="AO12" s="1">
        <f t="shared" si="20"/>
        <v>14</v>
      </c>
      <c r="AP12" s="16">
        <v>79.95</v>
      </c>
      <c r="AQ12" s="10" t="str">
        <f t="shared" si="21"/>
        <v>B+</v>
      </c>
      <c r="AR12" s="1">
        <f t="shared" si="22"/>
        <v>3.5</v>
      </c>
      <c r="AS12" s="10">
        <v>2</v>
      </c>
      <c r="AT12" s="1">
        <f t="shared" si="23"/>
        <v>7</v>
      </c>
      <c r="AU12" s="7">
        <v>79</v>
      </c>
      <c r="AV12" s="10" t="str">
        <f t="shared" si="24"/>
        <v>B+</v>
      </c>
      <c r="AW12" s="1">
        <f t="shared" si="25"/>
        <v>3.5</v>
      </c>
      <c r="AX12" s="10">
        <v>3</v>
      </c>
      <c r="AY12" s="1">
        <f t="shared" si="26"/>
        <v>10.5</v>
      </c>
      <c r="AZ12" s="6">
        <v>79.599999999999994</v>
      </c>
      <c r="BA12" s="10" t="str">
        <f t="shared" si="27"/>
        <v>B+</v>
      </c>
      <c r="BB12" s="1">
        <f t="shared" si="28"/>
        <v>3.5</v>
      </c>
      <c r="BC12" s="10">
        <v>2</v>
      </c>
      <c r="BD12" s="1">
        <f t="shared" si="29"/>
        <v>7</v>
      </c>
      <c r="BE12" s="18">
        <v>77.08</v>
      </c>
      <c r="BF12" s="10" t="str">
        <f t="shared" si="30"/>
        <v>B+</v>
      </c>
      <c r="BG12" s="1">
        <f t="shared" si="31"/>
        <v>3.5</v>
      </c>
      <c r="BH12" s="10">
        <v>2</v>
      </c>
      <c r="BI12" s="1">
        <f t="shared" si="32"/>
        <v>7</v>
      </c>
      <c r="BJ12" s="10">
        <v>77.599999999999994</v>
      </c>
      <c r="BK12" s="10" t="str">
        <f t="shared" si="33"/>
        <v>B+</v>
      </c>
      <c r="BL12" s="1">
        <f t="shared" si="34"/>
        <v>3.5</v>
      </c>
      <c r="BM12" s="10">
        <v>4</v>
      </c>
      <c r="BN12" s="1">
        <f t="shared" si="35"/>
        <v>14</v>
      </c>
      <c r="BO12" s="10">
        <v>80.3</v>
      </c>
      <c r="BP12" s="10" t="str">
        <f t="shared" si="36"/>
        <v>A</v>
      </c>
      <c r="BQ12" s="1">
        <f t="shared" si="37"/>
        <v>4</v>
      </c>
      <c r="BR12" s="10">
        <v>4</v>
      </c>
      <c r="BS12" s="1">
        <f t="shared" si="38"/>
        <v>16</v>
      </c>
      <c r="BT12" s="2">
        <v>70</v>
      </c>
      <c r="BU12" s="2">
        <v>22</v>
      </c>
      <c r="BV12" s="2">
        <v>63.5</v>
      </c>
      <c r="BW12" s="2">
        <v>19</v>
      </c>
      <c r="BX12" s="2">
        <v>72</v>
      </c>
      <c r="BY12" s="2">
        <v>21</v>
      </c>
      <c r="BZ12" s="2">
        <v>75</v>
      </c>
      <c r="CA12" s="2">
        <v>21</v>
      </c>
      <c r="CB12" s="2">
        <v>72.5</v>
      </c>
      <c r="CC12" s="2">
        <v>21</v>
      </c>
      <c r="CD12" s="2">
        <v>62</v>
      </c>
      <c r="CE12" s="2">
        <v>19</v>
      </c>
      <c r="CF12" s="2">
        <v>59.5</v>
      </c>
      <c r="CG12" s="2">
        <v>17</v>
      </c>
      <c r="CH12" s="2">
        <v>16</v>
      </c>
      <c r="CI12" s="2">
        <v>4</v>
      </c>
      <c r="CJ12" s="2">
        <f t="shared" si="39"/>
        <v>490.5</v>
      </c>
      <c r="CK12" s="2">
        <f t="shared" si="40"/>
        <v>144</v>
      </c>
      <c r="CL12" s="3">
        <f t="shared" si="41"/>
        <v>3.40625</v>
      </c>
      <c r="CM12" s="2" t="str">
        <f t="shared" si="42"/>
        <v>Sangat Memuaskan</v>
      </c>
      <c r="CN12" s="37" t="str">
        <f t="shared" si="43"/>
        <v>Highly Satisfactory</v>
      </c>
      <c r="CO12" s="23"/>
    </row>
    <row r="13" spans="1:93" x14ac:dyDescent="0.25">
      <c r="A13" s="2">
        <v>11</v>
      </c>
      <c r="B13" s="32" t="s">
        <v>29</v>
      </c>
      <c r="C13" s="25">
        <v>152111017</v>
      </c>
      <c r="D13" s="25" t="s">
        <v>144</v>
      </c>
      <c r="E13" s="27" t="s">
        <v>145</v>
      </c>
      <c r="F13" s="25"/>
      <c r="G13" s="19">
        <v>74</v>
      </c>
      <c r="H13" s="10" t="str">
        <f t="shared" si="5"/>
        <v>B</v>
      </c>
      <c r="I13" s="1">
        <f t="shared" si="0"/>
        <v>3</v>
      </c>
      <c r="J13" s="10">
        <v>3</v>
      </c>
      <c r="K13" s="1">
        <f t="shared" si="6"/>
        <v>9</v>
      </c>
      <c r="L13" s="16">
        <v>78.88000000000001</v>
      </c>
      <c r="M13" s="10" t="str">
        <f t="shared" si="7"/>
        <v>B+</v>
      </c>
      <c r="N13" s="1">
        <f t="shared" si="1"/>
        <v>3.5</v>
      </c>
      <c r="O13" s="10">
        <v>4</v>
      </c>
      <c r="P13" s="1">
        <f t="shared" si="8"/>
        <v>14</v>
      </c>
      <c r="Q13" s="7">
        <v>74.25</v>
      </c>
      <c r="R13" s="10" t="str">
        <f t="shared" si="9"/>
        <v>B</v>
      </c>
      <c r="S13" s="1">
        <f t="shared" si="10"/>
        <v>3</v>
      </c>
      <c r="T13" s="10">
        <v>4</v>
      </c>
      <c r="U13" s="1">
        <f t="shared" si="11"/>
        <v>12</v>
      </c>
      <c r="V13" s="6">
        <v>73.478571428571428</v>
      </c>
      <c r="W13" s="10" t="str">
        <f t="shared" si="12"/>
        <v>B</v>
      </c>
      <c r="X13" s="1">
        <f t="shared" si="2"/>
        <v>3</v>
      </c>
      <c r="Y13" s="10">
        <v>2</v>
      </c>
      <c r="Z13" s="1">
        <f t="shared" si="13"/>
        <v>6</v>
      </c>
      <c r="AA13" s="18">
        <v>77.000000000000014</v>
      </c>
      <c r="AB13" s="10" t="str">
        <f t="shared" si="14"/>
        <v>B+</v>
      </c>
      <c r="AC13" s="1">
        <f t="shared" si="3"/>
        <v>3.5</v>
      </c>
      <c r="AD13" s="10">
        <v>3</v>
      </c>
      <c r="AE13" s="1">
        <f t="shared" si="15"/>
        <v>10.5</v>
      </c>
      <c r="AF13" s="12">
        <v>80.375</v>
      </c>
      <c r="AG13" s="10" t="str">
        <f t="shared" si="16"/>
        <v>A</v>
      </c>
      <c r="AH13" s="1">
        <f t="shared" si="4"/>
        <v>4</v>
      </c>
      <c r="AI13" s="10">
        <v>3</v>
      </c>
      <c r="AJ13" s="1">
        <f t="shared" si="17"/>
        <v>12</v>
      </c>
      <c r="AK13" s="10">
        <v>78</v>
      </c>
      <c r="AL13" s="10" t="str">
        <f t="shared" si="18"/>
        <v>B+</v>
      </c>
      <c r="AM13" s="1">
        <f t="shared" si="19"/>
        <v>3.5</v>
      </c>
      <c r="AN13" s="10">
        <v>4</v>
      </c>
      <c r="AO13" s="1">
        <f t="shared" si="20"/>
        <v>14</v>
      </c>
      <c r="AP13" s="16">
        <v>77.75</v>
      </c>
      <c r="AQ13" s="10" t="str">
        <f t="shared" si="21"/>
        <v>B+</v>
      </c>
      <c r="AR13" s="1">
        <f t="shared" si="22"/>
        <v>3.5</v>
      </c>
      <c r="AS13" s="10">
        <v>2</v>
      </c>
      <c r="AT13" s="1">
        <f t="shared" si="23"/>
        <v>7</v>
      </c>
      <c r="AU13" s="7">
        <v>79</v>
      </c>
      <c r="AV13" s="10" t="str">
        <f t="shared" si="24"/>
        <v>B+</v>
      </c>
      <c r="AW13" s="1">
        <f t="shared" si="25"/>
        <v>3.5</v>
      </c>
      <c r="AX13" s="10">
        <v>3</v>
      </c>
      <c r="AY13" s="1">
        <f t="shared" si="26"/>
        <v>10.5</v>
      </c>
      <c r="AZ13" s="6">
        <v>78</v>
      </c>
      <c r="BA13" s="10" t="str">
        <f t="shared" si="27"/>
        <v>B+</v>
      </c>
      <c r="BB13" s="1">
        <f t="shared" si="28"/>
        <v>3.5</v>
      </c>
      <c r="BC13" s="10">
        <v>2</v>
      </c>
      <c r="BD13" s="1">
        <f t="shared" si="29"/>
        <v>7</v>
      </c>
      <c r="BE13" s="18">
        <v>73.48</v>
      </c>
      <c r="BF13" s="10" t="str">
        <f t="shared" si="30"/>
        <v>B</v>
      </c>
      <c r="BG13" s="1">
        <f t="shared" si="31"/>
        <v>3</v>
      </c>
      <c r="BH13" s="10">
        <v>2</v>
      </c>
      <c r="BI13" s="1">
        <f t="shared" si="32"/>
        <v>6</v>
      </c>
      <c r="BJ13" s="10">
        <v>77.599999999999994</v>
      </c>
      <c r="BK13" s="10" t="str">
        <f t="shared" si="33"/>
        <v>B+</v>
      </c>
      <c r="BL13" s="1">
        <f t="shared" si="34"/>
        <v>3.5</v>
      </c>
      <c r="BM13" s="10">
        <v>4</v>
      </c>
      <c r="BN13" s="1">
        <f t="shared" si="35"/>
        <v>14</v>
      </c>
      <c r="BO13" s="10">
        <v>80</v>
      </c>
      <c r="BP13" s="10" t="str">
        <f t="shared" si="36"/>
        <v>A</v>
      </c>
      <c r="BQ13" s="1">
        <f t="shared" si="37"/>
        <v>4</v>
      </c>
      <c r="BR13" s="10">
        <v>4</v>
      </c>
      <c r="BS13" s="1">
        <f t="shared" si="38"/>
        <v>16</v>
      </c>
      <c r="BT13" s="2">
        <v>69</v>
      </c>
      <c r="BU13" s="2">
        <v>22</v>
      </c>
      <c r="BV13" s="2">
        <v>56.5</v>
      </c>
      <c r="BW13" s="2">
        <v>19</v>
      </c>
      <c r="BX13" s="2">
        <v>73.5</v>
      </c>
      <c r="BY13" s="2">
        <v>21</v>
      </c>
      <c r="BZ13" s="2">
        <v>76</v>
      </c>
      <c r="CA13" s="2">
        <v>21</v>
      </c>
      <c r="CB13" s="2">
        <v>71</v>
      </c>
      <c r="CC13" s="2">
        <v>21</v>
      </c>
      <c r="CD13" s="2">
        <v>63.5</v>
      </c>
      <c r="CE13" s="2">
        <v>19</v>
      </c>
      <c r="CF13" s="2">
        <v>58.5</v>
      </c>
      <c r="CG13" s="2">
        <v>17</v>
      </c>
      <c r="CH13" s="2">
        <v>16</v>
      </c>
      <c r="CI13" s="2">
        <v>4</v>
      </c>
      <c r="CJ13" s="2">
        <f t="shared" si="39"/>
        <v>484</v>
      </c>
      <c r="CK13" s="2">
        <f t="shared" si="40"/>
        <v>144</v>
      </c>
      <c r="CL13" s="3">
        <f t="shared" si="41"/>
        <v>3.3611111111111112</v>
      </c>
      <c r="CM13" s="2" t="str">
        <f t="shared" si="42"/>
        <v>Sangat Memuaskan</v>
      </c>
      <c r="CN13" s="37" t="str">
        <f t="shared" si="43"/>
        <v>Highly Satisfactory</v>
      </c>
      <c r="CO13" s="23"/>
    </row>
    <row r="14" spans="1:93" x14ac:dyDescent="0.25">
      <c r="A14" s="2">
        <v>12</v>
      </c>
      <c r="B14" s="32" t="s">
        <v>30</v>
      </c>
      <c r="C14" s="25">
        <v>152111018</v>
      </c>
      <c r="D14" s="25" t="s">
        <v>146</v>
      </c>
      <c r="E14" s="27" t="s">
        <v>147</v>
      </c>
      <c r="F14" s="25"/>
      <c r="G14" s="19">
        <v>76.599999999999994</v>
      </c>
      <c r="H14" s="10" t="str">
        <f t="shared" si="5"/>
        <v>B+</v>
      </c>
      <c r="I14" s="1">
        <f t="shared" si="0"/>
        <v>3.5</v>
      </c>
      <c r="J14" s="10">
        <v>3</v>
      </c>
      <c r="K14" s="1">
        <f t="shared" si="6"/>
        <v>10.5</v>
      </c>
      <c r="L14" s="16">
        <v>76.800000000000011</v>
      </c>
      <c r="M14" s="10" t="str">
        <f t="shared" si="7"/>
        <v>B+</v>
      </c>
      <c r="N14" s="1">
        <f t="shared" si="1"/>
        <v>3.5</v>
      </c>
      <c r="O14" s="10">
        <v>4</v>
      </c>
      <c r="P14" s="1">
        <f t="shared" si="8"/>
        <v>14</v>
      </c>
      <c r="Q14" s="7">
        <v>74.25</v>
      </c>
      <c r="R14" s="10" t="str">
        <f t="shared" si="9"/>
        <v>B</v>
      </c>
      <c r="S14" s="1">
        <f t="shared" si="10"/>
        <v>3</v>
      </c>
      <c r="T14" s="10">
        <v>4</v>
      </c>
      <c r="U14" s="1">
        <f t="shared" si="11"/>
        <v>12</v>
      </c>
      <c r="V14" s="6">
        <v>72.800000000000011</v>
      </c>
      <c r="W14" s="10" t="str">
        <f t="shared" si="12"/>
        <v>B</v>
      </c>
      <c r="X14" s="1">
        <f t="shared" si="2"/>
        <v>3</v>
      </c>
      <c r="Y14" s="10">
        <v>2</v>
      </c>
      <c r="Z14" s="1">
        <f t="shared" si="13"/>
        <v>6</v>
      </c>
      <c r="AA14" s="18">
        <v>74.866666666666674</v>
      </c>
      <c r="AB14" s="10" t="str">
        <f t="shared" si="14"/>
        <v>B</v>
      </c>
      <c r="AC14" s="1">
        <f t="shared" si="3"/>
        <v>3</v>
      </c>
      <c r="AD14" s="10">
        <v>3</v>
      </c>
      <c r="AE14" s="1">
        <f t="shared" si="15"/>
        <v>9</v>
      </c>
      <c r="AF14" s="12">
        <v>80.825000000000003</v>
      </c>
      <c r="AG14" s="10" t="str">
        <f t="shared" si="16"/>
        <v>A</v>
      </c>
      <c r="AH14" s="1">
        <f t="shared" si="4"/>
        <v>4</v>
      </c>
      <c r="AI14" s="10">
        <v>3</v>
      </c>
      <c r="AJ14" s="1">
        <f t="shared" si="17"/>
        <v>12</v>
      </c>
      <c r="AK14" s="10">
        <v>78.599999999999994</v>
      </c>
      <c r="AL14" s="10" t="str">
        <f t="shared" si="18"/>
        <v>B+</v>
      </c>
      <c r="AM14" s="1">
        <f t="shared" si="19"/>
        <v>3.5</v>
      </c>
      <c r="AN14" s="10">
        <v>4</v>
      </c>
      <c r="AO14" s="1">
        <f t="shared" si="20"/>
        <v>14</v>
      </c>
      <c r="AP14" s="16">
        <v>80.349999999999994</v>
      </c>
      <c r="AQ14" s="10" t="str">
        <f t="shared" si="21"/>
        <v>A</v>
      </c>
      <c r="AR14" s="1">
        <f t="shared" si="22"/>
        <v>4</v>
      </c>
      <c r="AS14" s="10">
        <v>2</v>
      </c>
      <c r="AT14" s="1">
        <f t="shared" si="23"/>
        <v>8</v>
      </c>
      <c r="AU14" s="7">
        <v>78</v>
      </c>
      <c r="AV14" s="10" t="str">
        <f t="shared" si="24"/>
        <v>B+</v>
      </c>
      <c r="AW14" s="1">
        <f t="shared" si="25"/>
        <v>3.5</v>
      </c>
      <c r="AX14" s="10">
        <v>3</v>
      </c>
      <c r="AY14" s="1">
        <f t="shared" si="26"/>
        <v>10.5</v>
      </c>
      <c r="AZ14" s="6">
        <v>78.599999999999994</v>
      </c>
      <c r="BA14" s="10" t="str">
        <f t="shared" si="27"/>
        <v>B+</v>
      </c>
      <c r="BB14" s="1">
        <f t="shared" si="28"/>
        <v>3.5</v>
      </c>
      <c r="BC14" s="10">
        <v>2</v>
      </c>
      <c r="BD14" s="1">
        <f t="shared" si="29"/>
        <v>7</v>
      </c>
      <c r="BE14" s="18">
        <v>74.680000000000007</v>
      </c>
      <c r="BF14" s="10" t="str">
        <f t="shared" si="30"/>
        <v>B</v>
      </c>
      <c r="BG14" s="1">
        <f t="shared" si="31"/>
        <v>3</v>
      </c>
      <c r="BH14" s="10">
        <v>2</v>
      </c>
      <c r="BI14" s="1">
        <f t="shared" si="32"/>
        <v>6</v>
      </c>
      <c r="BJ14" s="10">
        <v>77.8</v>
      </c>
      <c r="BK14" s="10" t="str">
        <f t="shared" si="33"/>
        <v>B+</v>
      </c>
      <c r="BL14" s="1">
        <f t="shared" si="34"/>
        <v>3.5</v>
      </c>
      <c r="BM14" s="10">
        <v>4</v>
      </c>
      <c r="BN14" s="1">
        <f t="shared" si="35"/>
        <v>14</v>
      </c>
      <c r="BO14" s="10">
        <v>79</v>
      </c>
      <c r="BP14" s="10" t="str">
        <f t="shared" si="36"/>
        <v>B+</v>
      </c>
      <c r="BQ14" s="1">
        <f t="shared" si="37"/>
        <v>3.5</v>
      </c>
      <c r="BR14" s="10">
        <v>4</v>
      </c>
      <c r="BS14" s="1">
        <f t="shared" si="38"/>
        <v>14</v>
      </c>
      <c r="BT14" s="2">
        <v>69.5</v>
      </c>
      <c r="BU14" s="2">
        <v>22</v>
      </c>
      <c r="BV14" s="2">
        <v>63.5</v>
      </c>
      <c r="BW14" s="2">
        <v>19</v>
      </c>
      <c r="BX14" s="2">
        <v>71.5</v>
      </c>
      <c r="BY14" s="2">
        <v>21</v>
      </c>
      <c r="BZ14" s="2">
        <v>71.5</v>
      </c>
      <c r="CA14" s="2">
        <v>21</v>
      </c>
      <c r="CB14" s="2">
        <v>72</v>
      </c>
      <c r="CC14" s="2">
        <v>21</v>
      </c>
      <c r="CD14" s="2">
        <v>63.5</v>
      </c>
      <c r="CE14" s="2">
        <v>19</v>
      </c>
      <c r="CF14" s="2">
        <v>59.5</v>
      </c>
      <c r="CG14" s="2">
        <v>17</v>
      </c>
      <c r="CH14" s="2">
        <v>14</v>
      </c>
      <c r="CI14" s="2">
        <v>4</v>
      </c>
      <c r="CJ14" s="2">
        <f t="shared" si="39"/>
        <v>485</v>
      </c>
      <c r="CK14" s="2">
        <f t="shared" si="40"/>
        <v>144</v>
      </c>
      <c r="CL14" s="3">
        <f t="shared" si="41"/>
        <v>3.3680555555555554</v>
      </c>
      <c r="CM14" s="2" t="str">
        <f t="shared" si="42"/>
        <v>Sangat Memuaskan</v>
      </c>
      <c r="CN14" s="37" t="str">
        <f t="shared" si="43"/>
        <v>Highly Satisfactory</v>
      </c>
      <c r="CO14" s="23"/>
    </row>
    <row r="15" spans="1:93" x14ac:dyDescent="0.25">
      <c r="A15" s="2">
        <v>13</v>
      </c>
      <c r="B15" s="22" t="s">
        <v>31</v>
      </c>
      <c r="C15" s="25">
        <v>152111019</v>
      </c>
      <c r="D15" s="25"/>
      <c r="E15" s="27"/>
      <c r="F15" s="25"/>
      <c r="G15" s="19">
        <v>78.2</v>
      </c>
      <c r="H15" s="10" t="str">
        <f t="shared" si="5"/>
        <v>B+</v>
      </c>
      <c r="I15" s="1">
        <f t="shared" si="0"/>
        <v>3.5</v>
      </c>
      <c r="J15" s="10">
        <v>3</v>
      </c>
      <c r="K15" s="1">
        <f t="shared" si="6"/>
        <v>10.5</v>
      </c>
      <c r="L15" s="16">
        <v>73.14</v>
      </c>
      <c r="M15" s="10" t="str">
        <f t="shared" si="7"/>
        <v>B</v>
      </c>
      <c r="N15" s="1">
        <f t="shared" si="1"/>
        <v>3</v>
      </c>
      <c r="O15" s="10">
        <v>4</v>
      </c>
      <c r="P15" s="1">
        <f t="shared" si="8"/>
        <v>12</v>
      </c>
      <c r="Q15" s="7">
        <v>74.25</v>
      </c>
      <c r="R15" s="10" t="str">
        <f t="shared" si="9"/>
        <v>B</v>
      </c>
      <c r="S15" s="1">
        <f t="shared" si="10"/>
        <v>3</v>
      </c>
      <c r="T15" s="10">
        <v>4</v>
      </c>
      <c r="U15" s="1">
        <f t="shared" si="11"/>
        <v>12</v>
      </c>
      <c r="V15" s="6">
        <v>70.599999999999994</v>
      </c>
      <c r="W15" s="10" t="str">
        <f t="shared" si="12"/>
        <v>B</v>
      </c>
      <c r="X15" s="1">
        <f t="shared" si="2"/>
        <v>3</v>
      </c>
      <c r="Y15" s="10">
        <v>2</v>
      </c>
      <c r="Z15" s="1">
        <f t="shared" si="13"/>
        <v>6</v>
      </c>
      <c r="AA15" s="18">
        <v>74.733333333333334</v>
      </c>
      <c r="AB15" s="10" t="str">
        <f t="shared" si="14"/>
        <v>B</v>
      </c>
      <c r="AC15" s="1">
        <f t="shared" si="3"/>
        <v>3</v>
      </c>
      <c r="AD15" s="10">
        <v>3</v>
      </c>
      <c r="AE15" s="1">
        <f t="shared" si="15"/>
        <v>9</v>
      </c>
      <c r="AF15" s="12">
        <v>77.775000000000006</v>
      </c>
      <c r="AG15" s="10" t="str">
        <f t="shared" si="16"/>
        <v>B+</v>
      </c>
      <c r="AH15" s="1">
        <f t="shared" si="4"/>
        <v>3.5</v>
      </c>
      <c r="AI15" s="10">
        <v>3</v>
      </c>
      <c r="AJ15" s="1">
        <f t="shared" si="17"/>
        <v>10.5</v>
      </c>
      <c r="AK15" s="10">
        <v>80.599999999999994</v>
      </c>
      <c r="AL15" s="10" t="str">
        <f t="shared" si="18"/>
        <v>A</v>
      </c>
      <c r="AM15" s="1">
        <f t="shared" si="19"/>
        <v>4</v>
      </c>
      <c r="AN15" s="10">
        <v>4</v>
      </c>
      <c r="AO15" s="1">
        <f t="shared" si="20"/>
        <v>16</v>
      </c>
      <c r="AP15" s="16">
        <v>76.55</v>
      </c>
      <c r="AQ15" s="10" t="str">
        <f t="shared" si="21"/>
        <v>B+</v>
      </c>
      <c r="AR15" s="1">
        <f t="shared" si="22"/>
        <v>3.5</v>
      </c>
      <c r="AS15" s="10">
        <v>2</v>
      </c>
      <c r="AT15" s="1">
        <f t="shared" si="23"/>
        <v>7</v>
      </c>
      <c r="AU15" s="7">
        <v>79.849999999999994</v>
      </c>
      <c r="AV15" s="10" t="str">
        <f t="shared" si="24"/>
        <v>B+</v>
      </c>
      <c r="AW15" s="1">
        <f t="shared" si="25"/>
        <v>3.5</v>
      </c>
      <c r="AX15" s="10">
        <v>3</v>
      </c>
      <c r="AY15" s="1">
        <f t="shared" si="26"/>
        <v>10.5</v>
      </c>
      <c r="AZ15" s="6">
        <v>80.599999999999994</v>
      </c>
      <c r="BA15" s="10" t="str">
        <f t="shared" si="27"/>
        <v>A</v>
      </c>
      <c r="BB15" s="1">
        <f t="shared" si="28"/>
        <v>4</v>
      </c>
      <c r="BC15" s="10">
        <v>2</v>
      </c>
      <c r="BD15" s="1">
        <f t="shared" si="29"/>
        <v>8</v>
      </c>
      <c r="BE15" s="18">
        <v>75.05</v>
      </c>
      <c r="BF15" s="10" t="str">
        <f t="shared" si="30"/>
        <v>B+</v>
      </c>
      <c r="BG15" s="1">
        <f t="shared" si="31"/>
        <v>3.5</v>
      </c>
      <c r="BH15" s="10">
        <v>2</v>
      </c>
      <c r="BI15" s="1">
        <f t="shared" si="32"/>
        <v>7</v>
      </c>
      <c r="BJ15" s="10">
        <v>76.599999999999994</v>
      </c>
      <c r="BK15" s="10" t="str">
        <f t="shared" si="33"/>
        <v>B+</v>
      </c>
      <c r="BL15" s="1">
        <f t="shared" si="34"/>
        <v>3.5</v>
      </c>
      <c r="BM15" s="10">
        <v>4</v>
      </c>
      <c r="BN15" s="1">
        <f t="shared" si="35"/>
        <v>14</v>
      </c>
      <c r="BO15" s="10">
        <v>80.2</v>
      </c>
      <c r="BP15" s="10" t="str">
        <f t="shared" si="36"/>
        <v>A</v>
      </c>
      <c r="BQ15" s="1">
        <f t="shared" si="37"/>
        <v>4</v>
      </c>
      <c r="BR15" s="10">
        <v>4</v>
      </c>
      <c r="BS15" s="1">
        <f t="shared" si="38"/>
        <v>16</v>
      </c>
      <c r="BT15" s="2">
        <v>75</v>
      </c>
      <c r="BU15" s="2">
        <v>22</v>
      </c>
      <c r="BV15" s="2">
        <v>65.5</v>
      </c>
      <c r="BW15" s="2">
        <v>19</v>
      </c>
      <c r="BX15" s="2">
        <v>76.5</v>
      </c>
      <c r="BY15" s="2">
        <v>21</v>
      </c>
      <c r="BZ15" s="2">
        <v>78.5</v>
      </c>
      <c r="CA15" s="2">
        <v>21</v>
      </c>
      <c r="CB15" s="2">
        <v>76.5</v>
      </c>
      <c r="CC15" s="2">
        <v>21</v>
      </c>
      <c r="CD15" s="2">
        <v>60</v>
      </c>
      <c r="CE15" s="2">
        <v>19</v>
      </c>
      <c r="CF15" s="2">
        <v>62.5</v>
      </c>
      <c r="CG15" s="2">
        <v>17</v>
      </c>
      <c r="CH15" s="2">
        <v>16</v>
      </c>
      <c r="CI15" s="2">
        <v>4</v>
      </c>
      <c r="CJ15" s="2">
        <f t="shared" si="39"/>
        <v>510.5</v>
      </c>
      <c r="CK15" s="2">
        <f t="shared" si="40"/>
        <v>144</v>
      </c>
      <c r="CL15" s="3">
        <f t="shared" si="41"/>
        <v>3.5451388888888888</v>
      </c>
      <c r="CM15" s="2" t="str">
        <f t="shared" si="42"/>
        <v>Cum Laude</v>
      </c>
      <c r="CN15" s="37" t="str">
        <f t="shared" si="43"/>
        <v>Excellent</v>
      </c>
      <c r="CO15" s="23"/>
    </row>
    <row r="16" spans="1:93" x14ac:dyDescent="0.25">
      <c r="A16" s="2">
        <v>14</v>
      </c>
      <c r="B16" s="22" t="s">
        <v>32</v>
      </c>
      <c r="C16" s="25">
        <v>152111020</v>
      </c>
      <c r="D16" s="23" t="s">
        <v>166</v>
      </c>
      <c r="E16" s="27" t="s">
        <v>167</v>
      </c>
      <c r="F16" s="25"/>
      <c r="G16" s="19">
        <v>74.2</v>
      </c>
      <c r="H16" s="10" t="str">
        <f t="shared" si="5"/>
        <v>B</v>
      </c>
      <c r="I16" s="1">
        <f t="shared" si="0"/>
        <v>3</v>
      </c>
      <c r="J16" s="10">
        <v>3</v>
      </c>
      <c r="K16" s="1">
        <f t="shared" si="6"/>
        <v>9</v>
      </c>
      <c r="L16" s="16">
        <v>78.66</v>
      </c>
      <c r="M16" s="10" t="str">
        <f t="shared" si="7"/>
        <v>B+</v>
      </c>
      <c r="N16" s="1">
        <f t="shared" si="1"/>
        <v>3.5</v>
      </c>
      <c r="O16" s="10">
        <v>4</v>
      </c>
      <c r="P16" s="1">
        <f t="shared" si="8"/>
        <v>14</v>
      </c>
      <c r="Q16" s="7">
        <v>74.25</v>
      </c>
      <c r="R16" s="10" t="str">
        <f t="shared" si="9"/>
        <v>B</v>
      </c>
      <c r="S16" s="1">
        <f t="shared" si="10"/>
        <v>3</v>
      </c>
      <c r="T16" s="10">
        <v>4</v>
      </c>
      <c r="U16" s="1">
        <f t="shared" si="11"/>
        <v>12</v>
      </c>
      <c r="V16" s="6">
        <v>77.275000000000006</v>
      </c>
      <c r="W16" s="10" t="str">
        <f t="shared" si="12"/>
        <v>B+</v>
      </c>
      <c r="X16" s="1">
        <f t="shared" si="2"/>
        <v>3.5</v>
      </c>
      <c r="Y16" s="10">
        <v>2</v>
      </c>
      <c r="Z16" s="1">
        <f t="shared" si="13"/>
        <v>7</v>
      </c>
      <c r="AA16" s="18">
        <v>73.45</v>
      </c>
      <c r="AB16" s="10" t="str">
        <f t="shared" si="14"/>
        <v>B</v>
      </c>
      <c r="AC16" s="1">
        <f t="shared" si="3"/>
        <v>3</v>
      </c>
      <c r="AD16" s="10">
        <v>3</v>
      </c>
      <c r="AE16" s="1">
        <f t="shared" si="15"/>
        <v>9</v>
      </c>
      <c r="AF16" s="12">
        <v>71.174999999999997</v>
      </c>
      <c r="AG16" s="10" t="str">
        <f t="shared" si="16"/>
        <v>B</v>
      </c>
      <c r="AH16" s="1">
        <f t="shared" si="4"/>
        <v>3</v>
      </c>
      <c r="AI16" s="10">
        <v>3</v>
      </c>
      <c r="AJ16" s="1">
        <f t="shared" si="17"/>
        <v>9</v>
      </c>
      <c r="AK16" s="10">
        <v>78.8</v>
      </c>
      <c r="AL16" s="10" t="str">
        <f t="shared" si="18"/>
        <v>B+</v>
      </c>
      <c r="AM16" s="1">
        <f t="shared" si="19"/>
        <v>3.5</v>
      </c>
      <c r="AN16" s="10">
        <v>4</v>
      </c>
      <c r="AO16" s="1">
        <f t="shared" si="20"/>
        <v>14</v>
      </c>
      <c r="AP16" s="16">
        <v>77.150000000000006</v>
      </c>
      <c r="AQ16" s="10" t="str">
        <f t="shared" si="21"/>
        <v>B+</v>
      </c>
      <c r="AR16" s="1">
        <f t="shared" si="22"/>
        <v>3.5</v>
      </c>
      <c r="AS16" s="10">
        <v>2</v>
      </c>
      <c r="AT16" s="1">
        <f t="shared" si="23"/>
        <v>7</v>
      </c>
      <c r="AU16" s="7">
        <v>78</v>
      </c>
      <c r="AV16" s="10" t="str">
        <f t="shared" si="24"/>
        <v>B+</v>
      </c>
      <c r="AW16" s="1">
        <f t="shared" si="25"/>
        <v>3.5</v>
      </c>
      <c r="AX16" s="10">
        <v>3</v>
      </c>
      <c r="AY16" s="1">
        <f t="shared" si="26"/>
        <v>10.5</v>
      </c>
      <c r="AZ16" s="6">
        <v>78.8</v>
      </c>
      <c r="BA16" s="10" t="str">
        <f t="shared" si="27"/>
        <v>B+</v>
      </c>
      <c r="BB16" s="1">
        <f t="shared" si="28"/>
        <v>3.5</v>
      </c>
      <c r="BC16" s="10">
        <v>2</v>
      </c>
      <c r="BD16" s="1">
        <f t="shared" si="29"/>
        <v>7</v>
      </c>
      <c r="BE16" s="18">
        <v>78.2</v>
      </c>
      <c r="BF16" s="10" t="str">
        <f t="shared" si="30"/>
        <v>B+</v>
      </c>
      <c r="BG16" s="1">
        <f t="shared" si="31"/>
        <v>3.5</v>
      </c>
      <c r="BH16" s="10">
        <v>2</v>
      </c>
      <c r="BI16" s="1">
        <f t="shared" si="32"/>
        <v>7</v>
      </c>
      <c r="BJ16" s="10">
        <v>78</v>
      </c>
      <c r="BK16" s="10" t="str">
        <f t="shared" si="33"/>
        <v>B+</v>
      </c>
      <c r="BL16" s="1">
        <f t="shared" si="34"/>
        <v>3.5</v>
      </c>
      <c r="BM16" s="10">
        <v>4</v>
      </c>
      <c r="BN16" s="1">
        <f t="shared" si="35"/>
        <v>14</v>
      </c>
      <c r="BO16" s="10">
        <v>80.5</v>
      </c>
      <c r="BP16" s="10" t="str">
        <f t="shared" si="36"/>
        <v>A</v>
      </c>
      <c r="BQ16" s="1">
        <f t="shared" si="37"/>
        <v>4</v>
      </c>
      <c r="BR16" s="10">
        <v>4</v>
      </c>
      <c r="BS16" s="1">
        <f t="shared" si="38"/>
        <v>16</v>
      </c>
      <c r="BT16" s="2">
        <v>75</v>
      </c>
      <c r="BU16" s="2">
        <v>22</v>
      </c>
      <c r="BV16" s="2">
        <v>62</v>
      </c>
      <c r="BW16" s="2">
        <v>19</v>
      </c>
      <c r="BX16" s="2">
        <v>76.5</v>
      </c>
      <c r="BY16" s="2">
        <v>21</v>
      </c>
      <c r="BZ16" s="2">
        <v>76.5</v>
      </c>
      <c r="CA16" s="2">
        <v>21</v>
      </c>
      <c r="CB16" s="2">
        <v>69.5</v>
      </c>
      <c r="CC16" s="2">
        <v>21</v>
      </c>
      <c r="CD16" s="2">
        <v>60</v>
      </c>
      <c r="CE16" s="2">
        <v>19</v>
      </c>
      <c r="CF16" s="2">
        <v>59.5</v>
      </c>
      <c r="CG16" s="2">
        <v>17</v>
      </c>
      <c r="CH16" s="2">
        <v>16</v>
      </c>
      <c r="CI16" s="2">
        <v>4</v>
      </c>
      <c r="CJ16" s="2">
        <f t="shared" si="39"/>
        <v>495</v>
      </c>
      <c r="CK16" s="2">
        <f t="shared" si="40"/>
        <v>144</v>
      </c>
      <c r="CL16" s="3">
        <f t="shared" si="41"/>
        <v>3.4375</v>
      </c>
      <c r="CM16" s="2" t="str">
        <f t="shared" si="42"/>
        <v>Sangat Memuaskan</v>
      </c>
      <c r="CN16" s="37" t="str">
        <f t="shared" si="43"/>
        <v>Highly Satisfactory</v>
      </c>
      <c r="CO16" s="23"/>
    </row>
    <row r="17" spans="1:93" x14ac:dyDescent="0.25">
      <c r="A17" s="2">
        <v>15</v>
      </c>
      <c r="B17" s="22" t="s">
        <v>33</v>
      </c>
      <c r="C17" s="25">
        <v>152111021</v>
      </c>
      <c r="D17" s="25" t="s">
        <v>134</v>
      </c>
      <c r="E17" s="27" t="s">
        <v>176</v>
      </c>
      <c r="F17" s="25"/>
      <c r="G17" s="19">
        <v>77.599999999999994</v>
      </c>
      <c r="H17" s="10" t="str">
        <f t="shared" si="5"/>
        <v>B+</v>
      </c>
      <c r="I17" s="1">
        <f t="shared" si="0"/>
        <v>3.5</v>
      </c>
      <c r="J17" s="10">
        <v>3</v>
      </c>
      <c r="K17" s="1">
        <f t="shared" si="6"/>
        <v>10.5</v>
      </c>
      <c r="L17" s="16">
        <v>76.7</v>
      </c>
      <c r="M17" s="10" t="str">
        <f t="shared" si="7"/>
        <v>B+</v>
      </c>
      <c r="N17" s="1">
        <f t="shared" si="1"/>
        <v>3.5</v>
      </c>
      <c r="O17" s="10">
        <v>4</v>
      </c>
      <c r="P17" s="1">
        <f t="shared" si="8"/>
        <v>14</v>
      </c>
      <c r="Q17" s="7">
        <v>74.25</v>
      </c>
      <c r="R17" s="10" t="str">
        <f t="shared" si="9"/>
        <v>B</v>
      </c>
      <c r="S17" s="1">
        <f t="shared" si="10"/>
        <v>3</v>
      </c>
      <c r="T17" s="10">
        <v>4</v>
      </c>
      <c r="U17" s="1">
        <f t="shared" si="11"/>
        <v>12</v>
      </c>
      <c r="V17" s="6">
        <v>75.75</v>
      </c>
      <c r="W17" s="10" t="str">
        <f t="shared" si="12"/>
        <v>B+</v>
      </c>
      <c r="X17" s="1">
        <f t="shared" si="2"/>
        <v>3.5</v>
      </c>
      <c r="Y17" s="10">
        <v>2</v>
      </c>
      <c r="Z17" s="1">
        <f t="shared" si="13"/>
        <v>7</v>
      </c>
      <c r="AA17" s="18">
        <v>75.783333333333331</v>
      </c>
      <c r="AB17" s="10" t="str">
        <f t="shared" si="14"/>
        <v>B+</v>
      </c>
      <c r="AC17" s="1">
        <f t="shared" si="3"/>
        <v>3.5</v>
      </c>
      <c r="AD17" s="10">
        <v>3</v>
      </c>
      <c r="AE17" s="1">
        <f t="shared" si="15"/>
        <v>10.5</v>
      </c>
      <c r="AF17" s="12">
        <v>78.775000000000006</v>
      </c>
      <c r="AG17" s="10" t="str">
        <f t="shared" si="16"/>
        <v>B+</v>
      </c>
      <c r="AH17" s="1">
        <f t="shared" si="4"/>
        <v>3.5</v>
      </c>
      <c r="AI17" s="10">
        <v>3</v>
      </c>
      <c r="AJ17" s="1">
        <f t="shared" si="17"/>
        <v>10.5</v>
      </c>
      <c r="AK17" s="10">
        <v>81.8</v>
      </c>
      <c r="AL17" s="10" t="str">
        <f t="shared" si="18"/>
        <v>A</v>
      </c>
      <c r="AM17" s="1">
        <f t="shared" si="19"/>
        <v>4</v>
      </c>
      <c r="AN17" s="10">
        <v>4</v>
      </c>
      <c r="AO17" s="1">
        <f t="shared" si="20"/>
        <v>16</v>
      </c>
      <c r="AP17" s="16">
        <v>81.150000000000006</v>
      </c>
      <c r="AQ17" s="10" t="str">
        <f t="shared" si="21"/>
        <v>A</v>
      </c>
      <c r="AR17" s="1">
        <f t="shared" si="22"/>
        <v>4</v>
      </c>
      <c r="AS17" s="10">
        <v>2</v>
      </c>
      <c r="AT17" s="1">
        <f t="shared" si="23"/>
        <v>8</v>
      </c>
      <c r="AU17" s="7">
        <v>76.45</v>
      </c>
      <c r="AV17" s="10" t="str">
        <f t="shared" si="24"/>
        <v>B+</v>
      </c>
      <c r="AW17" s="1">
        <f t="shared" si="25"/>
        <v>3.5</v>
      </c>
      <c r="AX17" s="10">
        <v>3</v>
      </c>
      <c r="AY17" s="1">
        <f t="shared" si="26"/>
        <v>10.5</v>
      </c>
      <c r="AZ17" s="6">
        <v>81.8</v>
      </c>
      <c r="BA17" s="10" t="str">
        <f t="shared" si="27"/>
        <v>A</v>
      </c>
      <c r="BB17" s="1">
        <f t="shared" si="28"/>
        <v>4</v>
      </c>
      <c r="BC17" s="10">
        <v>2</v>
      </c>
      <c r="BD17" s="1">
        <f t="shared" si="29"/>
        <v>8</v>
      </c>
      <c r="BE17" s="18">
        <v>72.33</v>
      </c>
      <c r="BF17" s="10" t="str">
        <f t="shared" si="30"/>
        <v>B</v>
      </c>
      <c r="BG17" s="1">
        <f t="shared" si="31"/>
        <v>3</v>
      </c>
      <c r="BH17" s="10">
        <v>2</v>
      </c>
      <c r="BI17" s="1">
        <f t="shared" si="32"/>
        <v>6</v>
      </c>
      <c r="BJ17" s="10">
        <v>75</v>
      </c>
      <c r="BK17" s="10" t="str">
        <f t="shared" si="33"/>
        <v>B+</v>
      </c>
      <c r="BL17" s="1">
        <f t="shared" si="34"/>
        <v>3.5</v>
      </c>
      <c r="BM17" s="10">
        <v>4</v>
      </c>
      <c r="BN17" s="1">
        <f t="shared" si="35"/>
        <v>14</v>
      </c>
      <c r="BO17" s="10">
        <v>80.3</v>
      </c>
      <c r="BP17" s="10" t="str">
        <f t="shared" si="36"/>
        <v>A</v>
      </c>
      <c r="BQ17" s="1">
        <f t="shared" si="37"/>
        <v>4</v>
      </c>
      <c r="BR17" s="10">
        <v>4</v>
      </c>
      <c r="BS17" s="1">
        <f t="shared" si="38"/>
        <v>16</v>
      </c>
      <c r="BT17" s="2">
        <v>65</v>
      </c>
      <c r="BU17" s="2">
        <v>22</v>
      </c>
      <c r="BV17" s="2">
        <v>60</v>
      </c>
      <c r="BW17" s="2">
        <v>19</v>
      </c>
      <c r="BX17" s="2">
        <v>76.5</v>
      </c>
      <c r="BY17" s="2">
        <v>21</v>
      </c>
      <c r="BZ17" s="2">
        <v>74.5</v>
      </c>
      <c r="CA17" s="2">
        <v>21</v>
      </c>
      <c r="CB17" s="2">
        <v>73.5</v>
      </c>
      <c r="CC17" s="2">
        <v>21</v>
      </c>
      <c r="CD17" s="2">
        <v>64.5</v>
      </c>
      <c r="CE17" s="2">
        <v>19</v>
      </c>
      <c r="CF17" s="2">
        <v>62.5</v>
      </c>
      <c r="CG17" s="2">
        <v>17</v>
      </c>
      <c r="CH17" s="2">
        <v>16</v>
      </c>
      <c r="CI17" s="2">
        <v>4</v>
      </c>
      <c r="CJ17" s="2">
        <f t="shared" si="39"/>
        <v>492.5</v>
      </c>
      <c r="CK17" s="2">
        <f t="shared" si="40"/>
        <v>144</v>
      </c>
      <c r="CL17" s="3">
        <f t="shared" si="41"/>
        <v>3.4201388888888888</v>
      </c>
      <c r="CM17" s="2" t="str">
        <f t="shared" si="42"/>
        <v>Sangat Memuaskan</v>
      </c>
      <c r="CN17" s="37" t="str">
        <f t="shared" si="43"/>
        <v>Highly Satisfactory</v>
      </c>
      <c r="CO17" s="23"/>
    </row>
    <row r="18" spans="1:93" x14ac:dyDescent="0.25">
      <c r="A18" s="2">
        <v>16</v>
      </c>
      <c r="B18" s="22" t="s">
        <v>34</v>
      </c>
      <c r="C18" s="25">
        <v>152111022</v>
      </c>
      <c r="D18" s="25" t="s">
        <v>148</v>
      </c>
      <c r="E18" s="27" t="s">
        <v>149</v>
      </c>
      <c r="F18" s="25"/>
      <c r="G18" s="19">
        <v>81</v>
      </c>
      <c r="H18" s="10" t="str">
        <f t="shared" si="5"/>
        <v>A</v>
      </c>
      <c r="I18" s="1">
        <f t="shared" si="0"/>
        <v>4</v>
      </c>
      <c r="J18" s="10">
        <v>3</v>
      </c>
      <c r="K18" s="1">
        <f t="shared" si="6"/>
        <v>12</v>
      </c>
      <c r="L18" s="19">
        <v>82.440000000000012</v>
      </c>
      <c r="M18" s="10" t="str">
        <f t="shared" si="7"/>
        <v>A</v>
      </c>
      <c r="N18" s="1">
        <f t="shared" si="1"/>
        <v>4</v>
      </c>
      <c r="O18" s="10">
        <v>4</v>
      </c>
      <c r="P18" s="1">
        <f t="shared" si="8"/>
        <v>16</v>
      </c>
      <c r="Q18" s="7">
        <v>75.5</v>
      </c>
      <c r="R18" s="10" t="str">
        <f t="shared" si="9"/>
        <v>B+</v>
      </c>
      <c r="S18" s="1">
        <f t="shared" si="10"/>
        <v>3.5</v>
      </c>
      <c r="T18" s="10">
        <v>4</v>
      </c>
      <c r="U18" s="1">
        <f t="shared" si="11"/>
        <v>14</v>
      </c>
      <c r="V18" s="6">
        <v>83.15</v>
      </c>
      <c r="W18" s="10" t="str">
        <f t="shared" si="12"/>
        <v>A</v>
      </c>
      <c r="X18" s="1">
        <f t="shared" si="2"/>
        <v>4</v>
      </c>
      <c r="Y18" s="10">
        <v>2</v>
      </c>
      <c r="Z18" s="1">
        <f t="shared" si="13"/>
        <v>8</v>
      </c>
      <c r="AA18" s="18">
        <v>81.75</v>
      </c>
      <c r="AB18" s="10" t="str">
        <f t="shared" si="14"/>
        <v>A</v>
      </c>
      <c r="AC18" s="1">
        <f t="shared" si="3"/>
        <v>4</v>
      </c>
      <c r="AD18" s="10">
        <v>3</v>
      </c>
      <c r="AE18" s="1">
        <f t="shared" si="15"/>
        <v>12</v>
      </c>
      <c r="AF18" s="12">
        <v>81.674999999999997</v>
      </c>
      <c r="AG18" s="10" t="str">
        <f t="shared" si="16"/>
        <v>A</v>
      </c>
      <c r="AH18" s="1">
        <f t="shared" si="4"/>
        <v>4</v>
      </c>
      <c r="AI18" s="10">
        <v>3</v>
      </c>
      <c r="AJ18" s="1">
        <f t="shared" si="17"/>
        <v>12</v>
      </c>
      <c r="AK18" s="10">
        <v>86.2</v>
      </c>
      <c r="AL18" s="10" t="str">
        <f t="shared" si="18"/>
        <v>A</v>
      </c>
      <c r="AM18" s="1">
        <f t="shared" si="19"/>
        <v>4</v>
      </c>
      <c r="AN18" s="10">
        <v>4</v>
      </c>
      <c r="AO18" s="1">
        <f t="shared" si="20"/>
        <v>16</v>
      </c>
      <c r="AP18" s="19">
        <v>81.95</v>
      </c>
      <c r="AQ18" s="10" t="str">
        <f t="shared" si="21"/>
        <v>A</v>
      </c>
      <c r="AR18" s="1">
        <f t="shared" si="22"/>
        <v>4</v>
      </c>
      <c r="AS18" s="10">
        <v>2</v>
      </c>
      <c r="AT18" s="1">
        <f t="shared" si="23"/>
        <v>8</v>
      </c>
      <c r="AU18" s="7">
        <v>80.2</v>
      </c>
      <c r="AV18" s="10" t="str">
        <f t="shared" si="24"/>
        <v>A</v>
      </c>
      <c r="AW18" s="1">
        <f t="shared" si="25"/>
        <v>4</v>
      </c>
      <c r="AX18" s="10">
        <v>3</v>
      </c>
      <c r="AY18" s="1">
        <f t="shared" si="26"/>
        <v>12</v>
      </c>
      <c r="AZ18" s="6">
        <v>86.2</v>
      </c>
      <c r="BA18" s="10" t="str">
        <f t="shared" si="27"/>
        <v>A</v>
      </c>
      <c r="BB18" s="1">
        <f t="shared" si="28"/>
        <v>4</v>
      </c>
      <c r="BC18" s="10">
        <v>2</v>
      </c>
      <c r="BD18" s="1">
        <f t="shared" si="29"/>
        <v>8</v>
      </c>
      <c r="BE18" s="18">
        <v>76.430000000000007</v>
      </c>
      <c r="BF18" s="10" t="str">
        <f t="shared" si="30"/>
        <v>B+</v>
      </c>
      <c r="BG18" s="1">
        <f t="shared" si="31"/>
        <v>3.5</v>
      </c>
      <c r="BH18" s="10">
        <v>2</v>
      </c>
      <c r="BI18" s="1">
        <f t="shared" si="32"/>
        <v>7</v>
      </c>
      <c r="BJ18" s="10">
        <v>80.2</v>
      </c>
      <c r="BK18" s="10" t="str">
        <f t="shared" si="33"/>
        <v>A</v>
      </c>
      <c r="BL18" s="1">
        <f t="shared" si="34"/>
        <v>4</v>
      </c>
      <c r="BM18" s="10">
        <v>4</v>
      </c>
      <c r="BN18" s="1">
        <f t="shared" si="35"/>
        <v>16</v>
      </c>
      <c r="BO18" s="10">
        <v>81</v>
      </c>
      <c r="BP18" s="10" t="str">
        <f t="shared" si="36"/>
        <v>A</v>
      </c>
      <c r="BQ18" s="1">
        <f t="shared" si="37"/>
        <v>4</v>
      </c>
      <c r="BR18" s="10">
        <v>4</v>
      </c>
      <c r="BS18" s="1">
        <f t="shared" si="38"/>
        <v>16</v>
      </c>
      <c r="BT18" s="2">
        <v>84.5</v>
      </c>
      <c r="BU18" s="2">
        <v>22</v>
      </c>
      <c r="BV18" s="2">
        <v>71</v>
      </c>
      <c r="BW18" s="2">
        <v>19</v>
      </c>
      <c r="BX18" s="2">
        <v>79.5</v>
      </c>
      <c r="BY18" s="2">
        <v>21</v>
      </c>
      <c r="BZ18" s="2">
        <v>84</v>
      </c>
      <c r="CA18" s="2">
        <v>21</v>
      </c>
      <c r="CB18" s="2">
        <v>81.5</v>
      </c>
      <c r="CC18" s="2">
        <v>21</v>
      </c>
      <c r="CD18" s="2">
        <v>74</v>
      </c>
      <c r="CE18" s="2">
        <v>19</v>
      </c>
      <c r="CF18" s="2">
        <v>67</v>
      </c>
      <c r="CG18" s="2">
        <v>17</v>
      </c>
      <c r="CH18" s="2">
        <v>16</v>
      </c>
      <c r="CI18" s="2">
        <v>4</v>
      </c>
      <c r="CJ18" s="2">
        <f t="shared" si="39"/>
        <v>557.5</v>
      </c>
      <c r="CK18" s="2">
        <f t="shared" si="40"/>
        <v>144</v>
      </c>
      <c r="CL18" s="3">
        <f t="shared" si="41"/>
        <v>3.8715277777777777</v>
      </c>
      <c r="CM18" s="2" t="str">
        <f t="shared" si="42"/>
        <v>Cum Laude</v>
      </c>
      <c r="CN18" s="37" t="str">
        <f t="shared" si="43"/>
        <v>Excellent</v>
      </c>
      <c r="CO18" s="23"/>
    </row>
    <row r="19" spans="1:93" x14ac:dyDescent="0.25">
      <c r="A19" s="2">
        <v>17</v>
      </c>
      <c r="B19" s="22" t="s">
        <v>35</v>
      </c>
      <c r="C19" s="25">
        <v>152111025</v>
      </c>
      <c r="D19" s="25" t="s">
        <v>135</v>
      </c>
      <c r="E19" s="27" t="s">
        <v>150</v>
      </c>
      <c r="F19" s="25"/>
      <c r="G19" s="19">
        <v>80.2</v>
      </c>
      <c r="H19" s="10" t="str">
        <f t="shared" si="5"/>
        <v>A</v>
      </c>
      <c r="I19" s="1">
        <f t="shared" si="0"/>
        <v>4</v>
      </c>
      <c r="J19" s="10">
        <v>3</v>
      </c>
      <c r="K19" s="1">
        <f t="shared" si="6"/>
        <v>12</v>
      </c>
      <c r="L19" s="19">
        <v>77.16</v>
      </c>
      <c r="M19" s="10" t="str">
        <f t="shared" si="7"/>
        <v>B+</v>
      </c>
      <c r="N19" s="1">
        <f t="shared" si="1"/>
        <v>3.5</v>
      </c>
      <c r="O19" s="10">
        <v>4</v>
      </c>
      <c r="P19" s="1">
        <f t="shared" si="8"/>
        <v>14</v>
      </c>
      <c r="Q19" s="7">
        <v>74.25</v>
      </c>
      <c r="R19" s="10" t="str">
        <f t="shared" si="9"/>
        <v>B</v>
      </c>
      <c r="S19" s="1">
        <f t="shared" si="10"/>
        <v>3</v>
      </c>
      <c r="T19" s="10">
        <v>4</v>
      </c>
      <c r="U19" s="1">
        <f t="shared" si="11"/>
        <v>12</v>
      </c>
      <c r="V19" s="6">
        <v>83.474999999999994</v>
      </c>
      <c r="W19" s="10" t="str">
        <f t="shared" si="12"/>
        <v>A</v>
      </c>
      <c r="X19" s="1">
        <f t="shared" si="2"/>
        <v>4</v>
      </c>
      <c r="Y19" s="10">
        <v>2</v>
      </c>
      <c r="Z19" s="1">
        <f t="shared" si="13"/>
        <v>8</v>
      </c>
      <c r="AA19" s="18">
        <v>78.052380952380958</v>
      </c>
      <c r="AB19" s="10" t="str">
        <f t="shared" si="14"/>
        <v>B+</v>
      </c>
      <c r="AC19" s="1">
        <f t="shared" si="3"/>
        <v>3.5</v>
      </c>
      <c r="AD19" s="10">
        <v>3</v>
      </c>
      <c r="AE19" s="1">
        <f t="shared" si="15"/>
        <v>10.5</v>
      </c>
      <c r="AF19" s="12">
        <v>77.674999999999997</v>
      </c>
      <c r="AG19" s="10" t="str">
        <f t="shared" si="16"/>
        <v>B+</v>
      </c>
      <c r="AH19" s="1">
        <f t="shared" si="4"/>
        <v>3.5</v>
      </c>
      <c r="AI19" s="10">
        <v>3</v>
      </c>
      <c r="AJ19" s="1">
        <f t="shared" si="17"/>
        <v>10.5</v>
      </c>
      <c r="AK19" s="10">
        <v>82.2</v>
      </c>
      <c r="AL19" s="10" t="str">
        <f t="shared" si="18"/>
        <v>A</v>
      </c>
      <c r="AM19" s="1">
        <f t="shared" si="19"/>
        <v>4</v>
      </c>
      <c r="AN19" s="10">
        <v>4</v>
      </c>
      <c r="AO19" s="1">
        <f t="shared" si="20"/>
        <v>16</v>
      </c>
      <c r="AP19" s="19">
        <v>84.35</v>
      </c>
      <c r="AQ19" s="10" t="str">
        <f t="shared" si="21"/>
        <v>A</v>
      </c>
      <c r="AR19" s="1">
        <f t="shared" si="22"/>
        <v>4</v>
      </c>
      <c r="AS19" s="10">
        <v>2</v>
      </c>
      <c r="AT19" s="1">
        <f t="shared" si="23"/>
        <v>8</v>
      </c>
      <c r="AU19" s="7">
        <v>80</v>
      </c>
      <c r="AV19" s="10" t="str">
        <f t="shared" si="24"/>
        <v>A</v>
      </c>
      <c r="AW19" s="1">
        <f t="shared" si="25"/>
        <v>4</v>
      </c>
      <c r="AX19" s="10">
        <v>3</v>
      </c>
      <c r="AY19" s="1">
        <f t="shared" si="26"/>
        <v>12</v>
      </c>
      <c r="AZ19" s="6">
        <v>82.2</v>
      </c>
      <c r="BA19" s="10" t="str">
        <f t="shared" si="27"/>
        <v>A</v>
      </c>
      <c r="BB19" s="1">
        <f t="shared" si="28"/>
        <v>4</v>
      </c>
      <c r="BC19" s="10">
        <v>2</v>
      </c>
      <c r="BD19" s="1">
        <f t="shared" si="29"/>
        <v>8</v>
      </c>
      <c r="BE19" s="18">
        <v>78.3</v>
      </c>
      <c r="BF19" s="10" t="str">
        <f t="shared" si="30"/>
        <v>B+</v>
      </c>
      <c r="BG19" s="1">
        <f t="shared" si="31"/>
        <v>3.5</v>
      </c>
      <c r="BH19" s="10">
        <v>2</v>
      </c>
      <c r="BI19" s="1">
        <f t="shared" si="32"/>
        <v>7</v>
      </c>
      <c r="BJ19" s="10">
        <v>76</v>
      </c>
      <c r="BK19" s="10" t="str">
        <f t="shared" si="33"/>
        <v>B+</v>
      </c>
      <c r="BL19" s="1">
        <f t="shared" si="34"/>
        <v>3.5</v>
      </c>
      <c r="BM19" s="10">
        <v>4</v>
      </c>
      <c r="BN19" s="1">
        <f t="shared" si="35"/>
        <v>14</v>
      </c>
      <c r="BO19" s="10">
        <v>87</v>
      </c>
      <c r="BP19" s="10" t="str">
        <f t="shared" si="36"/>
        <v>A</v>
      </c>
      <c r="BQ19" s="1">
        <f t="shared" si="37"/>
        <v>4</v>
      </c>
      <c r="BR19" s="10">
        <v>4</v>
      </c>
      <c r="BS19" s="1">
        <f t="shared" si="38"/>
        <v>16</v>
      </c>
      <c r="BT19" s="2">
        <v>73</v>
      </c>
      <c r="BU19" s="2">
        <v>22</v>
      </c>
      <c r="BV19" s="2">
        <v>69</v>
      </c>
      <c r="BW19" s="2">
        <v>19</v>
      </c>
      <c r="BX19" s="2">
        <v>78.5</v>
      </c>
      <c r="BY19" s="2">
        <v>21</v>
      </c>
      <c r="BZ19" s="2">
        <v>80</v>
      </c>
      <c r="CA19" s="2">
        <v>21</v>
      </c>
      <c r="CB19" s="2">
        <v>76.5</v>
      </c>
      <c r="CC19" s="2">
        <v>21</v>
      </c>
      <c r="CD19" s="2">
        <v>67</v>
      </c>
      <c r="CE19" s="2">
        <v>19</v>
      </c>
      <c r="CF19" s="2">
        <v>65</v>
      </c>
      <c r="CG19" s="2">
        <v>17</v>
      </c>
      <c r="CH19" s="2">
        <v>16</v>
      </c>
      <c r="CI19" s="2">
        <v>4</v>
      </c>
      <c r="CJ19" s="2">
        <f t="shared" si="39"/>
        <v>525</v>
      </c>
      <c r="CK19" s="2">
        <f t="shared" si="40"/>
        <v>144</v>
      </c>
      <c r="CL19" s="3">
        <f t="shared" si="41"/>
        <v>3.6458333333333335</v>
      </c>
      <c r="CM19" s="2" t="str">
        <f t="shared" si="42"/>
        <v>Cum Laude</v>
      </c>
      <c r="CN19" s="37" t="str">
        <f t="shared" si="43"/>
        <v>Excellent</v>
      </c>
      <c r="CO19" s="23"/>
    </row>
    <row r="20" spans="1:93" x14ac:dyDescent="0.25">
      <c r="A20" s="2">
        <v>18</v>
      </c>
      <c r="B20" s="22" t="s">
        <v>36</v>
      </c>
      <c r="C20" s="25">
        <v>152111027</v>
      </c>
      <c r="D20" s="2" t="s">
        <v>168</v>
      </c>
      <c r="E20" s="24" t="s">
        <v>145</v>
      </c>
      <c r="F20" s="25"/>
      <c r="G20" s="19">
        <v>80.400000000000006</v>
      </c>
      <c r="H20" s="10" t="str">
        <f t="shared" si="5"/>
        <v>A</v>
      </c>
      <c r="I20" s="1">
        <f t="shared" si="0"/>
        <v>4</v>
      </c>
      <c r="J20" s="10">
        <v>3</v>
      </c>
      <c r="K20" s="1">
        <f t="shared" si="6"/>
        <v>12</v>
      </c>
      <c r="L20" s="19">
        <v>74.52</v>
      </c>
      <c r="M20" s="10" t="str">
        <f t="shared" si="7"/>
        <v>B</v>
      </c>
      <c r="N20" s="1">
        <f t="shared" si="1"/>
        <v>3</v>
      </c>
      <c r="O20" s="10">
        <v>4</v>
      </c>
      <c r="P20" s="1">
        <f t="shared" si="8"/>
        <v>12</v>
      </c>
      <c r="Q20" s="7">
        <v>75.5</v>
      </c>
      <c r="R20" s="10" t="str">
        <f t="shared" si="9"/>
        <v>B+</v>
      </c>
      <c r="S20" s="1">
        <f t="shared" si="10"/>
        <v>3.5</v>
      </c>
      <c r="T20" s="10">
        <v>4</v>
      </c>
      <c r="U20" s="1">
        <f t="shared" si="11"/>
        <v>14</v>
      </c>
      <c r="V20" s="6">
        <v>76.150000000000006</v>
      </c>
      <c r="W20" s="10" t="str">
        <f t="shared" si="12"/>
        <v>B+</v>
      </c>
      <c r="X20" s="1">
        <f t="shared" si="2"/>
        <v>3.5</v>
      </c>
      <c r="Y20" s="10">
        <v>2</v>
      </c>
      <c r="Z20" s="1">
        <f t="shared" si="13"/>
        <v>7</v>
      </c>
      <c r="AA20" s="18">
        <v>75.433333333333337</v>
      </c>
      <c r="AB20" s="10" t="str">
        <f t="shared" si="14"/>
        <v>B+</v>
      </c>
      <c r="AC20" s="1">
        <f t="shared" si="3"/>
        <v>3.5</v>
      </c>
      <c r="AD20" s="10">
        <v>3</v>
      </c>
      <c r="AE20" s="1">
        <f t="shared" si="15"/>
        <v>10.5</v>
      </c>
      <c r="AF20" s="12">
        <v>74.775000000000006</v>
      </c>
      <c r="AG20" s="10" t="str">
        <f t="shared" si="16"/>
        <v>B</v>
      </c>
      <c r="AH20" s="1">
        <f t="shared" si="4"/>
        <v>3</v>
      </c>
      <c r="AI20" s="10">
        <v>3</v>
      </c>
      <c r="AJ20" s="1">
        <f t="shared" si="17"/>
        <v>9</v>
      </c>
      <c r="AK20" s="10">
        <v>77</v>
      </c>
      <c r="AL20" s="10" t="str">
        <f t="shared" si="18"/>
        <v>B+</v>
      </c>
      <c r="AM20" s="1">
        <f t="shared" si="19"/>
        <v>3.5</v>
      </c>
      <c r="AN20" s="10">
        <v>4</v>
      </c>
      <c r="AO20" s="1">
        <f t="shared" si="20"/>
        <v>14</v>
      </c>
      <c r="AP20" s="19">
        <v>76.75</v>
      </c>
      <c r="AQ20" s="10" t="str">
        <f t="shared" si="21"/>
        <v>B+</v>
      </c>
      <c r="AR20" s="1">
        <f t="shared" si="22"/>
        <v>3.5</v>
      </c>
      <c r="AS20" s="10">
        <v>2</v>
      </c>
      <c r="AT20" s="1">
        <f t="shared" si="23"/>
        <v>7</v>
      </c>
      <c r="AU20" s="7">
        <v>77.95</v>
      </c>
      <c r="AV20" s="10" t="str">
        <f t="shared" si="24"/>
        <v>B+</v>
      </c>
      <c r="AW20" s="1">
        <f t="shared" si="25"/>
        <v>3.5</v>
      </c>
      <c r="AX20" s="10">
        <v>3</v>
      </c>
      <c r="AY20" s="1">
        <f t="shared" si="26"/>
        <v>10.5</v>
      </c>
      <c r="AZ20" s="6">
        <v>77</v>
      </c>
      <c r="BA20" s="10" t="str">
        <f t="shared" si="27"/>
        <v>B+</v>
      </c>
      <c r="BB20" s="1">
        <f t="shared" si="28"/>
        <v>3.5</v>
      </c>
      <c r="BC20" s="10">
        <v>2</v>
      </c>
      <c r="BD20" s="1">
        <f t="shared" si="29"/>
        <v>7</v>
      </c>
      <c r="BE20" s="18">
        <v>75.28</v>
      </c>
      <c r="BF20" s="10" t="str">
        <f t="shared" si="30"/>
        <v>B+</v>
      </c>
      <c r="BG20" s="1">
        <f t="shared" si="31"/>
        <v>3.5</v>
      </c>
      <c r="BH20" s="10">
        <v>2</v>
      </c>
      <c r="BI20" s="1">
        <f t="shared" si="32"/>
        <v>7</v>
      </c>
      <c r="BJ20" s="10">
        <v>79</v>
      </c>
      <c r="BK20" s="10" t="str">
        <f t="shared" si="33"/>
        <v>B+</v>
      </c>
      <c r="BL20" s="1">
        <f t="shared" si="34"/>
        <v>3.5</v>
      </c>
      <c r="BM20" s="10">
        <v>4</v>
      </c>
      <c r="BN20" s="1">
        <f t="shared" si="35"/>
        <v>14</v>
      </c>
      <c r="BO20" s="10">
        <v>80.5</v>
      </c>
      <c r="BP20" s="10" t="str">
        <f t="shared" si="36"/>
        <v>A</v>
      </c>
      <c r="BQ20" s="1">
        <f t="shared" si="37"/>
        <v>4</v>
      </c>
      <c r="BR20" s="10">
        <v>4</v>
      </c>
      <c r="BS20" s="1">
        <f t="shared" si="38"/>
        <v>16</v>
      </c>
      <c r="BT20" s="2">
        <v>76.5</v>
      </c>
      <c r="BU20" s="2">
        <v>22</v>
      </c>
      <c r="BV20" s="2">
        <v>65.5</v>
      </c>
      <c r="BW20" s="2">
        <v>19</v>
      </c>
      <c r="BX20" s="2">
        <v>84</v>
      </c>
      <c r="BY20" s="2">
        <v>21</v>
      </c>
      <c r="BZ20" s="2">
        <v>74.5</v>
      </c>
      <c r="CA20" s="2">
        <v>21</v>
      </c>
      <c r="CB20" s="2">
        <v>75.5</v>
      </c>
      <c r="CC20" s="2">
        <v>21</v>
      </c>
      <c r="CD20" s="2">
        <v>64.5</v>
      </c>
      <c r="CE20" s="2">
        <v>19</v>
      </c>
      <c r="CF20" s="2">
        <v>59.5</v>
      </c>
      <c r="CG20" s="2">
        <v>17</v>
      </c>
      <c r="CH20" s="2">
        <v>16</v>
      </c>
      <c r="CI20" s="2">
        <v>4</v>
      </c>
      <c r="CJ20" s="2">
        <f t="shared" si="39"/>
        <v>516</v>
      </c>
      <c r="CK20" s="2">
        <f t="shared" si="40"/>
        <v>144</v>
      </c>
      <c r="CL20" s="3">
        <f t="shared" si="41"/>
        <v>3.5833333333333335</v>
      </c>
      <c r="CM20" s="2" t="str">
        <f t="shared" si="42"/>
        <v>Cum Laude</v>
      </c>
      <c r="CN20" s="37" t="str">
        <f t="shared" si="43"/>
        <v>Excellent</v>
      </c>
      <c r="CO20" s="23"/>
    </row>
    <row r="21" spans="1:93" x14ac:dyDescent="0.25">
      <c r="A21" s="2">
        <v>19</v>
      </c>
      <c r="B21" s="23" t="s">
        <v>37</v>
      </c>
      <c r="C21" s="2">
        <v>152111029</v>
      </c>
      <c r="D21" s="25" t="s">
        <v>135</v>
      </c>
      <c r="E21" s="27" t="s">
        <v>151</v>
      </c>
      <c r="F21" s="2"/>
      <c r="G21" s="19">
        <v>76.599999999999994</v>
      </c>
      <c r="H21" s="10" t="str">
        <f t="shared" si="5"/>
        <v>B+</v>
      </c>
      <c r="I21" s="1">
        <f t="shared" si="0"/>
        <v>3.5</v>
      </c>
      <c r="J21" s="10">
        <v>3</v>
      </c>
      <c r="K21" s="1">
        <f t="shared" si="6"/>
        <v>10.5</v>
      </c>
      <c r="L21" s="19">
        <v>77.28</v>
      </c>
      <c r="M21" s="10" t="str">
        <f t="shared" si="7"/>
        <v>B+</v>
      </c>
      <c r="N21" s="1">
        <f t="shared" si="1"/>
        <v>3.5</v>
      </c>
      <c r="O21" s="10">
        <v>4</v>
      </c>
      <c r="P21" s="1">
        <f t="shared" si="8"/>
        <v>14</v>
      </c>
      <c r="Q21" s="7">
        <v>75.5</v>
      </c>
      <c r="R21" s="10" t="str">
        <f t="shared" si="9"/>
        <v>B+</v>
      </c>
      <c r="S21" s="1">
        <f t="shared" si="10"/>
        <v>3.5</v>
      </c>
      <c r="T21" s="10">
        <v>4</v>
      </c>
      <c r="U21" s="1">
        <f t="shared" si="11"/>
        <v>14</v>
      </c>
      <c r="V21" s="6">
        <v>80.25</v>
      </c>
      <c r="W21" s="10" t="str">
        <f t="shared" si="12"/>
        <v>A</v>
      </c>
      <c r="X21" s="1">
        <f t="shared" si="2"/>
        <v>4</v>
      </c>
      <c r="Y21" s="10">
        <v>2</v>
      </c>
      <c r="Z21" s="1">
        <f t="shared" si="13"/>
        <v>8</v>
      </c>
      <c r="AA21" s="18">
        <v>77.033333333333331</v>
      </c>
      <c r="AB21" s="10" t="str">
        <f t="shared" si="14"/>
        <v>B+</v>
      </c>
      <c r="AC21" s="1">
        <f t="shared" si="3"/>
        <v>3.5</v>
      </c>
      <c r="AD21" s="10">
        <v>3</v>
      </c>
      <c r="AE21" s="1">
        <f t="shared" si="15"/>
        <v>10.5</v>
      </c>
      <c r="AF21" s="12">
        <v>80.075000000000003</v>
      </c>
      <c r="AG21" s="10" t="str">
        <f t="shared" si="16"/>
        <v>A</v>
      </c>
      <c r="AH21" s="1">
        <f t="shared" si="4"/>
        <v>4</v>
      </c>
      <c r="AI21" s="10">
        <v>3</v>
      </c>
      <c r="AJ21" s="1">
        <f t="shared" si="17"/>
        <v>12</v>
      </c>
      <c r="AK21" s="10">
        <v>84</v>
      </c>
      <c r="AL21" s="10" t="str">
        <f t="shared" si="18"/>
        <v>A</v>
      </c>
      <c r="AM21" s="1">
        <f t="shared" si="19"/>
        <v>4</v>
      </c>
      <c r="AN21" s="10">
        <v>4</v>
      </c>
      <c r="AO21" s="1">
        <f t="shared" si="20"/>
        <v>16</v>
      </c>
      <c r="AP21" s="19">
        <v>81.75</v>
      </c>
      <c r="AQ21" s="10" t="str">
        <f t="shared" si="21"/>
        <v>A</v>
      </c>
      <c r="AR21" s="1">
        <f t="shared" si="22"/>
        <v>4</v>
      </c>
      <c r="AS21" s="10">
        <v>2</v>
      </c>
      <c r="AT21" s="1">
        <f t="shared" si="23"/>
        <v>8</v>
      </c>
      <c r="AU21" s="7">
        <v>80.08</v>
      </c>
      <c r="AV21" s="10" t="str">
        <f t="shared" si="24"/>
        <v>A</v>
      </c>
      <c r="AW21" s="1">
        <f t="shared" si="25"/>
        <v>4</v>
      </c>
      <c r="AX21" s="10">
        <v>3</v>
      </c>
      <c r="AY21" s="1">
        <f t="shared" si="26"/>
        <v>12</v>
      </c>
      <c r="AZ21" s="6">
        <v>84</v>
      </c>
      <c r="BA21" s="10" t="str">
        <f t="shared" si="27"/>
        <v>A</v>
      </c>
      <c r="BB21" s="1">
        <f t="shared" si="28"/>
        <v>4</v>
      </c>
      <c r="BC21" s="10">
        <v>2</v>
      </c>
      <c r="BD21" s="1">
        <f t="shared" si="29"/>
        <v>8</v>
      </c>
      <c r="BE21" s="18">
        <v>75.45</v>
      </c>
      <c r="BF21" s="10" t="str">
        <f t="shared" si="30"/>
        <v>B+</v>
      </c>
      <c r="BG21" s="1">
        <f t="shared" si="31"/>
        <v>3.5</v>
      </c>
      <c r="BH21" s="10">
        <v>2</v>
      </c>
      <c r="BI21" s="1">
        <f t="shared" si="32"/>
        <v>7</v>
      </c>
      <c r="BJ21" s="10">
        <v>76.599999999999994</v>
      </c>
      <c r="BK21" s="10" t="str">
        <f t="shared" si="33"/>
        <v>B+</v>
      </c>
      <c r="BL21" s="1">
        <f t="shared" si="34"/>
        <v>3.5</v>
      </c>
      <c r="BM21" s="10">
        <v>4</v>
      </c>
      <c r="BN21" s="1">
        <f t="shared" si="35"/>
        <v>14</v>
      </c>
      <c r="BO21" s="10">
        <v>80.5</v>
      </c>
      <c r="BP21" s="10" t="str">
        <f t="shared" si="36"/>
        <v>A</v>
      </c>
      <c r="BQ21" s="1">
        <f t="shared" si="37"/>
        <v>4</v>
      </c>
      <c r="BR21" s="10">
        <v>4</v>
      </c>
      <c r="BS21" s="1">
        <f t="shared" si="38"/>
        <v>16</v>
      </c>
      <c r="BT21" s="2">
        <v>82.5</v>
      </c>
      <c r="BU21" s="2">
        <v>22</v>
      </c>
      <c r="BV21" s="2">
        <v>70</v>
      </c>
      <c r="BW21" s="2">
        <v>19</v>
      </c>
      <c r="BX21" s="2">
        <v>77.5</v>
      </c>
      <c r="BY21" s="2">
        <v>21</v>
      </c>
      <c r="BZ21" s="2">
        <v>82.5</v>
      </c>
      <c r="CA21" s="2">
        <v>21</v>
      </c>
      <c r="CB21" s="2">
        <v>77.5</v>
      </c>
      <c r="CC21" s="2">
        <v>21</v>
      </c>
      <c r="CD21" s="2">
        <v>69</v>
      </c>
      <c r="CE21" s="2">
        <v>19</v>
      </c>
      <c r="CF21" s="2">
        <v>65</v>
      </c>
      <c r="CG21" s="2">
        <v>17</v>
      </c>
      <c r="CH21" s="2">
        <v>16</v>
      </c>
      <c r="CI21" s="2">
        <v>4</v>
      </c>
      <c r="CJ21" s="2">
        <f t="shared" si="39"/>
        <v>540</v>
      </c>
      <c r="CK21" s="2">
        <f t="shared" si="40"/>
        <v>144</v>
      </c>
      <c r="CL21" s="3">
        <f t="shared" si="41"/>
        <v>3.75</v>
      </c>
      <c r="CM21" s="2" t="str">
        <f t="shared" si="42"/>
        <v>Cum Laude</v>
      </c>
      <c r="CN21" s="37" t="str">
        <f t="shared" si="43"/>
        <v>Excellent</v>
      </c>
      <c r="CO21" s="23"/>
    </row>
    <row r="22" spans="1:93" x14ac:dyDescent="0.25">
      <c r="A22" s="2">
        <v>20</v>
      </c>
      <c r="B22" s="23" t="s">
        <v>41</v>
      </c>
      <c r="C22" s="2">
        <v>152111030</v>
      </c>
      <c r="D22" s="10"/>
      <c r="E22" s="24"/>
      <c r="F22" s="2"/>
      <c r="G22" s="19">
        <v>76.599999999999994</v>
      </c>
      <c r="H22" s="10" t="str">
        <f t="shared" si="5"/>
        <v>B+</v>
      </c>
      <c r="I22" s="1">
        <f t="shared" si="0"/>
        <v>3.5</v>
      </c>
      <c r="J22" s="10">
        <v>3</v>
      </c>
      <c r="K22" s="1">
        <f t="shared" si="6"/>
        <v>10.5</v>
      </c>
      <c r="L22" s="19">
        <v>76.599999999999994</v>
      </c>
      <c r="M22" s="10" t="str">
        <f t="shared" si="7"/>
        <v>B+</v>
      </c>
      <c r="N22" s="1">
        <f t="shared" si="1"/>
        <v>3.5</v>
      </c>
      <c r="O22" s="10">
        <v>4</v>
      </c>
      <c r="P22" s="1">
        <f t="shared" si="8"/>
        <v>14</v>
      </c>
      <c r="Q22" s="7">
        <v>74.25</v>
      </c>
      <c r="R22" s="10" t="str">
        <f t="shared" si="9"/>
        <v>B</v>
      </c>
      <c r="S22" s="1">
        <f t="shared" si="10"/>
        <v>3</v>
      </c>
      <c r="T22" s="10">
        <v>4</v>
      </c>
      <c r="U22" s="1">
        <f t="shared" si="11"/>
        <v>12</v>
      </c>
      <c r="V22" s="6">
        <v>70.599999999999994</v>
      </c>
      <c r="W22" s="10" t="str">
        <f t="shared" si="12"/>
        <v>B</v>
      </c>
      <c r="X22" s="1">
        <f t="shared" si="2"/>
        <v>3</v>
      </c>
      <c r="Y22" s="10">
        <v>2</v>
      </c>
      <c r="Z22" s="1">
        <f t="shared" si="13"/>
        <v>6</v>
      </c>
      <c r="AA22" s="18">
        <v>73.866666666666674</v>
      </c>
      <c r="AB22" s="10" t="str">
        <f t="shared" si="14"/>
        <v>B</v>
      </c>
      <c r="AC22" s="1">
        <f t="shared" si="3"/>
        <v>3</v>
      </c>
      <c r="AD22" s="10">
        <v>3</v>
      </c>
      <c r="AE22" s="1">
        <f t="shared" si="15"/>
        <v>9</v>
      </c>
      <c r="AF22" s="12">
        <v>69.174999999999997</v>
      </c>
      <c r="AG22" s="10" t="str">
        <f t="shared" si="16"/>
        <v>C+</v>
      </c>
      <c r="AH22" s="1">
        <f t="shared" si="4"/>
        <v>2.5</v>
      </c>
      <c r="AI22" s="10">
        <v>3</v>
      </c>
      <c r="AJ22" s="1">
        <f t="shared" si="17"/>
        <v>7.5</v>
      </c>
      <c r="AK22" s="10">
        <v>80.400000000000006</v>
      </c>
      <c r="AL22" s="10" t="str">
        <f t="shared" si="18"/>
        <v>A</v>
      </c>
      <c r="AM22" s="1">
        <f t="shared" si="19"/>
        <v>4</v>
      </c>
      <c r="AN22" s="10">
        <v>4</v>
      </c>
      <c r="AO22" s="1">
        <f t="shared" si="20"/>
        <v>16</v>
      </c>
      <c r="AP22" s="19">
        <v>76.75</v>
      </c>
      <c r="AQ22" s="10" t="str">
        <f t="shared" si="21"/>
        <v>B+</v>
      </c>
      <c r="AR22" s="1">
        <f t="shared" si="22"/>
        <v>3.5</v>
      </c>
      <c r="AS22" s="10">
        <v>2</v>
      </c>
      <c r="AT22" s="1">
        <f t="shared" si="23"/>
        <v>7</v>
      </c>
      <c r="AU22" s="7">
        <v>76.849999999999994</v>
      </c>
      <c r="AV22" s="10" t="str">
        <f t="shared" si="24"/>
        <v>B+</v>
      </c>
      <c r="AW22" s="1">
        <f t="shared" si="25"/>
        <v>3.5</v>
      </c>
      <c r="AX22" s="10">
        <v>3</v>
      </c>
      <c r="AY22" s="1">
        <f t="shared" si="26"/>
        <v>10.5</v>
      </c>
      <c r="AZ22" s="6">
        <v>80.400000000000006</v>
      </c>
      <c r="BA22" s="10" t="str">
        <f t="shared" si="27"/>
        <v>A</v>
      </c>
      <c r="BB22" s="1">
        <f t="shared" si="28"/>
        <v>4</v>
      </c>
      <c r="BC22" s="10">
        <v>2</v>
      </c>
      <c r="BD22" s="1">
        <f t="shared" si="29"/>
        <v>8</v>
      </c>
      <c r="BE22" s="18">
        <v>75.13</v>
      </c>
      <c r="BF22" s="10" t="str">
        <f t="shared" si="30"/>
        <v>B+</v>
      </c>
      <c r="BG22" s="1">
        <f t="shared" si="31"/>
        <v>3.5</v>
      </c>
      <c r="BH22" s="10">
        <v>2</v>
      </c>
      <c r="BI22" s="1">
        <f t="shared" si="32"/>
        <v>7</v>
      </c>
      <c r="BJ22" s="10">
        <v>74.900000000000006</v>
      </c>
      <c r="BK22" s="10" t="str">
        <f t="shared" si="33"/>
        <v>B</v>
      </c>
      <c r="BL22" s="1">
        <f t="shared" si="34"/>
        <v>3</v>
      </c>
      <c r="BM22" s="10">
        <v>4</v>
      </c>
      <c r="BN22" s="1">
        <f t="shared" si="35"/>
        <v>12</v>
      </c>
      <c r="BO22" s="10">
        <v>82.9</v>
      </c>
      <c r="BP22" s="10" t="str">
        <f t="shared" si="36"/>
        <v>A</v>
      </c>
      <c r="BQ22" s="1">
        <f t="shared" si="37"/>
        <v>4</v>
      </c>
      <c r="BR22" s="10">
        <v>4</v>
      </c>
      <c r="BS22" s="1">
        <f t="shared" si="38"/>
        <v>16</v>
      </c>
      <c r="BT22" s="2">
        <v>73</v>
      </c>
      <c r="BU22" s="2">
        <v>22</v>
      </c>
      <c r="BV22" s="2">
        <v>64.5</v>
      </c>
      <c r="BW22" s="2">
        <v>19</v>
      </c>
      <c r="BX22" s="2">
        <v>73.5</v>
      </c>
      <c r="BY22" s="2">
        <v>21</v>
      </c>
      <c r="BZ22" s="2">
        <v>72</v>
      </c>
      <c r="CA22" s="2">
        <v>21</v>
      </c>
      <c r="CB22" s="2">
        <v>68.5</v>
      </c>
      <c r="CC22" s="2">
        <v>21</v>
      </c>
      <c r="CD22" s="2">
        <v>59</v>
      </c>
      <c r="CE22" s="2">
        <v>19</v>
      </c>
      <c r="CF22" s="2">
        <v>60.5</v>
      </c>
      <c r="CG22" s="2">
        <v>17</v>
      </c>
      <c r="CH22" s="2">
        <v>16</v>
      </c>
      <c r="CI22" s="2">
        <v>4</v>
      </c>
      <c r="CJ22" s="2">
        <f t="shared" si="39"/>
        <v>487</v>
      </c>
      <c r="CK22" s="2">
        <f t="shared" si="40"/>
        <v>144</v>
      </c>
      <c r="CL22" s="3">
        <f t="shared" si="41"/>
        <v>3.3819444444444446</v>
      </c>
      <c r="CM22" s="2" t="str">
        <f t="shared" si="42"/>
        <v>Sangat Memuaskan</v>
      </c>
      <c r="CN22" s="37" t="str">
        <f t="shared" si="43"/>
        <v>Highly Satisfactory</v>
      </c>
      <c r="CO22" s="23"/>
    </row>
    <row r="23" spans="1:93" x14ac:dyDescent="0.25">
      <c r="A23" s="2">
        <v>21</v>
      </c>
      <c r="B23" s="23" t="s">
        <v>42</v>
      </c>
      <c r="C23" s="2">
        <v>152111031</v>
      </c>
      <c r="D23" s="10" t="s">
        <v>135</v>
      </c>
      <c r="E23" s="24" t="s">
        <v>175</v>
      </c>
      <c r="F23" s="2"/>
      <c r="G23" s="19">
        <v>72</v>
      </c>
      <c r="H23" s="10" t="str">
        <f t="shared" si="5"/>
        <v>B</v>
      </c>
      <c r="I23" s="1">
        <f t="shared" si="0"/>
        <v>3</v>
      </c>
      <c r="J23" s="10">
        <v>3</v>
      </c>
      <c r="K23" s="1">
        <f t="shared" si="6"/>
        <v>9</v>
      </c>
      <c r="L23" s="19">
        <v>73.14</v>
      </c>
      <c r="M23" s="10" t="str">
        <f t="shared" si="7"/>
        <v>B</v>
      </c>
      <c r="N23" s="1">
        <f t="shared" si="1"/>
        <v>3</v>
      </c>
      <c r="O23" s="10">
        <v>4</v>
      </c>
      <c r="P23" s="1">
        <f t="shared" si="8"/>
        <v>12</v>
      </c>
      <c r="Q23" s="7">
        <v>74.25</v>
      </c>
      <c r="R23" s="10" t="str">
        <f t="shared" si="9"/>
        <v>B</v>
      </c>
      <c r="S23" s="1">
        <f t="shared" si="10"/>
        <v>3</v>
      </c>
      <c r="T23" s="10">
        <v>4</v>
      </c>
      <c r="U23" s="1">
        <f t="shared" si="11"/>
        <v>12</v>
      </c>
      <c r="V23" s="6">
        <v>73.400000000000006</v>
      </c>
      <c r="W23" s="10" t="str">
        <f t="shared" si="12"/>
        <v>B</v>
      </c>
      <c r="X23" s="1">
        <f t="shared" si="2"/>
        <v>3</v>
      </c>
      <c r="Y23" s="10">
        <v>2</v>
      </c>
      <c r="Z23" s="1">
        <f t="shared" si="13"/>
        <v>6</v>
      </c>
      <c r="AA23" s="18">
        <v>70.071428571428569</v>
      </c>
      <c r="AB23" s="10" t="str">
        <f t="shared" si="14"/>
        <v>B</v>
      </c>
      <c r="AC23" s="1">
        <f t="shared" si="3"/>
        <v>3</v>
      </c>
      <c r="AD23" s="10">
        <v>3</v>
      </c>
      <c r="AE23" s="1">
        <f t="shared" si="15"/>
        <v>9</v>
      </c>
      <c r="AF23" s="12">
        <v>70.174999999999997</v>
      </c>
      <c r="AG23" s="10" t="str">
        <f t="shared" si="16"/>
        <v>B</v>
      </c>
      <c r="AH23" s="1">
        <f t="shared" si="4"/>
        <v>3</v>
      </c>
      <c r="AI23" s="10">
        <v>3</v>
      </c>
      <c r="AJ23" s="1">
        <f t="shared" si="17"/>
        <v>9</v>
      </c>
      <c r="AK23" s="10">
        <v>77.599999999999994</v>
      </c>
      <c r="AL23" s="10" t="str">
        <f t="shared" si="18"/>
        <v>B+</v>
      </c>
      <c r="AM23" s="1">
        <f t="shared" si="19"/>
        <v>3.5</v>
      </c>
      <c r="AN23" s="10">
        <v>4</v>
      </c>
      <c r="AO23" s="1">
        <f t="shared" si="20"/>
        <v>14</v>
      </c>
      <c r="AP23" s="19">
        <v>78.95</v>
      </c>
      <c r="AQ23" s="10" t="str">
        <f t="shared" si="21"/>
        <v>B+</v>
      </c>
      <c r="AR23" s="1">
        <f t="shared" si="22"/>
        <v>3.5</v>
      </c>
      <c r="AS23" s="10">
        <v>2</v>
      </c>
      <c r="AT23" s="1">
        <f t="shared" si="23"/>
        <v>7</v>
      </c>
      <c r="AU23" s="7">
        <v>74.599999999999994</v>
      </c>
      <c r="AV23" s="10" t="str">
        <f t="shared" si="24"/>
        <v>B</v>
      </c>
      <c r="AW23" s="1">
        <f t="shared" si="25"/>
        <v>3</v>
      </c>
      <c r="AX23" s="10">
        <v>3</v>
      </c>
      <c r="AY23" s="1">
        <f t="shared" si="26"/>
        <v>9</v>
      </c>
      <c r="AZ23" s="6">
        <v>77.599999999999994</v>
      </c>
      <c r="BA23" s="10" t="str">
        <f t="shared" si="27"/>
        <v>B+</v>
      </c>
      <c r="BB23" s="1">
        <f t="shared" si="28"/>
        <v>3.5</v>
      </c>
      <c r="BC23" s="10">
        <v>2</v>
      </c>
      <c r="BD23" s="1">
        <f t="shared" si="29"/>
        <v>7</v>
      </c>
      <c r="BE23" s="18">
        <v>57.63</v>
      </c>
      <c r="BF23" s="10" t="str">
        <f t="shared" si="30"/>
        <v>D</v>
      </c>
      <c r="BG23" s="1">
        <f t="shared" si="31"/>
        <v>1</v>
      </c>
      <c r="BH23" s="10">
        <v>2</v>
      </c>
      <c r="BI23" s="1">
        <f t="shared" si="32"/>
        <v>2</v>
      </c>
      <c r="BJ23" s="10">
        <v>74</v>
      </c>
      <c r="BK23" s="10" t="str">
        <f t="shared" si="33"/>
        <v>B</v>
      </c>
      <c r="BL23" s="1">
        <f t="shared" si="34"/>
        <v>3</v>
      </c>
      <c r="BM23" s="10">
        <v>4</v>
      </c>
      <c r="BN23" s="1">
        <f t="shared" si="35"/>
        <v>12</v>
      </c>
      <c r="BO23" s="10">
        <v>80</v>
      </c>
      <c r="BP23" s="10" t="str">
        <f t="shared" si="36"/>
        <v>A</v>
      </c>
      <c r="BQ23" s="1">
        <f t="shared" si="37"/>
        <v>4</v>
      </c>
      <c r="BR23" s="10">
        <v>4</v>
      </c>
      <c r="BS23" s="1">
        <f t="shared" si="38"/>
        <v>16</v>
      </c>
      <c r="BT23" s="2">
        <v>72</v>
      </c>
      <c r="BU23" s="2">
        <v>22</v>
      </c>
      <c r="BV23" s="2">
        <v>62.5</v>
      </c>
      <c r="BW23" s="2">
        <v>19</v>
      </c>
      <c r="BX23" s="2">
        <v>75.5</v>
      </c>
      <c r="BY23" s="2">
        <v>21</v>
      </c>
      <c r="BZ23" s="2">
        <v>68.5</v>
      </c>
      <c r="CA23" s="2">
        <v>21</v>
      </c>
      <c r="CB23" s="2">
        <v>67.5</v>
      </c>
      <c r="CC23" s="2">
        <v>21</v>
      </c>
      <c r="CD23" s="2">
        <v>57</v>
      </c>
      <c r="CE23" s="2">
        <v>19</v>
      </c>
      <c r="CF23" s="2">
        <v>51</v>
      </c>
      <c r="CG23" s="2">
        <v>17</v>
      </c>
      <c r="CH23" s="2">
        <v>16</v>
      </c>
      <c r="CI23" s="2">
        <v>4</v>
      </c>
      <c r="CJ23" s="2">
        <f t="shared" si="39"/>
        <v>470</v>
      </c>
      <c r="CK23" s="2">
        <f t="shared" si="40"/>
        <v>144</v>
      </c>
      <c r="CL23" s="3">
        <f t="shared" si="41"/>
        <v>3.2638888888888888</v>
      </c>
      <c r="CM23" s="2" t="str">
        <f t="shared" si="42"/>
        <v>Sangat Memuaskan</v>
      </c>
      <c r="CN23" s="37" t="str">
        <f t="shared" si="43"/>
        <v>Highly Satisfactory</v>
      </c>
      <c r="CO23" s="23"/>
    </row>
    <row r="24" spans="1:93" x14ac:dyDescent="0.25">
      <c r="A24" s="2">
        <v>22</v>
      </c>
      <c r="B24" s="22" t="s">
        <v>44</v>
      </c>
      <c r="C24" s="2">
        <v>152111032</v>
      </c>
      <c r="D24" s="10" t="s">
        <v>152</v>
      </c>
      <c r="E24" s="24" t="s">
        <v>153</v>
      </c>
      <c r="F24" s="2"/>
      <c r="G24" s="19">
        <v>76.2</v>
      </c>
      <c r="H24" s="10" t="str">
        <f t="shared" si="5"/>
        <v>B+</v>
      </c>
      <c r="I24" s="1">
        <f t="shared" si="0"/>
        <v>3.5</v>
      </c>
      <c r="J24" s="10">
        <v>3</v>
      </c>
      <c r="K24" s="1">
        <f t="shared" si="6"/>
        <v>10.5</v>
      </c>
      <c r="L24" s="19">
        <v>75.320000000000007</v>
      </c>
      <c r="M24" s="10" t="str">
        <f t="shared" si="7"/>
        <v>B+</v>
      </c>
      <c r="N24" s="1">
        <f t="shared" si="1"/>
        <v>3.5</v>
      </c>
      <c r="O24" s="10">
        <v>4</v>
      </c>
      <c r="P24" s="1">
        <f t="shared" si="8"/>
        <v>14</v>
      </c>
      <c r="Q24" s="7">
        <v>74.25</v>
      </c>
      <c r="R24" s="10" t="str">
        <f t="shared" si="9"/>
        <v>B</v>
      </c>
      <c r="S24" s="1">
        <f t="shared" si="10"/>
        <v>3</v>
      </c>
      <c r="T24" s="10">
        <v>4</v>
      </c>
      <c r="U24" s="1">
        <f t="shared" si="11"/>
        <v>12</v>
      </c>
      <c r="V24" s="6">
        <v>71.900000000000006</v>
      </c>
      <c r="W24" s="10" t="str">
        <f t="shared" si="12"/>
        <v>B</v>
      </c>
      <c r="X24" s="1">
        <f t="shared" si="2"/>
        <v>3</v>
      </c>
      <c r="Y24" s="10">
        <v>2</v>
      </c>
      <c r="Z24" s="1">
        <f t="shared" si="13"/>
        <v>6</v>
      </c>
      <c r="AA24" s="18">
        <v>74.7</v>
      </c>
      <c r="AB24" s="10" t="str">
        <f t="shared" si="14"/>
        <v>B</v>
      </c>
      <c r="AC24" s="1">
        <f t="shared" si="3"/>
        <v>3</v>
      </c>
      <c r="AD24" s="10">
        <v>3</v>
      </c>
      <c r="AE24" s="1">
        <f t="shared" si="15"/>
        <v>9</v>
      </c>
      <c r="AF24" s="12">
        <v>80.625</v>
      </c>
      <c r="AG24" s="10" t="str">
        <f t="shared" si="16"/>
        <v>A</v>
      </c>
      <c r="AH24" s="1">
        <f t="shared" si="4"/>
        <v>4</v>
      </c>
      <c r="AI24" s="10">
        <v>3</v>
      </c>
      <c r="AJ24" s="1">
        <f t="shared" si="17"/>
        <v>12</v>
      </c>
      <c r="AK24" s="10">
        <v>80</v>
      </c>
      <c r="AL24" s="10" t="str">
        <f t="shared" si="18"/>
        <v>A</v>
      </c>
      <c r="AM24" s="1">
        <f t="shared" si="19"/>
        <v>4</v>
      </c>
      <c r="AN24" s="10">
        <v>4</v>
      </c>
      <c r="AO24" s="1">
        <f t="shared" si="20"/>
        <v>16</v>
      </c>
      <c r="AP24" s="19">
        <v>76.75</v>
      </c>
      <c r="AQ24" s="10" t="str">
        <f t="shared" si="21"/>
        <v>B+</v>
      </c>
      <c r="AR24" s="1">
        <f t="shared" si="22"/>
        <v>3.5</v>
      </c>
      <c r="AS24" s="10">
        <v>2</v>
      </c>
      <c r="AT24" s="1">
        <f t="shared" si="23"/>
        <v>7</v>
      </c>
      <c r="AU24" s="7">
        <v>75.849999999999994</v>
      </c>
      <c r="AV24" s="10" t="str">
        <f t="shared" si="24"/>
        <v>B+</v>
      </c>
      <c r="AW24" s="1">
        <f t="shared" si="25"/>
        <v>3.5</v>
      </c>
      <c r="AX24" s="10">
        <v>3</v>
      </c>
      <c r="AY24" s="1">
        <f t="shared" si="26"/>
        <v>10.5</v>
      </c>
      <c r="AZ24" s="6">
        <v>80</v>
      </c>
      <c r="BA24" s="10" t="str">
        <f t="shared" si="27"/>
        <v>A</v>
      </c>
      <c r="BB24" s="1">
        <f t="shared" si="28"/>
        <v>4</v>
      </c>
      <c r="BC24" s="10">
        <v>2</v>
      </c>
      <c r="BD24" s="1">
        <f t="shared" si="29"/>
        <v>8</v>
      </c>
      <c r="BE24" s="18">
        <v>75.63</v>
      </c>
      <c r="BF24" s="10" t="str">
        <f t="shared" si="30"/>
        <v>B+</v>
      </c>
      <c r="BG24" s="1">
        <f t="shared" si="31"/>
        <v>3.5</v>
      </c>
      <c r="BH24" s="10">
        <v>2</v>
      </c>
      <c r="BI24" s="1">
        <f t="shared" si="32"/>
        <v>7</v>
      </c>
      <c r="BJ24" s="10">
        <v>79</v>
      </c>
      <c r="BK24" s="10" t="str">
        <f t="shared" si="33"/>
        <v>B+</v>
      </c>
      <c r="BL24" s="1">
        <f t="shared" si="34"/>
        <v>3.5</v>
      </c>
      <c r="BM24" s="10">
        <v>4</v>
      </c>
      <c r="BN24" s="1">
        <f t="shared" si="35"/>
        <v>14</v>
      </c>
      <c r="BO24" s="10">
        <v>80</v>
      </c>
      <c r="BP24" s="10" t="str">
        <f t="shared" si="36"/>
        <v>A</v>
      </c>
      <c r="BQ24" s="1">
        <f t="shared" si="37"/>
        <v>4</v>
      </c>
      <c r="BR24" s="10">
        <v>4</v>
      </c>
      <c r="BS24" s="1">
        <f t="shared" si="38"/>
        <v>16</v>
      </c>
      <c r="BT24" s="2">
        <v>81</v>
      </c>
      <c r="BU24" s="2">
        <v>22</v>
      </c>
      <c r="BV24" s="2">
        <v>61</v>
      </c>
      <c r="BW24" s="2">
        <v>19</v>
      </c>
      <c r="BX24" s="2">
        <v>77.5</v>
      </c>
      <c r="BY24" s="2">
        <v>21</v>
      </c>
      <c r="BZ24" s="2">
        <v>77</v>
      </c>
      <c r="CA24" s="2">
        <v>21</v>
      </c>
      <c r="CB24" s="2">
        <v>72.5</v>
      </c>
      <c r="CC24" s="2">
        <v>21</v>
      </c>
      <c r="CD24" s="2">
        <v>63.5</v>
      </c>
      <c r="CE24" s="2">
        <v>19</v>
      </c>
      <c r="CF24" s="2">
        <v>62.5</v>
      </c>
      <c r="CG24" s="2">
        <v>17</v>
      </c>
      <c r="CH24" s="2">
        <v>16</v>
      </c>
      <c r="CI24" s="2">
        <v>4</v>
      </c>
      <c r="CJ24" s="2">
        <f t="shared" si="39"/>
        <v>511</v>
      </c>
      <c r="CK24" s="2">
        <f t="shared" si="40"/>
        <v>144</v>
      </c>
      <c r="CL24" s="3">
        <f t="shared" si="41"/>
        <v>3.5486111111111112</v>
      </c>
      <c r="CM24" s="2" t="str">
        <f t="shared" si="42"/>
        <v>Cum Laude</v>
      </c>
      <c r="CN24" s="37" t="str">
        <f t="shared" si="43"/>
        <v>Excellent</v>
      </c>
      <c r="CO24" s="23"/>
    </row>
    <row r="25" spans="1:93" x14ac:dyDescent="0.25">
      <c r="A25" s="2">
        <v>23</v>
      </c>
      <c r="B25" s="22" t="s">
        <v>45</v>
      </c>
      <c r="C25" s="2">
        <v>152111033</v>
      </c>
      <c r="D25" s="10" t="s">
        <v>154</v>
      </c>
      <c r="E25" s="24" t="s">
        <v>155</v>
      </c>
      <c r="F25" s="2"/>
      <c r="G25" s="19">
        <v>76</v>
      </c>
      <c r="H25" s="10" t="str">
        <f t="shared" si="5"/>
        <v>B+</v>
      </c>
      <c r="I25" s="1">
        <f t="shared" si="0"/>
        <v>3.5</v>
      </c>
      <c r="J25" s="10">
        <v>3</v>
      </c>
      <c r="K25" s="1">
        <f t="shared" si="6"/>
        <v>10.5</v>
      </c>
      <c r="L25" s="19">
        <v>77.62</v>
      </c>
      <c r="M25" s="10" t="str">
        <f t="shared" si="7"/>
        <v>B+</v>
      </c>
      <c r="N25" s="1">
        <f t="shared" si="1"/>
        <v>3.5</v>
      </c>
      <c r="O25" s="10">
        <v>4</v>
      </c>
      <c r="P25" s="1">
        <f t="shared" si="8"/>
        <v>14</v>
      </c>
      <c r="Q25" s="7">
        <v>74.25</v>
      </c>
      <c r="R25" s="10" t="str">
        <f t="shared" si="9"/>
        <v>B</v>
      </c>
      <c r="S25" s="1">
        <f t="shared" si="10"/>
        <v>3</v>
      </c>
      <c r="T25" s="10">
        <v>4</v>
      </c>
      <c r="U25" s="1">
        <f t="shared" si="11"/>
        <v>12</v>
      </c>
      <c r="V25" s="6">
        <v>77.650000000000006</v>
      </c>
      <c r="W25" s="10" t="str">
        <f t="shared" si="12"/>
        <v>B+</v>
      </c>
      <c r="X25" s="1">
        <f t="shared" si="2"/>
        <v>3.5</v>
      </c>
      <c r="Y25" s="10">
        <v>2</v>
      </c>
      <c r="Z25" s="1">
        <f t="shared" si="13"/>
        <v>7</v>
      </c>
      <c r="AA25" s="18">
        <v>77.400000000000006</v>
      </c>
      <c r="AB25" s="10" t="str">
        <f t="shared" si="14"/>
        <v>B+</v>
      </c>
      <c r="AC25" s="1">
        <f t="shared" si="3"/>
        <v>3.5</v>
      </c>
      <c r="AD25" s="10">
        <v>3</v>
      </c>
      <c r="AE25" s="1">
        <f t="shared" si="15"/>
        <v>10.5</v>
      </c>
      <c r="AF25" s="12">
        <v>74.174999999999997</v>
      </c>
      <c r="AG25" s="10" t="str">
        <f t="shared" si="16"/>
        <v>B</v>
      </c>
      <c r="AH25" s="1">
        <f t="shared" si="4"/>
        <v>3</v>
      </c>
      <c r="AI25" s="10">
        <v>3</v>
      </c>
      <c r="AJ25" s="1">
        <f t="shared" si="17"/>
        <v>9</v>
      </c>
      <c r="AK25" s="10">
        <v>80.599999999999994</v>
      </c>
      <c r="AL25" s="10" t="str">
        <f t="shared" si="18"/>
        <v>A</v>
      </c>
      <c r="AM25" s="1">
        <f t="shared" si="19"/>
        <v>4</v>
      </c>
      <c r="AN25" s="10">
        <v>4</v>
      </c>
      <c r="AO25" s="1">
        <f t="shared" si="20"/>
        <v>16</v>
      </c>
      <c r="AP25" s="19">
        <v>76.349999999999994</v>
      </c>
      <c r="AQ25" s="10" t="str">
        <f t="shared" si="21"/>
        <v>B+</v>
      </c>
      <c r="AR25" s="1">
        <f t="shared" si="22"/>
        <v>3.5</v>
      </c>
      <c r="AS25" s="10">
        <v>2</v>
      </c>
      <c r="AT25" s="1">
        <f t="shared" si="23"/>
        <v>7</v>
      </c>
      <c r="AU25" s="7">
        <v>79</v>
      </c>
      <c r="AV25" s="10" t="str">
        <f t="shared" si="24"/>
        <v>B+</v>
      </c>
      <c r="AW25" s="1">
        <f t="shared" si="25"/>
        <v>3.5</v>
      </c>
      <c r="AX25" s="10">
        <v>3</v>
      </c>
      <c r="AY25" s="1">
        <f t="shared" si="26"/>
        <v>10.5</v>
      </c>
      <c r="AZ25" s="6">
        <v>80.599999999999994</v>
      </c>
      <c r="BA25" s="10" t="str">
        <f t="shared" si="27"/>
        <v>A</v>
      </c>
      <c r="BB25" s="1">
        <f t="shared" si="28"/>
        <v>4</v>
      </c>
      <c r="BC25" s="10">
        <v>2</v>
      </c>
      <c r="BD25" s="1">
        <f t="shared" si="29"/>
        <v>8</v>
      </c>
      <c r="BE25" s="18">
        <v>72.28</v>
      </c>
      <c r="BF25" s="10" t="str">
        <f t="shared" si="30"/>
        <v>B</v>
      </c>
      <c r="BG25" s="1">
        <f t="shared" si="31"/>
        <v>3</v>
      </c>
      <c r="BH25" s="10">
        <v>2</v>
      </c>
      <c r="BI25" s="1">
        <f t="shared" si="32"/>
        <v>6</v>
      </c>
      <c r="BJ25" s="10">
        <v>76.599999999999994</v>
      </c>
      <c r="BK25" s="10" t="str">
        <f t="shared" si="33"/>
        <v>B+</v>
      </c>
      <c r="BL25" s="1">
        <f t="shared" si="34"/>
        <v>3.5</v>
      </c>
      <c r="BM25" s="10">
        <v>4</v>
      </c>
      <c r="BN25" s="1">
        <f t="shared" si="35"/>
        <v>14</v>
      </c>
      <c r="BO25" s="10">
        <v>82</v>
      </c>
      <c r="BP25" s="10" t="str">
        <f t="shared" si="36"/>
        <v>A</v>
      </c>
      <c r="BQ25" s="1">
        <f t="shared" si="37"/>
        <v>4</v>
      </c>
      <c r="BR25" s="10">
        <v>4</v>
      </c>
      <c r="BS25" s="1">
        <f t="shared" si="38"/>
        <v>16</v>
      </c>
      <c r="BT25" s="2">
        <v>72.5</v>
      </c>
      <c r="BU25" s="2">
        <v>22</v>
      </c>
      <c r="BV25" s="2">
        <v>62</v>
      </c>
      <c r="BW25" s="2">
        <v>19</v>
      </c>
      <c r="BX25" s="2">
        <v>74.5</v>
      </c>
      <c r="BY25" s="2">
        <v>21</v>
      </c>
      <c r="BZ25" s="2">
        <v>78.5</v>
      </c>
      <c r="CA25" s="2">
        <v>21</v>
      </c>
      <c r="CB25" s="2">
        <v>72.5</v>
      </c>
      <c r="CC25" s="2">
        <v>21</v>
      </c>
      <c r="CD25" s="2">
        <v>63</v>
      </c>
      <c r="CE25" s="2">
        <v>19</v>
      </c>
      <c r="CF25" s="2">
        <v>61.5</v>
      </c>
      <c r="CG25" s="2">
        <v>17</v>
      </c>
      <c r="CH25" s="2">
        <v>16</v>
      </c>
      <c r="CI25" s="2">
        <v>4</v>
      </c>
      <c r="CJ25" s="2">
        <f t="shared" si="39"/>
        <v>500.5</v>
      </c>
      <c r="CK25" s="2">
        <f t="shared" si="40"/>
        <v>144</v>
      </c>
      <c r="CL25" s="3">
        <f t="shared" si="41"/>
        <v>3.4756944444444446</v>
      </c>
      <c r="CM25" s="2" t="str">
        <f t="shared" si="42"/>
        <v>Sangat Memuaskan</v>
      </c>
      <c r="CN25" s="37" t="str">
        <f t="shared" si="43"/>
        <v>Highly Satisfactory</v>
      </c>
      <c r="CO25" s="23"/>
    </row>
    <row r="26" spans="1:93" x14ac:dyDescent="0.25">
      <c r="A26" s="2">
        <v>24</v>
      </c>
      <c r="B26" s="23" t="s">
        <v>46</v>
      </c>
      <c r="C26" s="2">
        <v>152111034</v>
      </c>
      <c r="D26" s="10"/>
      <c r="E26" s="24"/>
      <c r="F26" s="2"/>
      <c r="G26" s="19">
        <v>75</v>
      </c>
      <c r="H26" s="10" t="str">
        <f t="shared" si="5"/>
        <v>B+</v>
      </c>
      <c r="I26" s="1">
        <f t="shared" si="0"/>
        <v>3.5</v>
      </c>
      <c r="J26" s="10">
        <v>3</v>
      </c>
      <c r="K26" s="1">
        <f t="shared" si="6"/>
        <v>10.5</v>
      </c>
      <c r="L26" s="19">
        <v>76</v>
      </c>
      <c r="M26" s="10" t="str">
        <f t="shared" si="7"/>
        <v>B+</v>
      </c>
      <c r="N26" s="1">
        <f t="shared" si="1"/>
        <v>3.5</v>
      </c>
      <c r="O26" s="10">
        <v>4</v>
      </c>
      <c r="P26" s="1">
        <f t="shared" si="8"/>
        <v>14</v>
      </c>
      <c r="Q26" s="7">
        <v>74.25</v>
      </c>
      <c r="R26" s="10" t="str">
        <f t="shared" si="9"/>
        <v>B</v>
      </c>
      <c r="S26" s="1">
        <f t="shared" si="10"/>
        <v>3</v>
      </c>
      <c r="T26" s="10">
        <v>4</v>
      </c>
      <c r="U26" s="1">
        <f t="shared" si="11"/>
        <v>12</v>
      </c>
      <c r="V26" s="6">
        <v>77.900000000000006</v>
      </c>
      <c r="W26" s="10" t="str">
        <f t="shared" si="12"/>
        <v>B+</v>
      </c>
      <c r="X26" s="1">
        <f t="shared" si="2"/>
        <v>3.5</v>
      </c>
      <c r="Y26" s="10">
        <v>2</v>
      </c>
      <c r="Z26" s="1">
        <f t="shared" si="13"/>
        <v>7</v>
      </c>
      <c r="AA26" s="18">
        <v>77.55</v>
      </c>
      <c r="AB26" s="10" t="str">
        <f t="shared" si="14"/>
        <v>B+</v>
      </c>
      <c r="AC26" s="1">
        <f t="shared" si="3"/>
        <v>3.5</v>
      </c>
      <c r="AD26" s="10">
        <v>3</v>
      </c>
      <c r="AE26" s="1">
        <f t="shared" si="15"/>
        <v>10.5</v>
      </c>
      <c r="AF26" s="12">
        <v>73.174999999999997</v>
      </c>
      <c r="AG26" s="10" t="str">
        <f t="shared" si="16"/>
        <v>B</v>
      </c>
      <c r="AH26" s="1">
        <f t="shared" si="4"/>
        <v>3</v>
      </c>
      <c r="AI26" s="10">
        <v>3</v>
      </c>
      <c r="AJ26" s="1">
        <f t="shared" si="17"/>
        <v>9</v>
      </c>
      <c r="AK26" s="10">
        <v>77.599999999999994</v>
      </c>
      <c r="AL26" s="10" t="str">
        <f t="shared" si="18"/>
        <v>B+</v>
      </c>
      <c r="AM26" s="1">
        <f t="shared" si="19"/>
        <v>3.5</v>
      </c>
      <c r="AN26" s="10">
        <v>4</v>
      </c>
      <c r="AO26" s="1">
        <f t="shared" si="20"/>
        <v>14</v>
      </c>
      <c r="AP26" s="19">
        <v>73.150000000000006</v>
      </c>
      <c r="AQ26" s="10" t="str">
        <f t="shared" si="21"/>
        <v>B</v>
      </c>
      <c r="AR26" s="1">
        <f t="shared" si="22"/>
        <v>3</v>
      </c>
      <c r="AS26" s="10">
        <v>2</v>
      </c>
      <c r="AT26" s="1">
        <f t="shared" si="23"/>
        <v>6</v>
      </c>
      <c r="AU26" s="7">
        <v>73.98</v>
      </c>
      <c r="AV26" s="10" t="str">
        <f t="shared" si="24"/>
        <v>B</v>
      </c>
      <c r="AW26" s="1">
        <f t="shared" si="25"/>
        <v>3</v>
      </c>
      <c r="AX26" s="10">
        <v>3</v>
      </c>
      <c r="AY26" s="1">
        <f t="shared" si="26"/>
        <v>9</v>
      </c>
      <c r="AZ26" s="6">
        <v>77.599999999999994</v>
      </c>
      <c r="BA26" s="10" t="str">
        <f t="shared" si="27"/>
        <v>B+</v>
      </c>
      <c r="BB26" s="1">
        <f t="shared" si="28"/>
        <v>3.5</v>
      </c>
      <c r="BC26" s="10">
        <v>2</v>
      </c>
      <c r="BD26" s="1">
        <f t="shared" si="29"/>
        <v>7</v>
      </c>
      <c r="BE26" s="18">
        <v>74.55</v>
      </c>
      <c r="BF26" s="10" t="str">
        <f t="shared" si="30"/>
        <v>B</v>
      </c>
      <c r="BG26" s="1">
        <f t="shared" si="31"/>
        <v>3</v>
      </c>
      <c r="BH26" s="10">
        <v>2</v>
      </c>
      <c r="BI26" s="1">
        <f t="shared" si="32"/>
        <v>6</v>
      </c>
      <c r="BJ26" s="10">
        <v>78.349999999999994</v>
      </c>
      <c r="BK26" s="10" t="str">
        <f t="shared" si="33"/>
        <v>B+</v>
      </c>
      <c r="BL26" s="1">
        <f t="shared" si="34"/>
        <v>3.5</v>
      </c>
      <c r="BM26" s="10">
        <v>4</v>
      </c>
      <c r="BN26" s="1">
        <f t="shared" si="35"/>
        <v>14</v>
      </c>
      <c r="BO26" s="10">
        <v>80.5</v>
      </c>
      <c r="BP26" s="10" t="str">
        <f t="shared" si="36"/>
        <v>A</v>
      </c>
      <c r="BQ26" s="1">
        <f t="shared" si="37"/>
        <v>4</v>
      </c>
      <c r="BR26" s="10">
        <v>4</v>
      </c>
      <c r="BS26" s="1">
        <f t="shared" si="38"/>
        <v>16</v>
      </c>
      <c r="BT26" s="2">
        <v>68.5</v>
      </c>
      <c r="BU26" s="2">
        <v>22</v>
      </c>
      <c r="BV26" s="2">
        <v>62.5</v>
      </c>
      <c r="BW26" s="2">
        <v>19</v>
      </c>
      <c r="BX26" s="2">
        <v>73.5</v>
      </c>
      <c r="BY26" s="2">
        <v>21</v>
      </c>
      <c r="BZ26" s="2">
        <v>74.5</v>
      </c>
      <c r="CA26" s="2">
        <v>21</v>
      </c>
      <c r="CB26" s="2">
        <v>68.5</v>
      </c>
      <c r="CC26" s="2">
        <v>21</v>
      </c>
      <c r="CD26" s="2">
        <v>63</v>
      </c>
      <c r="CE26" s="2">
        <v>19</v>
      </c>
      <c r="CF26" s="2">
        <v>56</v>
      </c>
      <c r="CG26" s="2">
        <v>17</v>
      </c>
      <c r="CH26" s="2">
        <v>16</v>
      </c>
      <c r="CI26" s="2">
        <v>4</v>
      </c>
      <c r="CJ26" s="2">
        <f t="shared" si="39"/>
        <v>482.5</v>
      </c>
      <c r="CK26" s="2">
        <f t="shared" si="40"/>
        <v>144</v>
      </c>
      <c r="CL26" s="3">
        <f t="shared" si="41"/>
        <v>3.3506944444444446</v>
      </c>
      <c r="CM26" s="2" t="str">
        <f t="shared" si="42"/>
        <v>Sangat Memuaskan</v>
      </c>
      <c r="CN26" s="37" t="str">
        <f t="shared" si="43"/>
        <v>Highly Satisfactory</v>
      </c>
      <c r="CO26" s="23"/>
    </row>
    <row r="27" spans="1:93" x14ac:dyDescent="0.25">
      <c r="A27" s="2">
        <v>25</v>
      </c>
      <c r="B27" s="23" t="s">
        <v>48</v>
      </c>
      <c r="C27" s="2">
        <v>152111035</v>
      </c>
      <c r="D27" s="10"/>
      <c r="E27" s="24"/>
      <c r="F27" s="2"/>
      <c r="G27" s="19">
        <v>73</v>
      </c>
      <c r="H27" s="10" t="str">
        <f t="shared" si="5"/>
        <v>B</v>
      </c>
      <c r="I27" s="1">
        <f t="shared" si="0"/>
        <v>3</v>
      </c>
      <c r="J27" s="10">
        <v>3</v>
      </c>
      <c r="K27" s="1">
        <f t="shared" si="6"/>
        <v>9</v>
      </c>
      <c r="L27" s="19">
        <v>75.320000000000007</v>
      </c>
      <c r="M27" s="10" t="str">
        <f t="shared" si="7"/>
        <v>B+</v>
      </c>
      <c r="N27" s="1">
        <f t="shared" si="1"/>
        <v>3.5</v>
      </c>
      <c r="O27" s="10">
        <v>4</v>
      </c>
      <c r="P27" s="1">
        <f t="shared" si="8"/>
        <v>14</v>
      </c>
      <c r="Q27" s="7">
        <v>74.25</v>
      </c>
      <c r="R27" s="10" t="str">
        <f t="shared" si="9"/>
        <v>B</v>
      </c>
      <c r="S27" s="1">
        <f t="shared" si="10"/>
        <v>3</v>
      </c>
      <c r="T27" s="10">
        <v>4</v>
      </c>
      <c r="U27" s="1">
        <f t="shared" si="11"/>
        <v>12</v>
      </c>
      <c r="V27" s="6">
        <v>69.25</v>
      </c>
      <c r="W27" s="10" t="str">
        <f t="shared" si="12"/>
        <v>C+</v>
      </c>
      <c r="X27" s="1">
        <f t="shared" si="2"/>
        <v>2.5</v>
      </c>
      <c r="Y27" s="10">
        <v>2</v>
      </c>
      <c r="Z27" s="1">
        <f t="shared" si="13"/>
        <v>5</v>
      </c>
      <c r="AA27" s="18">
        <v>71.11666666666666</v>
      </c>
      <c r="AB27" s="10" t="str">
        <f t="shared" si="14"/>
        <v>B</v>
      </c>
      <c r="AC27" s="1">
        <f t="shared" si="3"/>
        <v>3</v>
      </c>
      <c r="AD27" s="10">
        <v>3</v>
      </c>
      <c r="AE27" s="1">
        <f t="shared" si="15"/>
        <v>9</v>
      </c>
      <c r="AF27" s="12">
        <v>75.224999999999994</v>
      </c>
      <c r="AG27" s="10" t="str">
        <f t="shared" si="16"/>
        <v>B+</v>
      </c>
      <c r="AH27" s="1">
        <f t="shared" si="4"/>
        <v>3.5</v>
      </c>
      <c r="AI27" s="10">
        <v>3</v>
      </c>
      <c r="AJ27" s="1">
        <f t="shared" si="17"/>
        <v>10.5</v>
      </c>
      <c r="AK27" s="10">
        <v>80.8</v>
      </c>
      <c r="AL27" s="10" t="str">
        <f t="shared" si="18"/>
        <v>A</v>
      </c>
      <c r="AM27" s="1">
        <f t="shared" si="19"/>
        <v>4</v>
      </c>
      <c r="AN27" s="10">
        <v>4</v>
      </c>
      <c r="AO27" s="1">
        <f t="shared" si="20"/>
        <v>16</v>
      </c>
      <c r="AP27" s="19">
        <v>76.75</v>
      </c>
      <c r="AQ27" s="10" t="str">
        <f t="shared" si="21"/>
        <v>B+</v>
      </c>
      <c r="AR27" s="1">
        <f t="shared" si="22"/>
        <v>3.5</v>
      </c>
      <c r="AS27" s="10">
        <v>2</v>
      </c>
      <c r="AT27" s="1">
        <f t="shared" si="23"/>
        <v>7</v>
      </c>
      <c r="AU27" s="7">
        <v>75.08</v>
      </c>
      <c r="AV27" s="10" t="str">
        <f t="shared" si="24"/>
        <v>B+</v>
      </c>
      <c r="AW27" s="1">
        <f t="shared" si="25"/>
        <v>3.5</v>
      </c>
      <c r="AX27" s="10">
        <v>3</v>
      </c>
      <c r="AY27" s="1">
        <f t="shared" si="26"/>
        <v>10.5</v>
      </c>
      <c r="AZ27" s="6">
        <v>80.8</v>
      </c>
      <c r="BA27" s="10" t="str">
        <f t="shared" si="27"/>
        <v>A</v>
      </c>
      <c r="BB27" s="1">
        <f t="shared" si="28"/>
        <v>4</v>
      </c>
      <c r="BC27" s="10">
        <v>2</v>
      </c>
      <c r="BD27" s="1">
        <f t="shared" si="29"/>
        <v>8</v>
      </c>
      <c r="BE27" s="18">
        <v>67.849999999999994</v>
      </c>
      <c r="BF27" s="10" t="str">
        <f t="shared" si="30"/>
        <v>C+</v>
      </c>
      <c r="BG27" s="1">
        <f t="shared" si="31"/>
        <v>2.5</v>
      </c>
      <c r="BH27" s="10">
        <v>2</v>
      </c>
      <c r="BI27" s="1">
        <f t="shared" si="32"/>
        <v>5</v>
      </c>
      <c r="BJ27" s="10">
        <v>73.75</v>
      </c>
      <c r="BK27" s="10" t="str">
        <f t="shared" si="33"/>
        <v>B</v>
      </c>
      <c r="BL27" s="1">
        <f t="shared" si="34"/>
        <v>3</v>
      </c>
      <c r="BM27" s="10">
        <v>4</v>
      </c>
      <c r="BN27" s="1">
        <f t="shared" si="35"/>
        <v>12</v>
      </c>
      <c r="BO27" s="10">
        <v>39.299999999999997</v>
      </c>
      <c r="BP27" s="10" t="str">
        <f t="shared" si="36"/>
        <v>E</v>
      </c>
      <c r="BQ27" s="1">
        <f t="shared" si="37"/>
        <v>0</v>
      </c>
      <c r="BR27" s="10">
        <v>4</v>
      </c>
      <c r="BS27" s="1">
        <f t="shared" si="38"/>
        <v>0</v>
      </c>
      <c r="BT27" s="2">
        <v>65.5</v>
      </c>
      <c r="BU27" s="2">
        <v>22</v>
      </c>
      <c r="BV27" s="2">
        <v>64.5</v>
      </c>
      <c r="BW27" s="2">
        <v>19</v>
      </c>
      <c r="BX27" s="2">
        <v>73.5</v>
      </c>
      <c r="BY27" s="2">
        <v>21</v>
      </c>
      <c r="BZ27" s="2">
        <v>75</v>
      </c>
      <c r="CA27" s="2">
        <v>21</v>
      </c>
      <c r="CB27" s="2">
        <v>71</v>
      </c>
      <c r="CC27" s="2">
        <v>21</v>
      </c>
      <c r="CD27" s="2">
        <v>59.5</v>
      </c>
      <c r="CE27" s="2">
        <v>19</v>
      </c>
      <c r="CF27" s="2">
        <v>58.5</v>
      </c>
      <c r="CG27" s="2">
        <v>17</v>
      </c>
      <c r="CH27" s="2">
        <v>0</v>
      </c>
      <c r="CI27" s="2">
        <v>4</v>
      </c>
      <c r="CJ27" s="2">
        <f t="shared" si="39"/>
        <v>467.5</v>
      </c>
      <c r="CK27" s="2">
        <f t="shared" si="40"/>
        <v>144</v>
      </c>
      <c r="CL27" s="3">
        <f t="shared" si="41"/>
        <v>3.2465277777777777</v>
      </c>
      <c r="CM27" s="2" t="str">
        <f t="shared" si="42"/>
        <v>Sangat Memuaskan</v>
      </c>
      <c r="CN27" s="37" t="str">
        <f t="shared" si="43"/>
        <v>Highly Satisfactory</v>
      </c>
      <c r="CO27" s="23"/>
    </row>
    <row r="28" spans="1:93" x14ac:dyDescent="0.25">
      <c r="A28" s="2">
        <v>26</v>
      </c>
      <c r="B28" s="23" t="s">
        <v>49</v>
      </c>
      <c r="C28" s="2">
        <v>152111036</v>
      </c>
      <c r="D28" s="10" t="s">
        <v>135</v>
      </c>
      <c r="E28" s="24" t="s">
        <v>156</v>
      </c>
      <c r="F28" s="2"/>
      <c r="G28" s="19">
        <v>77.8</v>
      </c>
      <c r="H28" s="10" t="str">
        <f t="shared" si="5"/>
        <v>B+</v>
      </c>
      <c r="I28" s="1">
        <f t="shared" si="0"/>
        <v>3.5</v>
      </c>
      <c r="J28" s="10">
        <v>3</v>
      </c>
      <c r="K28" s="1">
        <f t="shared" si="6"/>
        <v>10.5</v>
      </c>
      <c r="L28" s="19">
        <v>77.16</v>
      </c>
      <c r="M28" s="10" t="str">
        <f t="shared" si="7"/>
        <v>B+</v>
      </c>
      <c r="N28" s="1">
        <f t="shared" si="1"/>
        <v>3.5</v>
      </c>
      <c r="O28" s="10">
        <v>4</v>
      </c>
      <c r="P28" s="1">
        <f t="shared" si="8"/>
        <v>14</v>
      </c>
      <c r="Q28" s="7">
        <v>74.25</v>
      </c>
      <c r="R28" s="10" t="str">
        <f t="shared" si="9"/>
        <v>B</v>
      </c>
      <c r="S28" s="1">
        <f t="shared" si="10"/>
        <v>3</v>
      </c>
      <c r="T28" s="10">
        <v>4</v>
      </c>
      <c r="U28" s="1">
        <f t="shared" si="11"/>
        <v>12</v>
      </c>
      <c r="V28" s="6">
        <v>73.699999999999989</v>
      </c>
      <c r="W28" s="10" t="str">
        <f t="shared" si="12"/>
        <v>B</v>
      </c>
      <c r="X28" s="1">
        <f t="shared" si="2"/>
        <v>3</v>
      </c>
      <c r="Y28" s="10">
        <v>2</v>
      </c>
      <c r="Z28" s="1">
        <f t="shared" si="13"/>
        <v>6</v>
      </c>
      <c r="AA28" s="18">
        <v>75.069047619047623</v>
      </c>
      <c r="AB28" s="10" t="str">
        <f t="shared" si="14"/>
        <v>B+</v>
      </c>
      <c r="AC28" s="1">
        <f t="shared" si="3"/>
        <v>3.5</v>
      </c>
      <c r="AD28" s="10">
        <v>3</v>
      </c>
      <c r="AE28" s="1">
        <f t="shared" si="15"/>
        <v>10.5</v>
      </c>
      <c r="AF28" s="12">
        <v>75.025000000000006</v>
      </c>
      <c r="AG28" s="10" t="str">
        <f t="shared" si="16"/>
        <v>B+</v>
      </c>
      <c r="AH28" s="1">
        <f t="shared" si="4"/>
        <v>3.5</v>
      </c>
      <c r="AI28" s="10">
        <v>3</v>
      </c>
      <c r="AJ28" s="1">
        <f t="shared" si="17"/>
        <v>10.5</v>
      </c>
      <c r="AK28" s="10">
        <v>82.4</v>
      </c>
      <c r="AL28" s="10" t="str">
        <f t="shared" si="18"/>
        <v>A</v>
      </c>
      <c r="AM28" s="1">
        <f t="shared" si="19"/>
        <v>4</v>
      </c>
      <c r="AN28" s="10">
        <v>4</v>
      </c>
      <c r="AO28" s="1">
        <f t="shared" si="20"/>
        <v>16</v>
      </c>
      <c r="AP28" s="19">
        <v>81.150000000000006</v>
      </c>
      <c r="AQ28" s="10" t="str">
        <f t="shared" si="21"/>
        <v>A</v>
      </c>
      <c r="AR28" s="1">
        <f t="shared" si="22"/>
        <v>4</v>
      </c>
      <c r="AS28" s="10">
        <v>2</v>
      </c>
      <c r="AT28" s="1">
        <f t="shared" si="23"/>
        <v>8</v>
      </c>
      <c r="AU28" s="7">
        <v>80</v>
      </c>
      <c r="AV28" s="10" t="str">
        <f t="shared" si="24"/>
        <v>A</v>
      </c>
      <c r="AW28" s="1">
        <f t="shared" si="25"/>
        <v>4</v>
      </c>
      <c r="AX28" s="10">
        <v>3</v>
      </c>
      <c r="AY28" s="1">
        <f t="shared" si="26"/>
        <v>12</v>
      </c>
      <c r="AZ28" s="6">
        <v>82.4</v>
      </c>
      <c r="BA28" s="10" t="str">
        <f t="shared" si="27"/>
        <v>A</v>
      </c>
      <c r="BB28" s="1">
        <f t="shared" si="28"/>
        <v>4</v>
      </c>
      <c r="BC28" s="10">
        <v>2</v>
      </c>
      <c r="BD28" s="1">
        <f t="shared" si="29"/>
        <v>8</v>
      </c>
      <c r="BE28" s="18">
        <v>74.930000000000007</v>
      </c>
      <c r="BF28" s="10" t="str">
        <f t="shared" si="30"/>
        <v>B</v>
      </c>
      <c r="BG28" s="1">
        <f t="shared" si="31"/>
        <v>3</v>
      </c>
      <c r="BH28" s="10">
        <v>2</v>
      </c>
      <c r="BI28" s="1">
        <f t="shared" si="32"/>
        <v>6</v>
      </c>
      <c r="BJ28" s="10">
        <v>77.8</v>
      </c>
      <c r="BK28" s="10" t="str">
        <f t="shared" si="33"/>
        <v>B+</v>
      </c>
      <c r="BL28" s="1">
        <f t="shared" si="34"/>
        <v>3.5</v>
      </c>
      <c r="BM28" s="10">
        <v>4</v>
      </c>
      <c r="BN28" s="1">
        <f t="shared" si="35"/>
        <v>14</v>
      </c>
      <c r="BO28" s="10">
        <v>39</v>
      </c>
      <c r="BP28" s="10" t="str">
        <f t="shared" si="36"/>
        <v>E</v>
      </c>
      <c r="BQ28" s="1">
        <f t="shared" si="37"/>
        <v>0</v>
      </c>
      <c r="BR28" s="10">
        <v>4</v>
      </c>
      <c r="BS28" s="1">
        <f t="shared" si="38"/>
        <v>0</v>
      </c>
      <c r="BT28" s="2">
        <v>74.5</v>
      </c>
      <c r="BU28" s="2">
        <v>22</v>
      </c>
      <c r="BV28" s="2">
        <v>64.5</v>
      </c>
      <c r="BW28" s="2">
        <v>19</v>
      </c>
      <c r="BX28" s="2">
        <v>76.5</v>
      </c>
      <c r="BY28" s="2">
        <v>21</v>
      </c>
      <c r="BZ28" s="2">
        <v>82.5</v>
      </c>
      <c r="CA28" s="2">
        <v>21</v>
      </c>
      <c r="CB28" s="2">
        <v>75.5</v>
      </c>
      <c r="CC28" s="2">
        <v>21</v>
      </c>
      <c r="CD28" s="2">
        <v>63.5</v>
      </c>
      <c r="CE28" s="2">
        <v>19</v>
      </c>
      <c r="CF28" s="2">
        <v>64</v>
      </c>
      <c r="CG28" s="2">
        <v>17</v>
      </c>
      <c r="CH28" s="2">
        <v>0</v>
      </c>
      <c r="CI28" s="2">
        <v>4</v>
      </c>
      <c r="CJ28" s="2">
        <f t="shared" si="39"/>
        <v>501</v>
      </c>
      <c r="CK28" s="2">
        <f t="shared" si="40"/>
        <v>144</v>
      </c>
      <c r="CL28" s="3">
        <f t="shared" si="41"/>
        <v>3.4791666666666665</v>
      </c>
      <c r="CM28" s="2" t="str">
        <f t="shared" si="42"/>
        <v>Sangat Memuaskan</v>
      </c>
      <c r="CN28" s="37" t="str">
        <f t="shared" si="43"/>
        <v>Highly Satisfactory</v>
      </c>
      <c r="CO28" s="23"/>
    </row>
    <row r="29" spans="1:93" x14ac:dyDescent="0.25">
      <c r="A29" s="2">
        <v>27</v>
      </c>
      <c r="B29" s="23" t="s">
        <v>50</v>
      </c>
      <c r="C29" s="2">
        <v>152111037</v>
      </c>
      <c r="D29" s="10" t="s">
        <v>135</v>
      </c>
      <c r="E29" s="24" t="s">
        <v>180</v>
      </c>
      <c r="F29" s="2"/>
      <c r="G29" s="19">
        <v>77</v>
      </c>
      <c r="H29" s="10" t="str">
        <f t="shared" si="5"/>
        <v>B+</v>
      </c>
      <c r="I29" s="1">
        <f t="shared" si="0"/>
        <v>3.5</v>
      </c>
      <c r="J29" s="10">
        <v>3</v>
      </c>
      <c r="K29" s="1">
        <f t="shared" si="6"/>
        <v>10.5</v>
      </c>
      <c r="L29" s="19">
        <v>81.86</v>
      </c>
      <c r="M29" s="10" t="str">
        <f t="shared" si="7"/>
        <v>A</v>
      </c>
      <c r="N29" s="1">
        <f t="shared" si="1"/>
        <v>4</v>
      </c>
      <c r="O29" s="10">
        <v>4</v>
      </c>
      <c r="P29" s="1">
        <f t="shared" si="8"/>
        <v>16</v>
      </c>
      <c r="Q29" s="7">
        <v>74.25</v>
      </c>
      <c r="R29" s="10" t="str">
        <f t="shared" si="9"/>
        <v>B</v>
      </c>
      <c r="S29" s="1">
        <f t="shared" si="10"/>
        <v>3</v>
      </c>
      <c r="T29" s="10">
        <v>4</v>
      </c>
      <c r="U29" s="1">
        <f t="shared" si="11"/>
        <v>12</v>
      </c>
      <c r="V29" s="6">
        <v>77.471428571428575</v>
      </c>
      <c r="W29" s="10" t="str">
        <f t="shared" si="12"/>
        <v>B+</v>
      </c>
      <c r="X29" s="1">
        <f t="shared" si="2"/>
        <v>3.5</v>
      </c>
      <c r="Y29" s="10">
        <v>2</v>
      </c>
      <c r="Z29" s="1">
        <f t="shared" si="13"/>
        <v>7</v>
      </c>
      <c r="AA29" s="18">
        <v>78.416666666666671</v>
      </c>
      <c r="AB29" s="10" t="str">
        <f t="shared" si="14"/>
        <v>B+</v>
      </c>
      <c r="AC29" s="1">
        <f t="shared" si="3"/>
        <v>3.5</v>
      </c>
      <c r="AD29" s="10">
        <v>3</v>
      </c>
      <c r="AE29" s="1">
        <f t="shared" si="15"/>
        <v>10.5</v>
      </c>
      <c r="AF29" s="12">
        <v>80.625</v>
      </c>
      <c r="AG29" s="10" t="str">
        <f t="shared" si="16"/>
        <v>A</v>
      </c>
      <c r="AH29" s="1">
        <f t="shared" si="4"/>
        <v>4</v>
      </c>
      <c r="AI29" s="10">
        <v>3</v>
      </c>
      <c r="AJ29" s="1">
        <f t="shared" si="17"/>
        <v>12</v>
      </c>
      <c r="AK29" s="10">
        <v>82.2</v>
      </c>
      <c r="AL29" s="10" t="str">
        <f t="shared" si="18"/>
        <v>A</v>
      </c>
      <c r="AM29" s="1">
        <f t="shared" si="19"/>
        <v>4</v>
      </c>
      <c r="AN29" s="10">
        <v>4</v>
      </c>
      <c r="AO29" s="1">
        <f t="shared" si="20"/>
        <v>16</v>
      </c>
      <c r="AP29" s="19">
        <v>79.150000000000006</v>
      </c>
      <c r="AQ29" s="10" t="str">
        <f t="shared" si="21"/>
        <v>B+</v>
      </c>
      <c r="AR29" s="1">
        <f t="shared" si="22"/>
        <v>3.5</v>
      </c>
      <c r="AS29" s="10">
        <v>2</v>
      </c>
      <c r="AT29" s="1">
        <f t="shared" si="23"/>
        <v>7</v>
      </c>
      <c r="AU29" s="7">
        <v>79</v>
      </c>
      <c r="AV29" s="10" t="str">
        <f t="shared" si="24"/>
        <v>B+</v>
      </c>
      <c r="AW29" s="1">
        <f t="shared" si="25"/>
        <v>3.5</v>
      </c>
      <c r="AX29" s="10">
        <v>3</v>
      </c>
      <c r="AY29" s="1">
        <f t="shared" si="26"/>
        <v>10.5</v>
      </c>
      <c r="AZ29" s="6">
        <v>82.2</v>
      </c>
      <c r="BA29" s="10" t="str">
        <f t="shared" si="27"/>
        <v>A</v>
      </c>
      <c r="BB29" s="1">
        <f t="shared" si="28"/>
        <v>4</v>
      </c>
      <c r="BC29" s="10">
        <v>2</v>
      </c>
      <c r="BD29" s="1">
        <f t="shared" si="29"/>
        <v>8</v>
      </c>
      <c r="BE29" s="18">
        <v>79.48</v>
      </c>
      <c r="BF29" s="10" t="str">
        <f t="shared" si="30"/>
        <v>B+</v>
      </c>
      <c r="BG29" s="1">
        <f t="shared" si="31"/>
        <v>3.5</v>
      </c>
      <c r="BH29" s="10">
        <v>2</v>
      </c>
      <c r="BI29" s="1">
        <f t="shared" si="32"/>
        <v>7</v>
      </c>
      <c r="BJ29" s="10">
        <v>75</v>
      </c>
      <c r="BK29" s="10" t="str">
        <f t="shared" si="33"/>
        <v>B+</v>
      </c>
      <c r="BL29" s="1">
        <f t="shared" si="34"/>
        <v>3.5</v>
      </c>
      <c r="BM29" s="10">
        <v>4</v>
      </c>
      <c r="BN29" s="1">
        <f t="shared" si="35"/>
        <v>14</v>
      </c>
      <c r="BO29" s="10">
        <v>79</v>
      </c>
      <c r="BP29" s="10" t="str">
        <f t="shared" si="36"/>
        <v>B+</v>
      </c>
      <c r="BQ29" s="1">
        <f t="shared" si="37"/>
        <v>3.5</v>
      </c>
      <c r="BR29" s="10">
        <v>4</v>
      </c>
      <c r="BS29" s="1">
        <f t="shared" si="38"/>
        <v>14</v>
      </c>
      <c r="BT29" s="2">
        <v>75</v>
      </c>
      <c r="BU29" s="2">
        <v>22</v>
      </c>
      <c r="BV29" s="2">
        <v>67.5</v>
      </c>
      <c r="BW29" s="2">
        <v>19</v>
      </c>
      <c r="BX29" s="2">
        <v>75.5</v>
      </c>
      <c r="BY29" s="2">
        <v>21</v>
      </c>
      <c r="BZ29" s="2">
        <v>77.5</v>
      </c>
      <c r="CA29" s="2">
        <v>21</v>
      </c>
      <c r="CB29" s="2">
        <v>74</v>
      </c>
      <c r="CC29" s="2">
        <v>21</v>
      </c>
      <c r="CD29" s="2">
        <v>68</v>
      </c>
      <c r="CE29" s="2">
        <v>19</v>
      </c>
      <c r="CF29" s="2">
        <v>62.5</v>
      </c>
      <c r="CG29" s="2">
        <v>17</v>
      </c>
      <c r="CH29" s="2">
        <v>14</v>
      </c>
      <c r="CI29" s="2">
        <v>4</v>
      </c>
      <c r="CJ29" s="2">
        <f t="shared" si="39"/>
        <v>514</v>
      </c>
      <c r="CK29" s="2">
        <f t="shared" si="40"/>
        <v>144</v>
      </c>
      <c r="CL29" s="3">
        <f t="shared" si="41"/>
        <v>3.5694444444444446</v>
      </c>
      <c r="CM29" s="2" t="str">
        <f t="shared" si="42"/>
        <v>Cum Laude</v>
      </c>
      <c r="CN29" s="37" t="str">
        <f t="shared" si="43"/>
        <v>Excellent</v>
      </c>
      <c r="CO29" s="23"/>
    </row>
    <row r="30" spans="1:93" x14ac:dyDescent="0.25">
      <c r="A30" s="2">
        <v>28</v>
      </c>
      <c r="B30" s="23" t="s">
        <v>51</v>
      </c>
      <c r="C30" s="2">
        <v>152111038</v>
      </c>
      <c r="D30" s="10" t="s">
        <v>172</v>
      </c>
      <c r="E30" s="24" t="s">
        <v>173</v>
      </c>
      <c r="F30" s="2"/>
      <c r="G30" s="19">
        <v>75</v>
      </c>
      <c r="H30" s="10" t="str">
        <f t="shared" si="5"/>
        <v>B+</v>
      </c>
      <c r="I30" s="1">
        <f t="shared" si="0"/>
        <v>3.5</v>
      </c>
      <c r="J30" s="10">
        <v>3</v>
      </c>
      <c r="K30" s="1">
        <f t="shared" si="6"/>
        <v>10.5</v>
      </c>
      <c r="L30" s="19">
        <v>76.12</v>
      </c>
      <c r="M30" s="10" t="str">
        <f t="shared" si="7"/>
        <v>B+</v>
      </c>
      <c r="N30" s="1">
        <f t="shared" si="1"/>
        <v>3.5</v>
      </c>
      <c r="O30" s="10">
        <v>4</v>
      </c>
      <c r="P30" s="1">
        <f t="shared" si="8"/>
        <v>14</v>
      </c>
      <c r="Q30" s="7">
        <v>74.25</v>
      </c>
      <c r="R30" s="10" t="str">
        <f t="shared" si="9"/>
        <v>B</v>
      </c>
      <c r="S30" s="1">
        <f t="shared" si="10"/>
        <v>3</v>
      </c>
      <c r="T30" s="10">
        <v>4</v>
      </c>
      <c r="U30" s="1">
        <f t="shared" si="11"/>
        <v>12</v>
      </c>
      <c r="V30" s="6">
        <v>78.099999999999994</v>
      </c>
      <c r="W30" s="10" t="str">
        <f t="shared" si="12"/>
        <v>B+</v>
      </c>
      <c r="X30" s="1">
        <f t="shared" si="2"/>
        <v>3.5</v>
      </c>
      <c r="Y30" s="10">
        <v>2</v>
      </c>
      <c r="Z30" s="1">
        <f t="shared" si="13"/>
        <v>7</v>
      </c>
      <c r="AA30" s="18">
        <v>71.783333333333331</v>
      </c>
      <c r="AB30" s="10" t="str">
        <f t="shared" si="14"/>
        <v>B</v>
      </c>
      <c r="AC30" s="1">
        <f t="shared" si="3"/>
        <v>3</v>
      </c>
      <c r="AD30" s="10">
        <v>3</v>
      </c>
      <c r="AE30" s="1">
        <f t="shared" si="15"/>
        <v>9</v>
      </c>
      <c r="AF30" s="12">
        <v>80.424999999999997</v>
      </c>
      <c r="AG30" s="10" t="str">
        <f t="shared" si="16"/>
        <v>A</v>
      </c>
      <c r="AH30" s="1">
        <f t="shared" si="4"/>
        <v>4</v>
      </c>
      <c r="AI30" s="10">
        <v>3</v>
      </c>
      <c r="AJ30" s="1">
        <f t="shared" si="17"/>
        <v>12</v>
      </c>
      <c r="AK30" s="10">
        <v>76</v>
      </c>
      <c r="AL30" s="10" t="str">
        <f t="shared" si="18"/>
        <v>B+</v>
      </c>
      <c r="AM30" s="1">
        <f t="shared" si="19"/>
        <v>3.5</v>
      </c>
      <c r="AN30" s="10">
        <v>4</v>
      </c>
      <c r="AO30" s="1">
        <f t="shared" si="20"/>
        <v>14</v>
      </c>
      <c r="AP30" s="19">
        <v>80.349999999999994</v>
      </c>
      <c r="AQ30" s="10" t="str">
        <f t="shared" si="21"/>
        <v>A</v>
      </c>
      <c r="AR30" s="1">
        <f t="shared" si="22"/>
        <v>4</v>
      </c>
      <c r="AS30" s="10">
        <v>2</v>
      </c>
      <c r="AT30" s="1">
        <f t="shared" si="23"/>
        <v>8</v>
      </c>
      <c r="AU30" s="7">
        <v>78.75</v>
      </c>
      <c r="AV30" s="10" t="str">
        <f t="shared" si="24"/>
        <v>B+</v>
      </c>
      <c r="AW30" s="1">
        <f t="shared" si="25"/>
        <v>3.5</v>
      </c>
      <c r="AX30" s="10">
        <v>3</v>
      </c>
      <c r="AY30" s="1">
        <f t="shared" si="26"/>
        <v>10.5</v>
      </c>
      <c r="AZ30" s="6">
        <v>76</v>
      </c>
      <c r="BA30" s="10" t="str">
        <f t="shared" si="27"/>
        <v>B+</v>
      </c>
      <c r="BB30" s="1">
        <f t="shared" si="28"/>
        <v>3.5</v>
      </c>
      <c r="BC30" s="10">
        <v>2</v>
      </c>
      <c r="BD30" s="1">
        <f t="shared" si="29"/>
        <v>7</v>
      </c>
      <c r="BE30" s="18">
        <v>76.38</v>
      </c>
      <c r="BF30" s="10" t="str">
        <f t="shared" si="30"/>
        <v>B+</v>
      </c>
      <c r="BG30" s="1">
        <f t="shared" si="31"/>
        <v>3.5</v>
      </c>
      <c r="BH30" s="10">
        <v>2</v>
      </c>
      <c r="BI30" s="1">
        <f t="shared" si="32"/>
        <v>7</v>
      </c>
      <c r="BJ30" s="10">
        <v>74.599999999999994</v>
      </c>
      <c r="BK30" s="10" t="str">
        <f t="shared" si="33"/>
        <v>B</v>
      </c>
      <c r="BL30" s="1">
        <f t="shared" si="34"/>
        <v>3</v>
      </c>
      <c r="BM30" s="10">
        <v>4</v>
      </c>
      <c r="BN30" s="1">
        <f t="shared" si="35"/>
        <v>12</v>
      </c>
      <c r="BO30" s="10">
        <v>81.7</v>
      </c>
      <c r="BP30" s="10" t="str">
        <f t="shared" si="36"/>
        <v>A</v>
      </c>
      <c r="BQ30" s="1">
        <f t="shared" si="37"/>
        <v>4</v>
      </c>
      <c r="BR30" s="10">
        <v>4</v>
      </c>
      <c r="BS30" s="1">
        <f t="shared" si="38"/>
        <v>16</v>
      </c>
      <c r="BT30" s="2">
        <v>66.5</v>
      </c>
      <c r="BU30" s="2">
        <v>22</v>
      </c>
      <c r="BV30" s="2">
        <v>63.5</v>
      </c>
      <c r="BW30" s="2">
        <v>19</v>
      </c>
      <c r="BX30" s="2">
        <v>74.5</v>
      </c>
      <c r="BY30" s="2">
        <v>21</v>
      </c>
      <c r="BZ30" s="2">
        <v>73.5</v>
      </c>
      <c r="CA30" s="2">
        <v>21</v>
      </c>
      <c r="CB30" s="2">
        <v>74</v>
      </c>
      <c r="CC30" s="2">
        <v>21</v>
      </c>
      <c r="CD30" s="2">
        <v>64.5</v>
      </c>
      <c r="CE30" s="2">
        <v>19</v>
      </c>
      <c r="CF30" s="2">
        <v>58.5</v>
      </c>
      <c r="CG30" s="2">
        <v>17</v>
      </c>
      <c r="CH30" s="2">
        <v>16</v>
      </c>
      <c r="CI30" s="2">
        <v>4</v>
      </c>
      <c r="CJ30" s="2">
        <f t="shared" si="39"/>
        <v>491</v>
      </c>
      <c r="CK30" s="2">
        <f t="shared" si="40"/>
        <v>144</v>
      </c>
      <c r="CL30" s="3">
        <f t="shared" si="41"/>
        <v>3.4097222222222223</v>
      </c>
      <c r="CM30" s="2" t="str">
        <f t="shared" si="42"/>
        <v>Sangat Memuaskan</v>
      </c>
      <c r="CN30" s="37" t="str">
        <f t="shared" si="43"/>
        <v>Highly Satisfactory</v>
      </c>
      <c r="CO30" s="23"/>
    </row>
    <row r="31" spans="1:93" x14ac:dyDescent="0.25">
      <c r="A31" s="2">
        <v>29</v>
      </c>
      <c r="B31" s="23" t="s">
        <v>52</v>
      </c>
      <c r="C31" s="2">
        <v>152111039</v>
      </c>
      <c r="D31" s="10"/>
      <c r="E31" s="24"/>
      <c r="F31" s="2"/>
      <c r="G31" s="19">
        <v>75.2</v>
      </c>
      <c r="H31" s="10" t="str">
        <f t="shared" si="5"/>
        <v>B+</v>
      </c>
      <c r="I31" s="1">
        <f t="shared" si="0"/>
        <v>3.5</v>
      </c>
      <c r="J31" s="10">
        <v>3</v>
      </c>
      <c r="K31" s="1">
        <f t="shared" si="6"/>
        <v>10.5</v>
      </c>
      <c r="L31" s="19">
        <v>78.180000000000007</v>
      </c>
      <c r="M31" s="10" t="str">
        <f t="shared" si="7"/>
        <v>B+</v>
      </c>
      <c r="N31" s="1">
        <f t="shared" si="1"/>
        <v>3.5</v>
      </c>
      <c r="O31" s="10">
        <v>4</v>
      </c>
      <c r="P31" s="1">
        <f t="shared" si="8"/>
        <v>14</v>
      </c>
      <c r="Q31" s="7">
        <v>74.25</v>
      </c>
      <c r="R31" s="10" t="str">
        <f t="shared" si="9"/>
        <v>B</v>
      </c>
      <c r="S31" s="1">
        <f t="shared" si="10"/>
        <v>3</v>
      </c>
      <c r="T31" s="10">
        <v>4</v>
      </c>
      <c r="U31" s="1">
        <f t="shared" si="11"/>
        <v>12</v>
      </c>
      <c r="V31" s="6">
        <v>74.349999999999994</v>
      </c>
      <c r="W31" s="10" t="str">
        <f t="shared" si="12"/>
        <v>B</v>
      </c>
      <c r="X31" s="1">
        <f t="shared" si="2"/>
        <v>3</v>
      </c>
      <c r="Y31" s="10">
        <v>2</v>
      </c>
      <c r="Z31" s="1">
        <f t="shared" si="13"/>
        <v>6</v>
      </c>
      <c r="AA31" s="18">
        <v>68.783333333333331</v>
      </c>
      <c r="AB31" s="10" t="str">
        <f t="shared" si="14"/>
        <v>C+</v>
      </c>
      <c r="AC31" s="1">
        <f t="shared" si="3"/>
        <v>2.5</v>
      </c>
      <c r="AD31" s="10">
        <v>3</v>
      </c>
      <c r="AE31" s="1">
        <f t="shared" si="15"/>
        <v>7.5</v>
      </c>
      <c r="AF31" s="12">
        <v>70.174999999999997</v>
      </c>
      <c r="AG31" s="10" t="str">
        <f t="shared" si="16"/>
        <v>B</v>
      </c>
      <c r="AH31" s="1">
        <f t="shared" si="4"/>
        <v>3</v>
      </c>
      <c r="AI31" s="10">
        <v>3</v>
      </c>
      <c r="AJ31" s="1">
        <f t="shared" si="17"/>
        <v>9</v>
      </c>
      <c r="AK31" s="10">
        <v>84.8</v>
      </c>
      <c r="AL31" s="10" t="str">
        <f t="shared" si="18"/>
        <v>A</v>
      </c>
      <c r="AM31" s="1">
        <f t="shared" si="19"/>
        <v>4</v>
      </c>
      <c r="AN31" s="10">
        <v>4</v>
      </c>
      <c r="AO31" s="1">
        <f t="shared" si="20"/>
        <v>16</v>
      </c>
      <c r="AP31" s="19">
        <v>75.75</v>
      </c>
      <c r="AQ31" s="10" t="str">
        <f t="shared" si="21"/>
        <v>B+</v>
      </c>
      <c r="AR31" s="1">
        <f t="shared" si="22"/>
        <v>3.5</v>
      </c>
      <c r="AS31" s="10">
        <v>2</v>
      </c>
      <c r="AT31" s="1">
        <f t="shared" si="23"/>
        <v>7</v>
      </c>
      <c r="AU31" s="7">
        <v>74.83</v>
      </c>
      <c r="AV31" s="10" t="str">
        <f t="shared" si="24"/>
        <v>B</v>
      </c>
      <c r="AW31" s="1">
        <f t="shared" si="25"/>
        <v>3</v>
      </c>
      <c r="AX31" s="10">
        <v>3</v>
      </c>
      <c r="AY31" s="1">
        <f t="shared" si="26"/>
        <v>9</v>
      </c>
      <c r="AZ31" s="6">
        <v>84.8</v>
      </c>
      <c r="BA31" s="10" t="str">
        <f t="shared" si="27"/>
        <v>A</v>
      </c>
      <c r="BB31" s="1">
        <f t="shared" si="28"/>
        <v>4</v>
      </c>
      <c r="BC31" s="10">
        <v>2</v>
      </c>
      <c r="BD31" s="1">
        <f t="shared" si="29"/>
        <v>8</v>
      </c>
      <c r="BE31" s="18">
        <v>69.05</v>
      </c>
      <c r="BF31" s="10" t="str">
        <f t="shared" si="30"/>
        <v>C+</v>
      </c>
      <c r="BG31" s="1">
        <f t="shared" si="31"/>
        <v>2.5</v>
      </c>
      <c r="BH31" s="10">
        <v>2</v>
      </c>
      <c r="BI31" s="1">
        <f t="shared" si="32"/>
        <v>5</v>
      </c>
      <c r="BJ31" s="10">
        <v>71.150000000000006</v>
      </c>
      <c r="BK31" s="10" t="str">
        <f t="shared" si="33"/>
        <v>B</v>
      </c>
      <c r="BL31" s="1">
        <f t="shared" si="34"/>
        <v>3</v>
      </c>
      <c r="BM31" s="10">
        <v>4</v>
      </c>
      <c r="BN31" s="1">
        <f t="shared" si="35"/>
        <v>12</v>
      </c>
      <c r="BO31" s="10">
        <v>0</v>
      </c>
      <c r="BP31" s="10" t="str">
        <f t="shared" si="36"/>
        <v>E</v>
      </c>
      <c r="BQ31" s="1">
        <f t="shared" si="37"/>
        <v>0</v>
      </c>
      <c r="BR31" s="10">
        <v>4</v>
      </c>
      <c r="BS31" s="1">
        <f t="shared" si="38"/>
        <v>0</v>
      </c>
      <c r="BT31" s="2">
        <v>70</v>
      </c>
      <c r="BU31" s="2">
        <v>22</v>
      </c>
      <c r="BV31" s="2">
        <v>53.5</v>
      </c>
      <c r="BW31" s="2">
        <v>19</v>
      </c>
      <c r="BX31" s="2">
        <v>74</v>
      </c>
      <c r="BY31" s="2">
        <v>21</v>
      </c>
      <c r="BZ31" s="2">
        <v>75</v>
      </c>
      <c r="CA31" s="2">
        <v>21</v>
      </c>
      <c r="CB31" s="2">
        <v>66</v>
      </c>
      <c r="CC31" s="2">
        <v>21</v>
      </c>
      <c r="CD31" s="2">
        <v>59</v>
      </c>
      <c r="CE31" s="2">
        <v>19</v>
      </c>
      <c r="CF31" s="2">
        <v>57</v>
      </c>
      <c r="CG31" s="2">
        <v>17</v>
      </c>
      <c r="CH31" s="2">
        <v>0</v>
      </c>
      <c r="CI31" s="2">
        <v>4</v>
      </c>
      <c r="CJ31" s="2">
        <f t="shared" si="39"/>
        <v>454.5</v>
      </c>
      <c r="CK31" s="2">
        <f t="shared" si="40"/>
        <v>144</v>
      </c>
      <c r="CL31" s="3">
        <f t="shared" si="41"/>
        <v>3.15625</v>
      </c>
      <c r="CM31" s="2" t="str">
        <f t="shared" si="42"/>
        <v>Sangat Memuaskan</v>
      </c>
      <c r="CN31" s="37" t="str">
        <f t="shared" si="43"/>
        <v>Highly Satisfactory</v>
      </c>
      <c r="CO31" s="23"/>
    </row>
    <row r="32" spans="1:93" x14ac:dyDescent="0.25">
      <c r="A32" s="2">
        <v>30</v>
      </c>
      <c r="B32" s="23" t="s">
        <v>53</v>
      </c>
      <c r="C32" s="2">
        <v>152111040</v>
      </c>
      <c r="D32" s="10" t="s">
        <v>146</v>
      </c>
      <c r="E32" s="24" t="s">
        <v>179</v>
      </c>
      <c r="F32" s="2"/>
      <c r="G32" s="19">
        <v>75</v>
      </c>
      <c r="H32" s="10" t="str">
        <f t="shared" si="5"/>
        <v>B+</v>
      </c>
      <c r="I32" s="1">
        <f t="shared" si="0"/>
        <v>3.5</v>
      </c>
      <c r="J32" s="10">
        <v>3</v>
      </c>
      <c r="K32" s="1">
        <f t="shared" si="6"/>
        <v>10.5</v>
      </c>
      <c r="L32" s="19">
        <v>73.8</v>
      </c>
      <c r="M32" s="10" t="str">
        <f t="shared" si="7"/>
        <v>B</v>
      </c>
      <c r="N32" s="1">
        <f t="shared" si="1"/>
        <v>3</v>
      </c>
      <c r="O32" s="10">
        <v>4</v>
      </c>
      <c r="P32" s="1">
        <f t="shared" si="8"/>
        <v>12</v>
      </c>
      <c r="Q32" s="7">
        <v>74.25</v>
      </c>
      <c r="R32" s="10" t="str">
        <f t="shared" si="9"/>
        <v>B</v>
      </c>
      <c r="S32" s="1">
        <f t="shared" si="10"/>
        <v>3</v>
      </c>
      <c r="T32" s="10">
        <v>4</v>
      </c>
      <c r="U32" s="1">
        <f t="shared" si="11"/>
        <v>12</v>
      </c>
      <c r="V32" s="8">
        <v>78.800000000000011</v>
      </c>
      <c r="W32" s="10" t="str">
        <f t="shared" si="12"/>
        <v>B+</v>
      </c>
      <c r="X32" s="1">
        <f t="shared" si="2"/>
        <v>3.5</v>
      </c>
      <c r="Y32" s="10">
        <v>2</v>
      </c>
      <c r="Z32" s="1">
        <f t="shared" si="13"/>
        <v>7</v>
      </c>
      <c r="AA32" s="18">
        <v>74.466666666666669</v>
      </c>
      <c r="AB32" s="10" t="str">
        <f t="shared" si="14"/>
        <v>B</v>
      </c>
      <c r="AC32" s="1">
        <f t="shared" si="3"/>
        <v>3</v>
      </c>
      <c r="AD32" s="10">
        <v>3</v>
      </c>
      <c r="AE32" s="1">
        <f t="shared" si="15"/>
        <v>9</v>
      </c>
      <c r="AF32" s="12">
        <v>81.625</v>
      </c>
      <c r="AG32" s="10" t="str">
        <f t="shared" si="16"/>
        <v>A</v>
      </c>
      <c r="AH32" s="1">
        <f t="shared" si="4"/>
        <v>4</v>
      </c>
      <c r="AI32" s="10">
        <v>3</v>
      </c>
      <c r="AJ32" s="1">
        <f t="shared" si="17"/>
        <v>12</v>
      </c>
      <c r="AK32" s="10">
        <v>77</v>
      </c>
      <c r="AL32" s="10" t="str">
        <f t="shared" si="18"/>
        <v>B+</v>
      </c>
      <c r="AM32" s="1">
        <f t="shared" si="19"/>
        <v>3.5</v>
      </c>
      <c r="AN32" s="10">
        <v>4</v>
      </c>
      <c r="AO32" s="1">
        <f t="shared" si="20"/>
        <v>14</v>
      </c>
      <c r="AP32" s="19">
        <v>81.95</v>
      </c>
      <c r="AQ32" s="10" t="str">
        <f t="shared" si="21"/>
        <v>A</v>
      </c>
      <c r="AR32" s="1">
        <f t="shared" si="22"/>
        <v>4</v>
      </c>
      <c r="AS32" s="10">
        <v>2</v>
      </c>
      <c r="AT32" s="1">
        <f t="shared" si="23"/>
        <v>8</v>
      </c>
      <c r="AU32" s="7">
        <v>76.5</v>
      </c>
      <c r="AV32" s="10" t="str">
        <f t="shared" si="24"/>
        <v>B+</v>
      </c>
      <c r="AW32" s="1">
        <f t="shared" si="25"/>
        <v>3.5</v>
      </c>
      <c r="AX32" s="10">
        <v>3</v>
      </c>
      <c r="AY32" s="1">
        <f t="shared" si="26"/>
        <v>10.5</v>
      </c>
      <c r="AZ32" s="8">
        <v>77</v>
      </c>
      <c r="BA32" s="10" t="str">
        <f t="shared" si="27"/>
        <v>B+</v>
      </c>
      <c r="BB32" s="1">
        <f t="shared" si="28"/>
        <v>3.5</v>
      </c>
      <c r="BC32" s="10">
        <v>2</v>
      </c>
      <c r="BD32" s="1">
        <f t="shared" si="29"/>
        <v>7</v>
      </c>
      <c r="BE32" s="18">
        <v>75.88</v>
      </c>
      <c r="BF32" s="10" t="str">
        <f t="shared" si="30"/>
        <v>B+</v>
      </c>
      <c r="BG32" s="1">
        <f t="shared" si="31"/>
        <v>3.5</v>
      </c>
      <c r="BH32" s="10">
        <v>2</v>
      </c>
      <c r="BI32" s="1">
        <f t="shared" si="32"/>
        <v>7</v>
      </c>
      <c r="BJ32" s="10">
        <v>76.400000000000006</v>
      </c>
      <c r="BK32" s="10" t="str">
        <f t="shared" si="33"/>
        <v>B+</v>
      </c>
      <c r="BL32" s="1">
        <f t="shared" si="34"/>
        <v>3.5</v>
      </c>
      <c r="BM32" s="10">
        <v>4</v>
      </c>
      <c r="BN32" s="1">
        <f t="shared" si="35"/>
        <v>14</v>
      </c>
      <c r="BO32" s="10">
        <v>79</v>
      </c>
      <c r="BP32" s="10" t="str">
        <f t="shared" si="36"/>
        <v>B+</v>
      </c>
      <c r="BQ32" s="1">
        <f t="shared" si="37"/>
        <v>3.5</v>
      </c>
      <c r="BR32" s="10">
        <v>4</v>
      </c>
      <c r="BS32" s="1">
        <f t="shared" si="38"/>
        <v>14</v>
      </c>
      <c r="BT32" s="2">
        <v>65.5</v>
      </c>
      <c r="BU32" s="2">
        <v>22</v>
      </c>
      <c r="BV32" s="2">
        <v>61.5</v>
      </c>
      <c r="BW32" s="2">
        <v>19</v>
      </c>
      <c r="BX32" s="2">
        <v>67.5</v>
      </c>
      <c r="BY32" s="2">
        <v>21</v>
      </c>
      <c r="BZ32" s="2">
        <v>73</v>
      </c>
      <c r="CA32" s="2">
        <v>21</v>
      </c>
      <c r="CB32" s="2">
        <v>74</v>
      </c>
      <c r="CC32" s="2">
        <v>21</v>
      </c>
      <c r="CD32" s="2">
        <v>62.5</v>
      </c>
      <c r="CE32" s="2">
        <v>19</v>
      </c>
      <c r="CF32" s="2">
        <v>60.5</v>
      </c>
      <c r="CG32" s="2">
        <v>17</v>
      </c>
      <c r="CH32" s="2">
        <v>14</v>
      </c>
      <c r="CI32" s="2">
        <v>4</v>
      </c>
      <c r="CJ32" s="2">
        <f t="shared" si="39"/>
        <v>478.5</v>
      </c>
      <c r="CK32" s="2">
        <f t="shared" si="40"/>
        <v>144</v>
      </c>
      <c r="CL32" s="3">
        <f t="shared" si="41"/>
        <v>3.3229166666666665</v>
      </c>
      <c r="CM32" s="2" t="str">
        <f t="shared" si="42"/>
        <v>Sangat Memuaskan</v>
      </c>
      <c r="CN32" s="37" t="str">
        <f t="shared" si="43"/>
        <v>Highly Satisfactory</v>
      </c>
      <c r="CO32" s="23"/>
    </row>
    <row r="33" spans="1:93" x14ac:dyDescent="0.25">
      <c r="A33" s="2">
        <v>31</v>
      </c>
      <c r="B33" s="23" t="s">
        <v>54</v>
      </c>
      <c r="C33" s="2">
        <v>152111042</v>
      </c>
      <c r="D33" s="10" t="s">
        <v>146</v>
      </c>
      <c r="E33" s="24" t="s">
        <v>174</v>
      </c>
      <c r="F33" s="2"/>
      <c r="G33" s="19">
        <v>80.2</v>
      </c>
      <c r="H33" s="10" t="str">
        <f t="shared" si="5"/>
        <v>A</v>
      </c>
      <c r="I33" s="1">
        <f t="shared" si="0"/>
        <v>4</v>
      </c>
      <c r="J33" s="10">
        <v>3</v>
      </c>
      <c r="K33" s="1">
        <f t="shared" si="6"/>
        <v>12</v>
      </c>
      <c r="L33" s="19">
        <v>75.2</v>
      </c>
      <c r="M33" s="10" t="str">
        <f t="shared" si="7"/>
        <v>B+</v>
      </c>
      <c r="N33" s="1">
        <f t="shared" si="1"/>
        <v>3.5</v>
      </c>
      <c r="O33" s="10">
        <v>4</v>
      </c>
      <c r="P33" s="1">
        <f t="shared" si="8"/>
        <v>14</v>
      </c>
      <c r="Q33" s="7">
        <v>75.5</v>
      </c>
      <c r="R33" s="10" t="str">
        <f t="shared" si="9"/>
        <v>B+</v>
      </c>
      <c r="S33" s="1">
        <f t="shared" si="10"/>
        <v>3.5</v>
      </c>
      <c r="T33" s="10">
        <v>4</v>
      </c>
      <c r="U33" s="1">
        <f t="shared" si="11"/>
        <v>14</v>
      </c>
      <c r="V33" s="8">
        <v>73.175000000000011</v>
      </c>
      <c r="W33" s="10" t="str">
        <f t="shared" si="12"/>
        <v>B</v>
      </c>
      <c r="X33" s="1">
        <f t="shared" si="2"/>
        <v>3</v>
      </c>
      <c r="Y33" s="10">
        <v>2</v>
      </c>
      <c r="Z33" s="1">
        <f t="shared" si="13"/>
        <v>6</v>
      </c>
      <c r="AA33" s="18">
        <v>71.45</v>
      </c>
      <c r="AB33" s="10" t="str">
        <f t="shared" si="14"/>
        <v>B</v>
      </c>
      <c r="AC33" s="1">
        <f t="shared" si="3"/>
        <v>3</v>
      </c>
      <c r="AD33" s="10">
        <v>3</v>
      </c>
      <c r="AE33" s="1">
        <f t="shared" si="15"/>
        <v>9</v>
      </c>
      <c r="AF33" s="12">
        <v>79.375</v>
      </c>
      <c r="AG33" s="10" t="str">
        <f t="shared" si="16"/>
        <v>B+</v>
      </c>
      <c r="AH33" s="1">
        <f t="shared" si="4"/>
        <v>3.5</v>
      </c>
      <c r="AI33" s="10">
        <v>3</v>
      </c>
      <c r="AJ33" s="1">
        <f t="shared" si="17"/>
        <v>10.5</v>
      </c>
      <c r="AK33" s="10">
        <v>79</v>
      </c>
      <c r="AL33" s="10" t="str">
        <f t="shared" si="18"/>
        <v>B+</v>
      </c>
      <c r="AM33" s="1">
        <f t="shared" si="19"/>
        <v>3.5</v>
      </c>
      <c r="AN33" s="10">
        <v>4</v>
      </c>
      <c r="AO33" s="1">
        <f t="shared" si="20"/>
        <v>14</v>
      </c>
      <c r="AP33" s="19">
        <v>76.75</v>
      </c>
      <c r="AQ33" s="10" t="str">
        <f t="shared" si="21"/>
        <v>B+</v>
      </c>
      <c r="AR33" s="1">
        <f t="shared" si="22"/>
        <v>3.5</v>
      </c>
      <c r="AS33" s="10">
        <v>2</v>
      </c>
      <c r="AT33" s="1">
        <f t="shared" si="23"/>
        <v>7</v>
      </c>
      <c r="AU33" s="7">
        <v>78.08</v>
      </c>
      <c r="AV33" s="10" t="str">
        <f t="shared" si="24"/>
        <v>B+</v>
      </c>
      <c r="AW33" s="1">
        <f t="shared" si="25"/>
        <v>3.5</v>
      </c>
      <c r="AX33" s="10">
        <v>3</v>
      </c>
      <c r="AY33" s="1">
        <f t="shared" si="26"/>
        <v>10.5</v>
      </c>
      <c r="AZ33" s="8">
        <v>79</v>
      </c>
      <c r="BA33" s="10" t="str">
        <f t="shared" si="27"/>
        <v>B+</v>
      </c>
      <c r="BB33" s="1">
        <f t="shared" si="28"/>
        <v>3.5</v>
      </c>
      <c r="BC33" s="10">
        <v>2</v>
      </c>
      <c r="BD33" s="1">
        <f t="shared" si="29"/>
        <v>7</v>
      </c>
      <c r="BE33" s="18">
        <v>74.099999999999994</v>
      </c>
      <c r="BF33" s="10" t="str">
        <f t="shared" si="30"/>
        <v>B</v>
      </c>
      <c r="BG33" s="1">
        <f t="shared" si="31"/>
        <v>3</v>
      </c>
      <c r="BH33" s="10">
        <v>2</v>
      </c>
      <c r="BI33" s="1">
        <f t="shared" si="32"/>
        <v>6</v>
      </c>
      <c r="BJ33" s="10">
        <v>75.2</v>
      </c>
      <c r="BK33" s="10" t="str">
        <f t="shared" si="33"/>
        <v>B+</v>
      </c>
      <c r="BL33" s="1">
        <f t="shared" si="34"/>
        <v>3.5</v>
      </c>
      <c r="BM33" s="10">
        <v>4</v>
      </c>
      <c r="BN33" s="1">
        <f t="shared" si="35"/>
        <v>14</v>
      </c>
      <c r="BO33" s="10">
        <v>80</v>
      </c>
      <c r="BP33" s="10" t="str">
        <f t="shared" si="36"/>
        <v>A</v>
      </c>
      <c r="BQ33" s="1">
        <f t="shared" si="37"/>
        <v>4</v>
      </c>
      <c r="BR33" s="10">
        <v>4</v>
      </c>
      <c r="BS33" s="1">
        <f t="shared" si="38"/>
        <v>16</v>
      </c>
      <c r="BT33" s="2">
        <v>66.5</v>
      </c>
      <c r="BU33" s="2">
        <v>22</v>
      </c>
      <c r="BV33" s="2">
        <v>65.5</v>
      </c>
      <c r="BW33" s="2">
        <v>19</v>
      </c>
      <c r="BX33" s="2">
        <v>79.5</v>
      </c>
      <c r="BY33" s="2">
        <v>21</v>
      </c>
      <c r="BZ33" s="2">
        <v>75.5</v>
      </c>
      <c r="CA33" s="2">
        <v>21</v>
      </c>
      <c r="CB33" s="2">
        <v>71</v>
      </c>
      <c r="CC33" s="2">
        <v>21</v>
      </c>
      <c r="CD33" s="2">
        <v>65.5</v>
      </c>
      <c r="CE33" s="2">
        <v>19</v>
      </c>
      <c r="CF33" s="2">
        <v>58.5</v>
      </c>
      <c r="CG33" s="2">
        <v>17</v>
      </c>
      <c r="CH33" s="2">
        <v>16</v>
      </c>
      <c r="CI33" s="2">
        <v>4</v>
      </c>
      <c r="CJ33" s="2">
        <f t="shared" si="39"/>
        <v>498</v>
      </c>
      <c r="CK33" s="2">
        <f t="shared" si="40"/>
        <v>144</v>
      </c>
      <c r="CL33" s="3">
        <f t="shared" si="41"/>
        <v>3.4583333333333335</v>
      </c>
      <c r="CM33" s="2" t="str">
        <f t="shared" si="42"/>
        <v>Sangat Memuaskan</v>
      </c>
      <c r="CN33" s="37" t="str">
        <f t="shared" si="43"/>
        <v>Highly Satisfactory</v>
      </c>
      <c r="CO33" s="23"/>
    </row>
    <row r="34" spans="1:93" x14ac:dyDescent="0.25">
      <c r="A34" s="2">
        <v>32</v>
      </c>
      <c r="B34" s="23" t="s">
        <v>55</v>
      </c>
      <c r="C34" s="2">
        <v>152111043</v>
      </c>
      <c r="D34" s="10" t="s">
        <v>157</v>
      </c>
      <c r="E34" s="24" t="s">
        <v>158</v>
      </c>
      <c r="F34" s="2"/>
      <c r="G34" s="19">
        <v>73</v>
      </c>
      <c r="H34" s="10" t="str">
        <f t="shared" si="5"/>
        <v>B</v>
      </c>
      <c r="I34" s="1">
        <f t="shared" si="0"/>
        <v>3</v>
      </c>
      <c r="J34" s="10">
        <v>3</v>
      </c>
      <c r="K34" s="1">
        <f t="shared" si="6"/>
        <v>9</v>
      </c>
      <c r="L34" s="19">
        <v>75.320000000000007</v>
      </c>
      <c r="M34" s="10" t="str">
        <f t="shared" si="7"/>
        <v>B+</v>
      </c>
      <c r="N34" s="1">
        <f t="shared" si="1"/>
        <v>3.5</v>
      </c>
      <c r="O34" s="10">
        <v>4</v>
      </c>
      <c r="P34" s="1">
        <f t="shared" si="8"/>
        <v>14</v>
      </c>
      <c r="Q34" s="7">
        <v>74.25</v>
      </c>
      <c r="R34" s="10" t="str">
        <f t="shared" si="9"/>
        <v>B</v>
      </c>
      <c r="S34" s="1">
        <f t="shared" si="10"/>
        <v>3</v>
      </c>
      <c r="T34" s="10">
        <v>4</v>
      </c>
      <c r="U34" s="1">
        <f t="shared" si="11"/>
        <v>12</v>
      </c>
      <c r="V34" s="6">
        <v>78.224999999999994</v>
      </c>
      <c r="W34" s="10" t="str">
        <f t="shared" si="12"/>
        <v>B+</v>
      </c>
      <c r="X34" s="1">
        <f t="shared" si="2"/>
        <v>3.5</v>
      </c>
      <c r="Y34" s="10">
        <v>2</v>
      </c>
      <c r="Z34" s="1">
        <f t="shared" si="13"/>
        <v>7</v>
      </c>
      <c r="AA34" s="18">
        <v>78.800000000000011</v>
      </c>
      <c r="AB34" s="10" t="str">
        <f t="shared" si="14"/>
        <v>B+</v>
      </c>
      <c r="AC34" s="1">
        <f t="shared" si="3"/>
        <v>3.5</v>
      </c>
      <c r="AD34" s="10">
        <v>3</v>
      </c>
      <c r="AE34" s="1">
        <f t="shared" si="15"/>
        <v>10.5</v>
      </c>
      <c r="AF34" s="12">
        <v>77.174999999999997</v>
      </c>
      <c r="AG34" s="10" t="str">
        <f t="shared" si="16"/>
        <v>B+</v>
      </c>
      <c r="AH34" s="1">
        <f t="shared" si="4"/>
        <v>3.5</v>
      </c>
      <c r="AI34" s="10">
        <v>3</v>
      </c>
      <c r="AJ34" s="1">
        <f t="shared" si="17"/>
        <v>10.5</v>
      </c>
      <c r="AK34" s="10">
        <v>78.2</v>
      </c>
      <c r="AL34" s="10" t="str">
        <f t="shared" si="18"/>
        <v>B+</v>
      </c>
      <c r="AM34" s="1">
        <f t="shared" si="19"/>
        <v>3.5</v>
      </c>
      <c r="AN34" s="10">
        <v>4</v>
      </c>
      <c r="AO34" s="1">
        <f t="shared" si="20"/>
        <v>14</v>
      </c>
      <c r="AP34" s="19">
        <v>77.75</v>
      </c>
      <c r="AQ34" s="10" t="str">
        <f t="shared" si="21"/>
        <v>B+</v>
      </c>
      <c r="AR34" s="1">
        <f t="shared" si="22"/>
        <v>3.5</v>
      </c>
      <c r="AS34" s="10">
        <v>2</v>
      </c>
      <c r="AT34" s="1">
        <f t="shared" si="23"/>
        <v>7</v>
      </c>
      <c r="AU34" s="7">
        <v>78</v>
      </c>
      <c r="AV34" s="10" t="str">
        <f t="shared" si="24"/>
        <v>B+</v>
      </c>
      <c r="AW34" s="1">
        <f t="shared" si="25"/>
        <v>3.5</v>
      </c>
      <c r="AX34" s="10">
        <v>3</v>
      </c>
      <c r="AY34" s="1">
        <f t="shared" si="26"/>
        <v>10.5</v>
      </c>
      <c r="AZ34" s="6">
        <v>78.2</v>
      </c>
      <c r="BA34" s="10" t="str">
        <f t="shared" si="27"/>
        <v>B+</v>
      </c>
      <c r="BB34" s="1">
        <f t="shared" si="28"/>
        <v>3.5</v>
      </c>
      <c r="BC34" s="10">
        <v>2</v>
      </c>
      <c r="BD34" s="1">
        <f t="shared" si="29"/>
        <v>7</v>
      </c>
      <c r="BE34" s="18">
        <v>74.55</v>
      </c>
      <c r="BF34" s="10" t="str">
        <f t="shared" si="30"/>
        <v>B</v>
      </c>
      <c r="BG34" s="1">
        <f t="shared" si="31"/>
        <v>3</v>
      </c>
      <c r="BH34" s="10">
        <v>2</v>
      </c>
      <c r="BI34" s="1">
        <f t="shared" si="32"/>
        <v>6</v>
      </c>
      <c r="BJ34" s="10">
        <v>76.2</v>
      </c>
      <c r="BK34" s="10" t="str">
        <f t="shared" si="33"/>
        <v>B+</v>
      </c>
      <c r="BL34" s="1">
        <f t="shared" si="34"/>
        <v>3.5</v>
      </c>
      <c r="BM34" s="10">
        <v>4</v>
      </c>
      <c r="BN34" s="1">
        <f t="shared" si="35"/>
        <v>14</v>
      </c>
      <c r="BO34" s="10">
        <v>79</v>
      </c>
      <c r="BP34" s="10" t="str">
        <f t="shared" si="36"/>
        <v>B+</v>
      </c>
      <c r="BQ34" s="1">
        <f t="shared" si="37"/>
        <v>3.5</v>
      </c>
      <c r="BR34" s="10">
        <v>4</v>
      </c>
      <c r="BS34" s="1">
        <f t="shared" si="38"/>
        <v>14</v>
      </c>
      <c r="BT34" s="2">
        <v>74</v>
      </c>
      <c r="BU34" s="2">
        <v>22</v>
      </c>
      <c r="BV34" s="2">
        <v>68</v>
      </c>
      <c r="BW34" s="2">
        <v>19</v>
      </c>
      <c r="BX34" s="2">
        <v>76.5</v>
      </c>
      <c r="BY34" s="2">
        <v>21</v>
      </c>
      <c r="BZ34" s="2">
        <v>75.5</v>
      </c>
      <c r="CA34" s="2">
        <v>21</v>
      </c>
      <c r="CB34" s="2">
        <v>71.5</v>
      </c>
      <c r="CC34" s="2">
        <v>21</v>
      </c>
      <c r="CD34" s="2">
        <v>63</v>
      </c>
      <c r="CE34" s="2">
        <v>19</v>
      </c>
      <c r="CF34" s="2">
        <v>58.5</v>
      </c>
      <c r="CG34" s="2">
        <v>17</v>
      </c>
      <c r="CH34" s="2">
        <v>14</v>
      </c>
      <c r="CI34" s="2">
        <v>4</v>
      </c>
      <c r="CJ34" s="2">
        <f t="shared" si="39"/>
        <v>501</v>
      </c>
      <c r="CK34" s="2">
        <f t="shared" si="40"/>
        <v>144</v>
      </c>
      <c r="CL34" s="3">
        <f t="shared" si="41"/>
        <v>3.4791666666666665</v>
      </c>
      <c r="CM34" s="2" t="str">
        <f t="shared" si="42"/>
        <v>Sangat Memuaskan</v>
      </c>
      <c r="CN34" s="37" t="str">
        <f t="shared" si="43"/>
        <v>Highly Satisfactory</v>
      </c>
      <c r="CO34" s="23"/>
    </row>
    <row r="35" spans="1:93" x14ac:dyDescent="0.25">
      <c r="A35" s="2">
        <v>33</v>
      </c>
      <c r="B35" s="23" t="s">
        <v>56</v>
      </c>
      <c r="C35" s="2">
        <v>152111044</v>
      </c>
      <c r="D35" s="10" t="s">
        <v>169</v>
      </c>
      <c r="E35" s="24" t="s">
        <v>170</v>
      </c>
      <c r="F35" s="2"/>
      <c r="G35" s="19">
        <v>77.637500000000003</v>
      </c>
      <c r="H35" s="10" t="str">
        <f t="shared" si="5"/>
        <v>B+</v>
      </c>
      <c r="I35" s="1">
        <f t="shared" si="0"/>
        <v>3.5</v>
      </c>
      <c r="J35" s="10">
        <v>3</v>
      </c>
      <c r="K35" s="1">
        <f t="shared" si="6"/>
        <v>10.5</v>
      </c>
      <c r="L35" s="19">
        <v>79</v>
      </c>
      <c r="M35" s="10" t="str">
        <f t="shared" si="7"/>
        <v>B+</v>
      </c>
      <c r="N35" s="1">
        <f t="shared" si="1"/>
        <v>3.5</v>
      </c>
      <c r="O35" s="10">
        <v>4</v>
      </c>
      <c r="P35" s="1">
        <f t="shared" si="8"/>
        <v>14</v>
      </c>
      <c r="Q35" s="7">
        <v>75.5</v>
      </c>
      <c r="R35" s="10" t="str">
        <f t="shared" si="9"/>
        <v>B+</v>
      </c>
      <c r="S35" s="1">
        <f t="shared" si="10"/>
        <v>3.5</v>
      </c>
      <c r="T35" s="10">
        <v>4</v>
      </c>
      <c r="U35" s="1">
        <f t="shared" si="11"/>
        <v>14</v>
      </c>
      <c r="V35" s="6">
        <v>77.599999999999994</v>
      </c>
      <c r="W35" s="10" t="str">
        <f t="shared" si="12"/>
        <v>B+</v>
      </c>
      <c r="X35" s="1">
        <f t="shared" si="2"/>
        <v>3.5</v>
      </c>
      <c r="Y35" s="10">
        <v>2</v>
      </c>
      <c r="Z35" s="1">
        <f t="shared" si="13"/>
        <v>7</v>
      </c>
      <c r="AA35" s="18">
        <v>79.800000000000011</v>
      </c>
      <c r="AB35" s="10" t="str">
        <f t="shared" si="14"/>
        <v>B+</v>
      </c>
      <c r="AC35" s="1">
        <f t="shared" si="3"/>
        <v>3.5</v>
      </c>
      <c r="AD35" s="10">
        <v>3</v>
      </c>
      <c r="AE35" s="1">
        <f t="shared" si="15"/>
        <v>10.5</v>
      </c>
      <c r="AF35" s="12">
        <v>78.174999999999997</v>
      </c>
      <c r="AG35" s="10" t="str">
        <f t="shared" si="16"/>
        <v>B+</v>
      </c>
      <c r="AH35" s="1">
        <f t="shared" si="4"/>
        <v>3.5</v>
      </c>
      <c r="AI35" s="10">
        <v>3</v>
      </c>
      <c r="AJ35" s="1">
        <f t="shared" si="17"/>
        <v>10.5</v>
      </c>
      <c r="AK35" s="10">
        <v>74.400000000000006</v>
      </c>
      <c r="AL35" s="10" t="str">
        <f t="shared" si="18"/>
        <v>B</v>
      </c>
      <c r="AM35" s="1">
        <f t="shared" si="19"/>
        <v>3</v>
      </c>
      <c r="AN35" s="10">
        <v>4</v>
      </c>
      <c r="AO35" s="1">
        <f t="shared" si="20"/>
        <v>12</v>
      </c>
      <c r="AP35" s="19">
        <v>75.150000000000006</v>
      </c>
      <c r="AQ35" s="10" t="str">
        <f t="shared" si="21"/>
        <v>B+</v>
      </c>
      <c r="AR35" s="1">
        <f t="shared" si="22"/>
        <v>3.5</v>
      </c>
      <c r="AS35" s="10">
        <v>2</v>
      </c>
      <c r="AT35" s="1">
        <f t="shared" si="23"/>
        <v>7</v>
      </c>
      <c r="AU35" s="7">
        <v>75.849999999999994</v>
      </c>
      <c r="AV35" s="10" t="str">
        <f t="shared" si="24"/>
        <v>B+</v>
      </c>
      <c r="AW35" s="1">
        <f t="shared" si="25"/>
        <v>3.5</v>
      </c>
      <c r="AX35" s="10">
        <v>3</v>
      </c>
      <c r="AY35" s="1">
        <f t="shared" si="26"/>
        <v>10.5</v>
      </c>
      <c r="AZ35" s="6">
        <v>74.400000000000006</v>
      </c>
      <c r="BA35" s="10" t="str">
        <f t="shared" si="27"/>
        <v>B</v>
      </c>
      <c r="BB35" s="1">
        <f t="shared" si="28"/>
        <v>3</v>
      </c>
      <c r="BC35" s="10">
        <v>2</v>
      </c>
      <c r="BD35" s="1">
        <f t="shared" si="29"/>
        <v>6</v>
      </c>
      <c r="BE35" s="18">
        <v>72.28</v>
      </c>
      <c r="BF35" s="10" t="str">
        <f t="shared" si="30"/>
        <v>B</v>
      </c>
      <c r="BG35" s="1">
        <f t="shared" si="31"/>
        <v>3</v>
      </c>
      <c r="BH35" s="10">
        <v>2</v>
      </c>
      <c r="BI35" s="1">
        <f t="shared" si="32"/>
        <v>6</v>
      </c>
      <c r="BJ35" s="10">
        <v>76.400000000000006</v>
      </c>
      <c r="BK35" s="10" t="str">
        <f t="shared" si="33"/>
        <v>B+</v>
      </c>
      <c r="BL35" s="1">
        <f t="shared" si="34"/>
        <v>3.5</v>
      </c>
      <c r="BM35" s="10">
        <v>4</v>
      </c>
      <c r="BN35" s="1">
        <f t="shared" si="35"/>
        <v>14</v>
      </c>
      <c r="BO35" s="10">
        <v>78</v>
      </c>
      <c r="BP35" s="10" t="str">
        <f t="shared" si="36"/>
        <v>B+</v>
      </c>
      <c r="BQ35" s="1">
        <f t="shared" si="37"/>
        <v>3.5</v>
      </c>
      <c r="BR35" s="10">
        <v>4</v>
      </c>
      <c r="BS35" s="1">
        <f t="shared" si="38"/>
        <v>14</v>
      </c>
      <c r="BT35" s="2">
        <v>65.5</v>
      </c>
      <c r="BU35" s="2">
        <v>22</v>
      </c>
      <c r="BV35" s="2">
        <v>57</v>
      </c>
      <c r="BW35" s="2">
        <v>19</v>
      </c>
      <c r="BX35" s="2">
        <v>70.5</v>
      </c>
      <c r="BY35" s="2">
        <v>21</v>
      </c>
      <c r="BZ35" s="2">
        <v>71.5</v>
      </c>
      <c r="CA35" s="2">
        <v>21</v>
      </c>
      <c r="CB35" s="2">
        <v>72.5</v>
      </c>
      <c r="CC35" s="2">
        <v>21</v>
      </c>
      <c r="CD35" s="2">
        <v>66.5</v>
      </c>
      <c r="CE35" s="2">
        <v>19</v>
      </c>
      <c r="CF35" s="2">
        <v>55.5</v>
      </c>
      <c r="CG35" s="2">
        <v>17</v>
      </c>
      <c r="CH35" s="2">
        <v>14</v>
      </c>
      <c r="CI35" s="2">
        <v>4</v>
      </c>
      <c r="CJ35" s="2">
        <f t="shared" si="39"/>
        <v>473</v>
      </c>
      <c r="CK35" s="2">
        <f t="shared" si="40"/>
        <v>144</v>
      </c>
      <c r="CL35" s="3">
        <f t="shared" si="41"/>
        <v>3.2847222222222223</v>
      </c>
      <c r="CM35" s="2" t="str">
        <f t="shared" si="42"/>
        <v>Sangat Memuaskan</v>
      </c>
      <c r="CN35" s="37" t="str">
        <f t="shared" si="43"/>
        <v>Highly Satisfactory</v>
      </c>
      <c r="CO35" s="23"/>
    </row>
    <row r="36" spans="1:93" x14ac:dyDescent="0.25">
      <c r="A36" s="2">
        <v>34</v>
      </c>
      <c r="B36" s="23" t="s">
        <v>57</v>
      </c>
      <c r="C36" s="2">
        <v>152111047</v>
      </c>
      <c r="D36" s="10" t="s">
        <v>135</v>
      </c>
      <c r="E36" s="24" t="s">
        <v>159</v>
      </c>
      <c r="F36" s="2"/>
      <c r="G36" s="19">
        <v>73.4375</v>
      </c>
      <c r="H36" s="10" t="str">
        <f t="shared" si="5"/>
        <v>B</v>
      </c>
      <c r="I36" s="1">
        <f t="shared" si="0"/>
        <v>3</v>
      </c>
      <c r="J36" s="10">
        <v>3</v>
      </c>
      <c r="K36" s="1">
        <f t="shared" si="6"/>
        <v>9</v>
      </c>
      <c r="L36" s="19">
        <v>74.06</v>
      </c>
      <c r="M36" s="10" t="str">
        <f t="shared" si="7"/>
        <v>B</v>
      </c>
      <c r="N36" s="1">
        <f t="shared" si="1"/>
        <v>3</v>
      </c>
      <c r="O36" s="10">
        <v>4</v>
      </c>
      <c r="P36" s="1">
        <f t="shared" si="8"/>
        <v>12</v>
      </c>
      <c r="Q36" s="7">
        <v>74.25</v>
      </c>
      <c r="R36" s="10" t="str">
        <f t="shared" si="9"/>
        <v>B</v>
      </c>
      <c r="S36" s="1">
        <f t="shared" si="10"/>
        <v>3</v>
      </c>
      <c r="T36" s="10">
        <v>4</v>
      </c>
      <c r="U36" s="1">
        <f t="shared" si="11"/>
        <v>12</v>
      </c>
      <c r="V36" s="6">
        <v>76.224999999999994</v>
      </c>
      <c r="W36" s="10" t="str">
        <f t="shared" si="12"/>
        <v>B+</v>
      </c>
      <c r="X36" s="1">
        <f t="shared" si="2"/>
        <v>3.5</v>
      </c>
      <c r="Y36" s="10">
        <v>2</v>
      </c>
      <c r="Z36" s="1">
        <f t="shared" si="13"/>
        <v>7</v>
      </c>
      <c r="AA36" s="18">
        <v>70.116666666666674</v>
      </c>
      <c r="AB36" s="10" t="str">
        <f t="shared" si="14"/>
        <v>B</v>
      </c>
      <c r="AC36" s="1">
        <f t="shared" si="3"/>
        <v>3</v>
      </c>
      <c r="AD36" s="10">
        <v>3</v>
      </c>
      <c r="AE36" s="1">
        <f t="shared" si="15"/>
        <v>9</v>
      </c>
      <c r="AF36" s="12">
        <v>81.625</v>
      </c>
      <c r="AG36" s="10" t="str">
        <f t="shared" si="16"/>
        <v>A</v>
      </c>
      <c r="AH36" s="1">
        <f t="shared" si="4"/>
        <v>4</v>
      </c>
      <c r="AI36" s="10">
        <v>3</v>
      </c>
      <c r="AJ36" s="1">
        <f t="shared" si="17"/>
        <v>12</v>
      </c>
      <c r="AK36" s="10">
        <v>78.400000000000006</v>
      </c>
      <c r="AL36" s="10" t="str">
        <f t="shared" si="18"/>
        <v>B+</v>
      </c>
      <c r="AM36" s="1">
        <f t="shared" si="19"/>
        <v>3.5</v>
      </c>
      <c r="AN36" s="10">
        <v>4</v>
      </c>
      <c r="AO36" s="1">
        <f t="shared" si="20"/>
        <v>14</v>
      </c>
      <c r="AP36" s="19">
        <v>81.349999999999994</v>
      </c>
      <c r="AQ36" s="10" t="str">
        <f t="shared" si="21"/>
        <v>A</v>
      </c>
      <c r="AR36" s="1">
        <f t="shared" si="22"/>
        <v>4</v>
      </c>
      <c r="AS36" s="10">
        <v>2</v>
      </c>
      <c r="AT36" s="1">
        <f t="shared" si="23"/>
        <v>8</v>
      </c>
      <c r="AU36" s="7">
        <v>78</v>
      </c>
      <c r="AV36" s="10" t="str">
        <f t="shared" si="24"/>
        <v>B+</v>
      </c>
      <c r="AW36" s="1">
        <f t="shared" si="25"/>
        <v>3.5</v>
      </c>
      <c r="AX36" s="10">
        <v>3</v>
      </c>
      <c r="AY36" s="1">
        <f t="shared" si="26"/>
        <v>10.5</v>
      </c>
      <c r="AZ36" s="6">
        <v>78.400000000000006</v>
      </c>
      <c r="BA36" s="10" t="str">
        <f t="shared" si="27"/>
        <v>B+</v>
      </c>
      <c r="BB36" s="1">
        <f t="shared" si="28"/>
        <v>3.5</v>
      </c>
      <c r="BC36" s="10">
        <v>2</v>
      </c>
      <c r="BD36" s="1">
        <f t="shared" si="29"/>
        <v>7</v>
      </c>
      <c r="BE36" s="18">
        <v>78.150000000000006</v>
      </c>
      <c r="BF36" s="10" t="str">
        <f t="shared" si="30"/>
        <v>B+</v>
      </c>
      <c r="BG36" s="1">
        <f t="shared" si="31"/>
        <v>3.5</v>
      </c>
      <c r="BH36" s="10">
        <v>2</v>
      </c>
      <c r="BI36" s="1">
        <f t="shared" si="32"/>
        <v>7</v>
      </c>
      <c r="BJ36" s="10">
        <v>76</v>
      </c>
      <c r="BK36" s="10" t="str">
        <f t="shared" si="33"/>
        <v>B+</v>
      </c>
      <c r="BL36" s="1">
        <f t="shared" si="34"/>
        <v>3.5</v>
      </c>
      <c r="BM36" s="10">
        <v>4</v>
      </c>
      <c r="BN36" s="1">
        <f t="shared" si="35"/>
        <v>14</v>
      </c>
      <c r="BO36" s="10">
        <v>81.599999999999994</v>
      </c>
      <c r="BP36" s="10" t="str">
        <f t="shared" si="36"/>
        <v>A</v>
      </c>
      <c r="BQ36" s="1">
        <f t="shared" si="37"/>
        <v>4</v>
      </c>
      <c r="BR36" s="10">
        <v>4</v>
      </c>
      <c r="BS36" s="1">
        <f t="shared" si="38"/>
        <v>16</v>
      </c>
      <c r="BT36" s="2">
        <v>75</v>
      </c>
      <c r="BU36" s="2">
        <v>22</v>
      </c>
      <c r="BV36" s="2">
        <v>64.5</v>
      </c>
      <c r="BW36" s="2">
        <v>19</v>
      </c>
      <c r="BX36" s="2">
        <v>76.5</v>
      </c>
      <c r="BY36" s="2">
        <v>21</v>
      </c>
      <c r="BZ36" s="2">
        <v>78</v>
      </c>
      <c r="CA36" s="2">
        <v>21</v>
      </c>
      <c r="CB36" s="2">
        <v>73</v>
      </c>
      <c r="CC36" s="2">
        <v>21</v>
      </c>
      <c r="CD36" s="2">
        <v>61</v>
      </c>
      <c r="CE36" s="2">
        <v>19</v>
      </c>
      <c r="CF36" s="2">
        <v>60.5</v>
      </c>
      <c r="CG36" s="2">
        <v>17</v>
      </c>
      <c r="CH36" s="2">
        <v>16</v>
      </c>
      <c r="CI36" s="2">
        <v>4</v>
      </c>
      <c r="CJ36" s="2">
        <f t="shared" si="39"/>
        <v>504.5</v>
      </c>
      <c r="CK36" s="2">
        <f t="shared" si="40"/>
        <v>144</v>
      </c>
      <c r="CL36" s="3">
        <f t="shared" si="41"/>
        <v>3.5034722222222223</v>
      </c>
      <c r="CM36" s="2" t="str">
        <f t="shared" si="42"/>
        <v>Sangat Memuaskan</v>
      </c>
      <c r="CN36" s="37" t="str">
        <f t="shared" si="43"/>
        <v>Highly Satisfactory</v>
      </c>
      <c r="CO36" s="23"/>
    </row>
    <row r="37" spans="1:93" x14ac:dyDescent="0.25">
      <c r="A37" s="2">
        <v>35</v>
      </c>
      <c r="B37" s="22" t="s">
        <v>164</v>
      </c>
      <c r="C37" s="2">
        <v>152111049</v>
      </c>
      <c r="D37" s="10" t="s">
        <v>135</v>
      </c>
      <c r="E37" s="24" t="s">
        <v>160</v>
      </c>
      <c r="F37" s="2"/>
      <c r="G37" s="19">
        <v>77.525000000000006</v>
      </c>
      <c r="H37" s="10" t="str">
        <f t="shared" si="5"/>
        <v>B+</v>
      </c>
      <c r="I37" s="1">
        <f t="shared" si="0"/>
        <v>3.5</v>
      </c>
      <c r="J37" s="10">
        <v>3</v>
      </c>
      <c r="K37" s="1">
        <f t="shared" si="6"/>
        <v>10.5</v>
      </c>
      <c r="L37" s="19">
        <v>78.180000000000007</v>
      </c>
      <c r="M37" s="10" t="str">
        <f t="shared" si="7"/>
        <v>B+</v>
      </c>
      <c r="N37" s="1">
        <f t="shared" si="1"/>
        <v>3.5</v>
      </c>
      <c r="O37" s="10">
        <v>4</v>
      </c>
      <c r="P37" s="1">
        <f t="shared" si="8"/>
        <v>14</v>
      </c>
      <c r="Q37" s="7">
        <v>76</v>
      </c>
      <c r="R37" s="10" t="str">
        <f t="shared" si="9"/>
        <v>B+</v>
      </c>
      <c r="S37" s="1">
        <f t="shared" si="10"/>
        <v>3.5</v>
      </c>
      <c r="T37" s="10">
        <v>4</v>
      </c>
      <c r="U37" s="1">
        <f t="shared" si="11"/>
        <v>14</v>
      </c>
      <c r="V37" s="6">
        <v>75.75</v>
      </c>
      <c r="W37" s="10" t="str">
        <f t="shared" si="12"/>
        <v>B+</v>
      </c>
      <c r="X37" s="1">
        <f t="shared" si="2"/>
        <v>3.5</v>
      </c>
      <c r="Y37" s="10">
        <v>2</v>
      </c>
      <c r="Z37" s="1">
        <f t="shared" si="13"/>
        <v>7</v>
      </c>
      <c r="AA37" s="18">
        <v>72.900000000000006</v>
      </c>
      <c r="AB37" s="10" t="str">
        <f t="shared" si="14"/>
        <v>B</v>
      </c>
      <c r="AC37" s="1">
        <f t="shared" si="3"/>
        <v>3</v>
      </c>
      <c r="AD37" s="10">
        <v>3</v>
      </c>
      <c r="AE37" s="1">
        <f t="shared" si="15"/>
        <v>9</v>
      </c>
      <c r="AF37" s="12">
        <v>79.875</v>
      </c>
      <c r="AG37" s="10" t="str">
        <f t="shared" si="16"/>
        <v>B+</v>
      </c>
      <c r="AH37" s="1">
        <f t="shared" si="4"/>
        <v>3.5</v>
      </c>
      <c r="AI37" s="10">
        <v>3</v>
      </c>
      <c r="AJ37" s="1">
        <f t="shared" si="17"/>
        <v>10.5</v>
      </c>
      <c r="AK37" s="10">
        <v>82.4</v>
      </c>
      <c r="AL37" s="10" t="str">
        <f t="shared" si="18"/>
        <v>A</v>
      </c>
      <c r="AM37" s="1">
        <f t="shared" si="19"/>
        <v>4</v>
      </c>
      <c r="AN37" s="10">
        <v>4</v>
      </c>
      <c r="AO37" s="1">
        <f t="shared" si="20"/>
        <v>16</v>
      </c>
      <c r="AP37" s="19">
        <v>80.75</v>
      </c>
      <c r="AQ37" s="10" t="str">
        <f t="shared" si="21"/>
        <v>A</v>
      </c>
      <c r="AR37" s="1">
        <f t="shared" si="22"/>
        <v>4</v>
      </c>
      <c r="AS37" s="10">
        <v>2</v>
      </c>
      <c r="AT37" s="1">
        <f t="shared" si="23"/>
        <v>8</v>
      </c>
      <c r="AU37" s="7">
        <v>80</v>
      </c>
      <c r="AV37" s="10" t="str">
        <f t="shared" si="24"/>
        <v>A</v>
      </c>
      <c r="AW37" s="1">
        <f t="shared" si="25"/>
        <v>4</v>
      </c>
      <c r="AX37" s="10">
        <v>3</v>
      </c>
      <c r="AY37" s="1">
        <f t="shared" si="26"/>
        <v>12</v>
      </c>
      <c r="AZ37" s="6">
        <v>82.4</v>
      </c>
      <c r="BA37" s="10" t="str">
        <f t="shared" si="27"/>
        <v>A</v>
      </c>
      <c r="BB37" s="1">
        <f t="shared" si="28"/>
        <v>4</v>
      </c>
      <c r="BC37" s="10">
        <v>2</v>
      </c>
      <c r="BD37" s="1">
        <f t="shared" si="29"/>
        <v>8</v>
      </c>
      <c r="BE37" s="18">
        <v>71.78</v>
      </c>
      <c r="BF37" s="10" t="str">
        <f t="shared" si="30"/>
        <v>B</v>
      </c>
      <c r="BG37" s="1">
        <f t="shared" si="31"/>
        <v>3</v>
      </c>
      <c r="BH37" s="10">
        <v>2</v>
      </c>
      <c r="BI37" s="1">
        <f t="shared" si="32"/>
        <v>6</v>
      </c>
      <c r="BJ37" s="10">
        <v>77.400000000000006</v>
      </c>
      <c r="BK37" s="10" t="str">
        <f t="shared" si="33"/>
        <v>B+</v>
      </c>
      <c r="BL37" s="1">
        <f t="shared" si="34"/>
        <v>3.5</v>
      </c>
      <c r="BM37" s="10">
        <v>4</v>
      </c>
      <c r="BN37" s="1">
        <f t="shared" si="35"/>
        <v>14</v>
      </c>
      <c r="BO37" s="10">
        <v>80</v>
      </c>
      <c r="BP37" s="10" t="str">
        <f t="shared" si="36"/>
        <v>A</v>
      </c>
      <c r="BQ37" s="1">
        <f t="shared" si="37"/>
        <v>4</v>
      </c>
      <c r="BR37" s="10">
        <v>4</v>
      </c>
      <c r="BS37" s="1">
        <f t="shared" si="38"/>
        <v>16</v>
      </c>
      <c r="BT37" s="2">
        <v>76.5</v>
      </c>
      <c r="BU37" s="2">
        <v>22</v>
      </c>
      <c r="BV37" s="2">
        <v>65.5</v>
      </c>
      <c r="BW37" s="2">
        <v>19</v>
      </c>
      <c r="BX37" s="2">
        <v>74</v>
      </c>
      <c r="BY37" s="2">
        <v>21</v>
      </c>
      <c r="BZ37" s="2">
        <v>77.5</v>
      </c>
      <c r="CA37" s="2">
        <v>21</v>
      </c>
      <c r="CB37" s="2">
        <v>80.5</v>
      </c>
      <c r="CC37" s="2">
        <v>21</v>
      </c>
      <c r="CD37" s="2">
        <v>65</v>
      </c>
      <c r="CE37" s="2">
        <v>19</v>
      </c>
      <c r="CF37" s="2">
        <v>64</v>
      </c>
      <c r="CG37" s="2">
        <v>17</v>
      </c>
      <c r="CH37" s="2">
        <v>16</v>
      </c>
      <c r="CI37" s="2">
        <v>4</v>
      </c>
      <c r="CJ37" s="2">
        <f t="shared" si="39"/>
        <v>519</v>
      </c>
      <c r="CK37" s="2">
        <f t="shared" si="40"/>
        <v>144</v>
      </c>
      <c r="CL37" s="3">
        <f t="shared" si="41"/>
        <v>3.6041666666666665</v>
      </c>
      <c r="CM37" s="2" t="str">
        <f t="shared" si="42"/>
        <v>Cum Laude</v>
      </c>
      <c r="CN37" s="37" t="str">
        <f t="shared" si="43"/>
        <v>Excellent</v>
      </c>
      <c r="CO37" s="23"/>
    </row>
    <row r="38" spans="1:93" x14ac:dyDescent="0.25">
      <c r="A38" s="2">
        <v>36</v>
      </c>
      <c r="B38" s="23" t="s">
        <v>58</v>
      </c>
      <c r="C38" s="2">
        <v>152111053</v>
      </c>
      <c r="D38" s="10" t="s">
        <v>177</v>
      </c>
      <c r="E38" s="24" t="s">
        <v>178</v>
      </c>
      <c r="F38" s="2"/>
      <c r="G38" s="19">
        <v>76.8</v>
      </c>
      <c r="H38" s="10" t="str">
        <f t="shared" si="5"/>
        <v>B+</v>
      </c>
      <c r="I38" s="1">
        <f t="shared" si="0"/>
        <v>3.5</v>
      </c>
      <c r="J38" s="10">
        <v>3</v>
      </c>
      <c r="K38" s="1">
        <f t="shared" si="6"/>
        <v>10.5</v>
      </c>
      <c r="L38" s="19">
        <v>75.3</v>
      </c>
      <c r="M38" s="10" t="str">
        <f t="shared" si="7"/>
        <v>B+</v>
      </c>
      <c r="N38" s="1">
        <f t="shared" si="1"/>
        <v>3.5</v>
      </c>
      <c r="O38" s="10">
        <v>4</v>
      </c>
      <c r="P38" s="1">
        <f t="shared" si="8"/>
        <v>14</v>
      </c>
      <c r="Q38" s="7">
        <v>72.25</v>
      </c>
      <c r="R38" s="10" t="str">
        <f t="shared" si="9"/>
        <v>B</v>
      </c>
      <c r="S38" s="1">
        <f t="shared" si="10"/>
        <v>3</v>
      </c>
      <c r="T38" s="10">
        <v>4</v>
      </c>
      <c r="U38" s="1">
        <f t="shared" si="11"/>
        <v>12</v>
      </c>
      <c r="V38" s="6">
        <v>75.400000000000006</v>
      </c>
      <c r="W38" s="10" t="str">
        <f t="shared" si="12"/>
        <v>B+</v>
      </c>
      <c r="X38" s="1">
        <f t="shared" si="2"/>
        <v>3.5</v>
      </c>
      <c r="Y38" s="10">
        <v>2</v>
      </c>
      <c r="Z38" s="1">
        <f t="shared" si="13"/>
        <v>7</v>
      </c>
      <c r="AA38" s="18">
        <v>73</v>
      </c>
      <c r="AB38" s="10" t="str">
        <f t="shared" si="14"/>
        <v>B</v>
      </c>
      <c r="AC38" s="1">
        <f t="shared" si="3"/>
        <v>3</v>
      </c>
      <c r="AD38" s="10">
        <v>3</v>
      </c>
      <c r="AE38" s="1">
        <f t="shared" si="15"/>
        <v>9</v>
      </c>
      <c r="AF38" s="12">
        <v>78.625</v>
      </c>
      <c r="AG38" s="10" t="str">
        <f t="shared" si="16"/>
        <v>B+</v>
      </c>
      <c r="AH38" s="1">
        <f t="shared" si="4"/>
        <v>3.5</v>
      </c>
      <c r="AI38" s="10">
        <v>3</v>
      </c>
      <c r="AJ38" s="1">
        <f t="shared" si="17"/>
        <v>10.5</v>
      </c>
      <c r="AK38" s="10">
        <v>80.400000000000006</v>
      </c>
      <c r="AL38" s="10" t="str">
        <f t="shared" si="18"/>
        <v>A</v>
      </c>
      <c r="AM38" s="1">
        <f t="shared" si="19"/>
        <v>4</v>
      </c>
      <c r="AN38" s="10">
        <v>4</v>
      </c>
      <c r="AO38" s="1">
        <f t="shared" si="20"/>
        <v>16</v>
      </c>
      <c r="AP38" s="19">
        <v>80.349999999999994</v>
      </c>
      <c r="AQ38" s="10" t="str">
        <f t="shared" si="21"/>
        <v>A</v>
      </c>
      <c r="AR38" s="1">
        <f t="shared" si="22"/>
        <v>4</v>
      </c>
      <c r="AS38" s="10">
        <v>2</v>
      </c>
      <c r="AT38" s="1">
        <f t="shared" si="23"/>
        <v>8</v>
      </c>
      <c r="AU38" s="7">
        <v>79</v>
      </c>
      <c r="AV38" s="10" t="str">
        <f t="shared" si="24"/>
        <v>B+</v>
      </c>
      <c r="AW38" s="1">
        <f t="shared" si="25"/>
        <v>3.5</v>
      </c>
      <c r="AX38" s="10">
        <v>3</v>
      </c>
      <c r="AY38" s="1">
        <f t="shared" si="26"/>
        <v>10.5</v>
      </c>
      <c r="AZ38" s="6">
        <v>80.400000000000006</v>
      </c>
      <c r="BA38" s="10" t="str">
        <f t="shared" si="27"/>
        <v>A</v>
      </c>
      <c r="BB38" s="1">
        <f t="shared" si="28"/>
        <v>4</v>
      </c>
      <c r="BC38" s="10">
        <v>2</v>
      </c>
      <c r="BD38" s="1">
        <f t="shared" si="29"/>
        <v>8</v>
      </c>
      <c r="BE38" s="18">
        <v>69.88</v>
      </c>
      <c r="BF38" s="10" t="str">
        <f t="shared" si="30"/>
        <v>C+</v>
      </c>
      <c r="BG38" s="1">
        <f t="shared" si="31"/>
        <v>2.5</v>
      </c>
      <c r="BH38" s="10">
        <v>2</v>
      </c>
      <c r="BI38" s="1">
        <f t="shared" si="32"/>
        <v>5</v>
      </c>
      <c r="BJ38" s="10">
        <v>71.2</v>
      </c>
      <c r="BK38" s="10" t="str">
        <f t="shared" si="33"/>
        <v>B</v>
      </c>
      <c r="BL38" s="1">
        <f t="shared" si="34"/>
        <v>3</v>
      </c>
      <c r="BM38" s="10">
        <v>4</v>
      </c>
      <c r="BN38" s="1">
        <f t="shared" si="35"/>
        <v>12</v>
      </c>
      <c r="BO38" s="10">
        <v>81</v>
      </c>
      <c r="BP38" s="10" t="str">
        <f t="shared" si="36"/>
        <v>A</v>
      </c>
      <c r="BQ38" s="1">
        <f t="shared" si="37"/>
        <v>4</v>
      </c>
      <c r="BR38" s="10">
        <v>4</v>
      </c>
      <c r="BS38" s="1">
        <f t="shared" si="38"/>
        <v>16</v>
      </c>
      <c r="BT38" s="2">
        <v>79</v>
      </c>
      <c r="BU38" s="2">
        <v>22</v>
      </c>
      <c r="BV38" s="2">
        <v>63</v>
      </c>
      <c r="BW38" s="2">
        <v>19</v>
      </c>
      <c r="BX38" s="2">
        <v>77.5</v>
      </c>
      <c r="BY38" s="2">
        <v>21</v>
      </c>
      <c r="BZ38" s="2">
        <v>79.5</v>
      </c>
      <c r="CA38" s="2">
        <v>21</v>
      </c>
      <c r="CB38" s="2">
        <v>76.5</v>
      </c>
      <c r="CC38" s="2">
        <v>21</v>
      </c>
      <c r="CD38" s="2">
        <v>63</v>
      </c>
      <c r="CE38" s="2">
        <v>19</v>
      </c>
      <c r="CF38" s="2">
        <v>59.5</v>
      </c>
      <c r="CG38" s="2">
        <v>17</v>
      </c>
      <c r="CH38" s="2">
        <v>16</v>
      </c>
      <c r="CI38" s="2">
        <v>4</v>
      </c>
      <c r="CJ38" s="2">
        <f t="shared" si="39"/>
        <v>514</v>
      </c>
      <c r="CK38" s="2">
        <f t="shared" si="40"/>
        <v>144</v>
      </c>
      <c r="CL38" s="3">
        <f t="shared" si="41"/>
        <v>3.5694444444444446</v>
      </c>
      <c r="CM38" s="2" t="str">
        <f t="shared" si="42"/>
        <v>Cum Laude</v>
      </c>
      <c r="CN38" s="37" t="str">
        <f t="shared" si="43"/>
        <v>Excellent</v>
      </c>
      <c r="CO38" s="23"/>
    </row>
    <row r="39" spans="1:93" x14ac:dyDescent="0.25">
      <c r="A39" s="2">
        <v>37</v>
      </c>
      <c r="B39" s="23" t="s">
        <v>165</v>
      </c>
      <c r="C39" s="2">
        <v>152111054</v>
      </c>
      <c r="D39" s="10" t="s">
        <v>161</v>
      </c>
      <c r="E39" s="24" t="s">
        <v>162</v>
      </c>
      <c r="F39" s="2"/>
      <c r="G39" s="19">
        <v>75</v>
      </c>
      <c r="H39" s="10" t="str">
        <f t="shared" si="5"/>
        <v>B+</v>
      </c>
      <c r="I39" s="1">
        <f t="shared" si="0"/>
        <v>3.5</v>
      </c>
      <c r="J39" s="10">
        <v>3</v>
      </c>
      <c r="K39" s="1">
        <f t="shared" si="6"/>
        <v>10.5</v>
      </c>
      <c r="L39" s="19">
        <v>73.94</v>
      </c>
      <c r="M39" s="10" t="str">
        <f t="shared" si="7"/>
        <v>B</v>
      </c>
      <c r="N39" s="1">
        <f t="shared" si="1"/>
        <v>3</v>
      </c>
      <c r="O39" s="10">
        <v>4</v>
      </c>
      <c r="P39" s="1">
        <f t="shared" si="8"/>
        <v>12</v>
      </c>
      <c r="Q39" s="7">
        <v>72.25</v>
      </c>
      <c r="R39" s="10" t="str">
        <f t="shared" si="9"/>
        <v>B</v>
      </c>
      <c r="S39" s="1">
        <f t="shared" si="10"/>
        <v>3</v>
      </c>
      <c r="T39" s="10">
        <v>4</v>
      </c>
      <c r="U39" s="1">
        <f t="shared" si="11"/>
        <v>12</v>
      </c>
      <c r="V39" s="6">
        <v>76.099999999999994</v>
      </c>
      <c r="W39" s="10" t="str">
        <f t="shared" si="12"/>
        <v>B+</v>
      </c>
      <c r="X39" s="1">
        <f t="shared" si="2"/>
        <v>3.5</v>
      </c>
      <c r="Y39" s="10">
        <v>2</v>
      </c>
      <c r="Z39" s="1">
        <f t="shared" si="13"/>
        <v>7</v>
      </c>
      <c r="AA39" s="18">
        <v>70.416666666666671</v>
      </c>
      <c r="AB39" s="10" t="str">
        <f t="shared" si="14"/>
        <v>B</v>
      </c>
      <c r="AC39" s="1">
        <f t="shared" si="3"/>
        <v>3</v>
      </c>
      <c r="AD39" s="10">
        <v>3</v>
      </c>
      <c r="AE39" s="1">
        <f t="shared" si="15"/>
        <v>9</v>
      </c>
      <c r="AF39" s="12">
        <v>72.775000000000006</v>
      </c>
      <c r="AG39" s="10" t="str">
        <f t="shared" si="16"/>
        <v>B</v>
      </c>
      <c r="AH39" s="1">
        <f t="shared" si="4"/>
        <v>3</v>
      </c>
      <c r="AI39" s="10">
        <v>3</v>
      </c>
      <c r="AJ39" s="1">
        <f t="shared" si="17"/>
        <v>9</v>
      </c>
      <c r="AK39" s="10">
        <v>74.400000000000006</v>
      </c>
      <c r="AL39" s="10" t="str">
        <f t="shared" si="18"/>
        <v>B</v>
      </c>
      <c r="AM39" s="1">
        <f t="shared" si="19"/>
        <v>3</v>
      </c>
      <c r="AN39" s="10">
        <v>4</v>
      </c>
      <c r="AO39" s="1">
        <f t="shared" si="20"/>
        <v>12</v>
      </c>
      <c r="AP39" s="19">
        <v>78.349999999999994</v>
      </c>
      <c r="AQ39" s="10" t="str">
        <f t="shared" si="21"/>
        <v>B+</v>
      </c>
      <c r="AR39" s="1">
        <f t="shared" si="22"/>
        <v>3.5</v>
      </c>
      <c r="AS39" s="10">
        <v>2</v>
      </c>
      <c r="AT39" s="1">
        <f t="shared" si="23"/>
        <v>7</v>
      </c>
      <c r="AU39" s="7">
        <v>75.58</v>
      </c>
      <c r="AV39" s="10" t="str">
        <f t="shared" si="24"/>
        <v>B+</v>
      </c>
      <c r="AW39" s="1">
        <f t="shared" si="25"/>
        <v>3.5</v>
      </c>
      <c r="AX39" s="10">
        <v>3</v>
      </c>
      <c r="AY39" s="1">
        <f t="shared" si="26"/>
        <v>10.5</v>
      </c>
      <c r="AZ39" s="6">
        <v>74.400000000000006</v>
      </c>
      <c r="BA39" s="10" t="str">
        <f t="shared" si="27"/>
        <v>B</v>
      </c>
      <c r="BB39" s="1">
        <f t="shared" si="28"/>
        <v>3</v>
      </c>
      <c r="BC39" s="10">
        <v>2</v>
      </c>
      <c r="BD39" s="1">
        <f t="shared" si="29"/>
        <v>6</v>
      </c>
      <c r="BE39" s="18">
        <v>78.03</v>
      </c>
      <c r="BF39" s="10" t="str">
        <f t="shared" si="30"/>
        <v>B+</v>
      </c>
      <c r="BG39" s="1">
        <f t="shared" si="31"/>
        <v>3.5</v>
      </c>
      <c r="BH39" s="10">
        <v>2</v>
      </c>
      <c r="BI39" s="1">
        <f t="shared" si="32"/>
        <v>7</v>
      </c>
      <c r="BJ39" s="10">
        <v>75.400000000000006</v>
      </c>
      <c r="BK39" s="10" t="str">
        <f t="shared" si="33"/>
        <v>B+</v>
      </c>
      <c r="BL39" s="1">
        <f t="shared" si="34"/>
        <v>3.5</v>
      </c>
      <c r="BM39" s="10">
        <v>4</v>
      </c>
      <c r="BN39" s="1">
        <f t="shared" si="35"/>
        <v>14</v>
      </c>
      <c r="BO39" s="10">
        <v>80</v>
      </c>
      <c r="BP39" s="10" t="str">
        <f t="shared" si="36"/>
        <v>A</v>
      </c>
      <c r="BQ39" s="1">
        <f t="shared" si="37"/>
        <v>4</v>
      </c>
      <c r="BR39" s="10">
        <v>4</v>
      </c>
      <c r="BS39" s="1">
        <f t="shared" si="38"/>
        <v>16</v>
      </c>
      <c r="BT39" s="2">
        <v>66</v>
      </c>
      <c r="BU39" s="2">
        <v>22</v>
      </c>
      <c r="BV39" s="2">
        <v>60.5</v>
      </c>
      <c r="BW39" s="2">
        <v>19</v>
      </c>
      <c r="BX39" s="2">
        <v>72</v>
      </c>
      <c r="BY39" s="2">
        <v>21</v>
      </c>
      <c r="BZ39" s="2">
        <v>72</v>
      </c>
      <c r="CA39" s="2">
        <v>21</v>
      </c>
      <c r="CB39" s="2">
        <v>71.5</v>
      </c>
      <c r="CC39" s="2">
        <v>21</v>
      </c>
      <c r="CD39" s="2">
        <v>59.5</v>
      </c>
      <c r="CE39" s="2">
        <v>19</v>
      </c>
      <c r="CF39" s="2">
        <v>56.5</v>
      </c>
      <c r="CG39" s="2">
        <v>17</v>
      </c>
      <c r="CH39" s="2">
        <v>16</v>
      </c>
      <c r="CI39" s="2">
        <v>4</v>
      </c>
      <c r="CJ39" s="2">
        <f t="shared" si="39"/>
        <v>474</v>
      </c>
      <c r="CK39" s="2">
        <f t="shared" si="40"/>
        <v>144</v>
      </c>
      <c r="CL39" s="3">
        <f t="shared" si="41"/>
        <v>3.2916666666666665</v>
      </c>
      <c r="CM39" s="2" t="str">
        <f t="shared" si="42"/>
        <v>Sangat Memuaskan</v>
      </c>
      <c r="CN39" s="37" t="str">
        <f t="shared" si="43"/>
        <v>Highly Satisfactory</v>
      </c>
      <c r="CO39" s="23"/>
    </row>
    <row r="40" spans="1:93" x14ac:dyDescent="0.25">
      <c r="A40" s="2">
        <v>38</v>
      </c>
      <c r="B40" s="23" t="s">
        <v>59</v>
      </c>
      <c r="C40" s="2">
        <v>152111055</v>
      </c>
      <c r="D40" s="10" t="s">
        <v>163</v>
      </c>
      <c r="E40" s="24" t="s">
        <v>143</v>
      </c>
      <c r="F40" s="2"/>
      <c r="G40" s="19">
        <v>75</v>
      </c>
      <c r="H40" s="10" t="str">
        <f t="shared" si="5"/>
        <v>B+</v>
      </c>
      <c r="I40" s="1">
        <f t="shared" si="0"/>
        <v>3.5</v>
      </c>
      <c r="J40" s="10">
        <v>3</v>
      </c>
      <c r="K40" s="1">
        <f t="shared" si="6"/>
        <v>10.5</v>
      </c>
      <c r="L40" s="19">
        <v>78.180000000000007</v>
      </c>
      <c r="M40" s="10" t="str">
        <f t="shared" si="7"/>
        <v>B+</v>
      </c>
      <c r="N40" s="1">
        <f t="shared" si="1"/>
        <v>3.5</v>
      </c>
      <c r="O40" s="10">
        <v>4</v>
      </c>
      <c r="P40" s="1">
        <f t="shared" si="8"/>
        <v>14</v>
      </c>
      <c r="Q40" s="7">
        <v>77</v>
      </c>
      <c r="R40" s="10" t="str">
        <f t="shared" si="9"/>
        <v>B+</v>
      </c>
      <c r="S40" s="1">
        <f t="shared" si="10"/>
        <v>3.5</v>
      </c>
      <c r="T40" s="10">
        <v>4</v>
      </c>
      <c r="U40" s="1">
        <f t="shared" si="11"/>
        <v>14</v>
      </c>
      <c r="V40" s="6">
        <v>75.474999999999994</v>
      </c>
      <c r="W40" s="10" t="str">
        <f t="shared" si="12"/>
        <v>B+</v>
      </c>
      <c r="X40" s="1">
        <f t="shared" si="2"/>
        <v>3.5</v>
      </c>
      <c r="Y40" s="10">
        <v>2</v>
      </c>
      <c r="Z40" s="1">
        <f t="shared" si="13"/>
        <v>7</v>
      </c>
      <c r="AA40" s="18">
        <v>72.802380952380958</v>
      </c>
      <c r="AB40" s="10" t="str">
        <f t="shared" si="14"/>
        <v>B</v>
      </c>
      <c r="AC40" s="1">
        <f t="shared" si="3"/>
        <v>3</v>
      </c>
      <c r="AD40" s="10">
        <v>3</v>
      </c>
      <c r="AE40" s="1">
        <f t="shared" si="15"/>
        <v>9</v>
      </c>
      <c r="AF40" s="12">
        <v>80.224999999999994</v>
      </c>
      <c r="AG40" s="10" t="str">
        <f t="shared" si="16"/>
        <v>A</v>
      </c>
      <c r="AH40" s="1">
        <f t="shared" si="4"/>
        <v>4</v>
      </c>
      <c r="AI40" s="10">
        <v>3</v>
      </c>
      <c r="AJ40" s="1">
        <f t="shared" si="17"/>
        <v>12</v>
      </c>
      <c r="AK40" s="10">
        <v>78</v>
      </c>
      <c r="AL40" s="10" t="str">
        <f t="shared" si="18"/>
        <v>B+</v>
      </c>
      <c r="AM40" s="1">
        <f t="shared" si="19"/>
        <v>3.5</v>
      </c>
      <c r="AN40" s="10">
        <v>4</v>
      </c>
      <c r="AO40" s="1">
        <f t="shared" si="20"/>
        <v>14</v>
      </c>
      <c r="AP40" s="19">
        <v>81.95</v>
      </c>
      <c r="AQ40" s="10" t="str">
        <f t="shared" si="21"/>
        <v>A</v>
      </c>
      <c r="AR40" s="1">
        <f t="shared" si="22"/>
        <v>4</v>
      </c>
      <c r="AS40" s="10">
        <v>2</v>
      </c>
      <c r="AT40" s="1">
        <f t="shared" si="23"/>
        <v>8</v>
      </c>
      <c r="AU40" s="7">
        <v>80</v>
      </c>
      <c r="AV40" s="10" t="str">
        <f t="shared" si="24"/>
        <v>A</v>
      </c>
      <c r="AW40" s="1">
        <f t="shared" si="25"/>
        <v>4</v>
      </c>
      <c r="AX40" s="10">
        <v>3</v>
      </c>
      <c r="AY40" s="1">
        <f t="shared" si="26"/>
        <v>12</v>
      </c>
      <c r="AZ40" s="6">
        <v>78</v>
      </c>
      <c r="BA40" s="10" t="str">
        <f t="shared" si="27"/>
        <v>B+</v>
      </c>
      <c r="BB40" s="1">
        <f t="shared" si="28"/>
        <v>3.5</v>
      </c>
      <c r="BC40" s="10">
        <v>2</v>
      </c>
      <c r="BD40" s="1">
        <f t="shared" si="29"/>
        <v>7</v>
      </c>
      <c r="BE40" s="18">
        <v>76.5</v>
      </c>
      <c r="BF40" s="10" t="str">
        <f t="shared" si="30"/>
        <v>B+</v>
      </c>
      <c r="BG40" s="1">
        <f t="shared" si="31"/>
        <v>3.5</v>
      </c>
      <c r="BH40" s="10">
        <v>2</v>
      </c>
      <c r="BI40" s="1">
        <f t="shared" si="32"/>
        <v>7</v>
      </c>
      <c r="BJ40" s="10">
        <v>76.400000000000006</v>
      </c>
      <c r="BK40" s="10" t="str">
        <f t="shared" si="33"/>
        <v>B+</v>
      </c>
      <c r="BL40" s="1">
        <f t="shared" si="34"/>
        <v>3.5</v>
      </c>
      <c r="BM40" s="10">
        <v>4</v>
      </c>
      <c r="BN40" s="1">
        <f t="shared" si="35"/>
        <v>14</v>
      </c>
      <c r="BO40" s="10">
        <v>80</v>
      </c>
      <c r="BP40" s="10" t="str">
        <f t="shared" si="36"/>
        <v>A</v>
      </c>
      <c r="BQ40" s="1">
        <f t="shared" si="37"/>
        <v>4</v>
      </c>
      <c r="BR40" s="10">
        <v>4</v>
      </c>
      <c r="BS40" s="1">
        <f t="shared" si="38"/>
        <v>16</v>
      </c>
      <c r="BT40" s="2">
        <v>77</v>
      </c>
      <c r="BU40" s="2">
        <v>22</v>
      </c>
      <c r="BV40" s="2">
        <v>66</v>
      </c>
      <c r="BW40" s="2">
        <v>19</v>
      </c>
      <c r="BX40" s="2">
        <v>74.5</v>
      </c>
      <c r="BY40" s="2">
        <v>21</v>
      </c>
      <c r="BZ40" s="2">
        <v>82.5</v>
      </c>
      <c r="CA40" s="2">
        <v>21</v>
      </c>
      <c r="CB40" s="2">
        <v>77.5</v>
      </c>
      <c r="CC40" s="2">
        <v>21</v>
      </c>
      <c r="CD40" s="2">
        <v>66.5</v>
      </c>
      <c r="CE40" s="2">
        <v>19</v>
      </c>
      <c r="CF40" s="2">
        <v>62</v>
      </c>
      <c r="CG40" s="2">
        <v>17</v>
      </c>
      <c r="CH40" s="2">
        <v>16</v>
      </c>
      <c r="CI40" s="2">
        <v>4</v>
      </c>
      <c r="CJ40" s="2">
        <f>BT40+BV40+BX40+BZ40+CB40+CD40+CF40+CH40</f>
        <v>522</v>
      </c>
      <c r="CK40" s="2">
        <f>BU40+BW40+BY40+CA40+CC40+CE40+CG40+CI40</f>
        <v>144</v>
      </c>
      <c r="CL40" s="3">
        <f t="shared" si="41"/>
        <v>3.625</v>
      </c>
      <c r="CM40" s="2" t="str">
        <f t="shared" si="42"/>
        <v>Cum Laude</v>
      </c>
      <c r="CN40" s="37" t="str">
        <f t="shared" si="43"/>
        <v>Excellent</v>
      </c>
      <c r="CO40" s="23"/>
    </row>
  </sheetData>
  <mergeCells count="32">
    <mergeCell ref="CM1:CM2"/>
    <mergeCell ref="CN1:CN2"/>
    <mergeCell ref="CO1:CO2"/>
    <mergeCell ref="CD1:CE1"/>
    <mergeCell ref="CF1:CG1"/>
    <mergeCell ref="CH1:CI1"/>
    <mergeCell ref="CJ1:CK1"/>
    <mergeCell ref="CL1:CL2"/>
    <mergeCell ref="CB1:CC1"/>
    <mergeCell ref="AK1:AO1"/>
    <mergeCell ref="AP1:AT1"/>
    <mergeCell ref="AU1:AY1"/>
    <mergeCell ref="AZ1:BD1"/>
    <mergeCell ref="BE1:BI1"/>
    <mergeCell ref="BJ1:BN1"/>
    <mergeCell ref="BO1:BS1"/>
    <mergeCell ref="BT1:BU1"/>
    <mergeCell ref="BV1:BW1"/>
    <mergeCell ref="BX1:BY1"/>
    <mergeCell ref="BZ1:CA1"/>
    <mergeCell ref="AF1:AJ1"/>
    <mergeCell ref="A1:A2"/>
    <mergeCell ref="B1:B2"/>
    <mergeCell ref="C1:C2"/>
    <mergeCell ref="D1:D2"/>
    <mergeCell ref="E1:E2"/>
    <mergeCell ref="F1:F2"/>
    <mergeCell ref="G1:K1"/>
    <mergeCell ref="L1:P1"/>
    <mergeCell ref="Q1:U1"/>
    <mergeCell ref="V1:Z1"/>
    <mergeCell ref="AA1:AE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Transkip</vt:lpstr>
      <vt:lpstr>Transkip Belakang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FERNANDO NURZAMAN</dc:creator>
  <cp:lastModifiedBy>FERNANDO NURZAMAN</cp:lastModifiedBy>
  <dcterms:created xsi:type="dcterms:W3CDTF">2025-11-26T02:23:50Z</dcterms:created>
  <dcterms:modified xsi:type="dcterms:W3CDTF">2025-12-04T12:11:47Z</dcterms:modified>
</cp:coreProperties>
</file>