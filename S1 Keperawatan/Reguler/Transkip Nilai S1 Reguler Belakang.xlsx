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S1 Keperawatan\"/>
    </mc:Choice>
  </mc:AlternateContent>
  <xr:revisionPtr revIDLastSave="0" documentId="13_ncr:1_{FBB16DB3-C9D9-4642-914F-97FAA05CBF47}" xr6:coauthVersionLast="47" xr6:coauthVersionMax="47" xr10:uidLastSave="{00000000-0000-0000-0000-000000000000}"/>
  <bookViews>
    <workbookView xWindow="-120" yWindow="-120" windowWidth="29040" windowHeight="15720" xr2:uid="{77F3B767-EA62-4568-9457-D27E96752406}"/>
  </bookViews>
  <sheets>
    <sheet name="Transk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4" i="1" l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3" i="1"/>
  <c r="CK40" i="1"/>
  <c r="CJ40" i="1"/>
  <c r="BP40" i="1"/>
  <c r="BQ40" i="1" s="1"/>
  <c r="BS40" i="1" s="1"/>
  <c r="BK40" i="1"/>
  <c r="BL40" i="1" s="1"/>
  <c r="BN40" i="1" s="1"/>
  <c r="BF40" i="1"/>
  <c r="BG40" i="1" s="1"/>
  <c r="BI40" i="1" s="1"/>
  <c r="BA40" i="1"/>
  <c r="BB40" i="1" s="1"/>
  <c r="BD40" i="1" s="1"/>
  <c r="AV40" i="1"/>
  <c r="AW40" i="1" s="1"/>
  <c r="AY40" i="1" s="1"/>
  <c r="AQ40" i="1"/>
  <c r="AR40" i="1" s="1"/>
  <c r="AT40" i="1" s="1"/>
  <c r="AL40" i="1"/>
  <c r="AM40" i="1" s="1"/>
  <c r="AO40" i="1" s="1"/>
  <c r="AG40" i="1"/>
  <c r="AH40" i="1" s="1"/>
  <c r="AJ40" i="1" s="1"/>
  <c r="AB40" i="1"/>
  <c r="AC40" i="1" s="1"/>
  <c r="AE40" i="1" s="1"/>
  <c r="W40" i="1"/>
  <c r="X40" i="1" s="1"/>
  <c r="Z40" i="1" s="1"/>
  <c r="R40" i="1"/>
  <c r="S40" i="1" s="1"/>
  <c r="U40" i="1" s="1"/>
  <c r="M40" i="1"/>
  <c r="N40" i="1" s="1"/>
  <c r="P40" i="1" s="1"/>
  <c r="H40" i="1"/>
  <c r="I40" i="1" s="1"/>
  <c r="K40" i="1" s="1"/>
  <c r="CK39" i="1"/>
  <c r="CJ39" i="1"/>
  <c r="CL39" i="1" s="1"/>
  <c r="BP39" i="1"/>
  <c r="BQ39" i="1" s="1"/>
  <c r="BS39" i="1" s="1"/>
  <c r="BK39" i="1"/>
  <c r="BL39" i="1" s="1"/>
  <c r="BN39" i="1" s="1"/>
  <c r="BF39" i="1"/>
  <c r="BG39" i="1" s="1"/>
  <c r="BI39" i="1" s="1"/>
  <c r="BA39" i="1"/>
  <c r="BB39" i="1" s="1"/>
  <c r="BD39" i="1" s="1"/>
  <c r="AV39" i="1"/>
  <c r="AW39" i="1" s="1"/>
  <c r="AY39" i="1" s="1"/>
  <c r="AQ39" i="1"/>
  <c r="AR39" i="1" s="1"/>
  <c r="AT39" i="1" s="1"/>
  <c r="AL39" i="1"/>
  <c r="AM39" i="1" s="1"/>
  <c r="AO39" i="1" s="1"/>
  <c r="AG39" i="1"/>
  <c r="AH39" i="1" s="1"/>
  <c r="AJ39" i="1" s="1"/>
  <c r="AB39" i="1"/>
  <c r="AC39" i="1" s="1"/>
  <c r="AE39" i="1" s="1"/>
  <c r="W39" i="1"/>
  <c r="X39" i="1" s="1"/>
  <c r="Z39" i="1" s="1"/>
  <c r="R39" i="1"/>
  <c r="S39" i="1" s="1"/>
  <c r="U39" i="1" s="1"/>
  <c r="M39" i="1"/>
  <c r="N39" i="1" s="1"/>
  <c r="P39" i="1" s="1"/>
  <c r="H39" i="1"/>
  <c r="I39" i="1" s="1"/>
  <c r="K39" i="1" s="1"/>
  <c r="CK38" i="1"/>
  <c r="CJ38" i="1"/>
  <c r="CL38" i="1" s="1"/>
  <c r="BP38" i="1"/>
  <c r="BQ38" i="1" s="1"/>
  <c r="BS38" i="1" s="1"/>
  <c r="BK38" i="1"/>
  <c r="BL38" i="1" s="1"/>
  <c r="BN38" i="1" s="1"/>
  <c r="BF38" i="1"/>
  <c r="BG38" i="1" s="1"/>
  <c r="BI38" i="1" s="1"/>
  <c r="BA38" i="1"/>
  <c r="BB38" i="1" s="1"/>
  <c r="BD38" i="1" s="1"/>
  <c r="AV38" i="1"/>
  <c r="AW38" i="1" s="1"/>
  <c r="AY38" i="1" s="1"/>
  <c r="AQ38" i="1"/>
  <c r="AR38" i="1" s="1"/>
  <c r="AT38" i="1" s="1"/>
  <c r="AL38" i="1"/>
  <c r="AM38" i="1" s="1"/>
  <c r="AO38" i="1" s="1"/>
  <c r="AG38" i="1"/>
  <c r="AH38" i="1" s="1"/>
  <c r="AJ38" i="1" s="1"/>
  <c r="AB38" i="1"/>
  <c r="AC38" i="1" s="1"/>
  <c r="AE38" i="1" s="1"/>
  <c r="W38" i="1"/>
  <c r="X38" i="1" s="1"/>
  <c r="Z38" i="1" s="1"/>
  <c r="R38" i="1"/>
  <c r="S38" i="1" s="1"/>
  <c r="U38" i="1" s="1"/>
  <c r="M38" i="1"/>
  <c r="N38" i="1" s="1"/>
  <c r="P38" i="1" s="1"/>
  <c r="H38" i="1"/>
  <c r="I38" i="1" s="1"/>
  <c r="K38" i="1" s="1"/>
  <c r="CK37" i="1"/>
  <c r="CJ37" i="1"/>
  <c r="CL37" i="1" s="1"/>
  <c r="BP37" i="1"/>
  <c r="BQ37" i="1" s="1"/>
  <c r="BS37" i="1" s="1"/>
  <c r="BK37" i="1"/>
  <c r="BL37" i="1" s="1"/>
  <c r="BN37" i="1" s="1"/>
  <c r="BG37" i="1"/>
  <c r="BI37" i="1" s="1"/>
  <c r="BF37" i="1"/>
  <c r="BA37" i="1"/>
  <c r="BB37" i="1" s="1"/>
  <c r="BD37" i="1" s="1"/>
  <c r="AV37" i="1"/>
  <c r="AW37" i="1" s="1"/>
  <c r="AY37" i="1" s="1"/>
  <c r="AQ37" i="1"/>
  <c r="AR37" i="1" s="1"/>
  <c r="AT37" i="1" s="1"/>
  <c r="AL37" i="1"/>
  <c r="AM37" i="1" s="1"/>
  <c r="AO37" i="1" s="1"/>
  <c r="AG37" i="1"/>
  <c r="AH37" i="1" s="1"/>
  <c r="AJ37" i="1" s="1"/>
  <c r="AB37" i="1"/>
  <c r="AC37" i="1" s="1"/>
  <c r="AE37" i="1" s="1"/>
  <c r="W37" i="1"/>
  <c r="X37" i="1" s="1"/>
  <c r="Z37" i="1" s="1"/>
  <c r="R37" i="1"/>
  <c r="S37" i="1" s="1"/>
  <c r="U37" i="1" s="1"/>
  <c r="M37" i="1"/>
  <c r="N37" i="1" s="1"/>
  <c r="P37" i="1" s="1"/>
  <c r="H37" i="1"/>
  <c r="I37" i="1" s="1"/>
  <c r="K37" i="1" s="1"/>
  <c r="CK36" i="1"/>
  <c r="CJ36" i="1"/>
  <c r="CL36" i="1" s="1"/>
  <c r="BP36" i="1"/>
  <c r="BQ36" i="1" s="1"/>
  <c r="BS36" i="1" s="1"/>
  <c r="BK36" i="1"/>
  <c r="BL36" i="1" s="1"/>
  <c r="BN36" i="1" s="1"/>
  <c r="BF36" i="1"/>
  <c r="BG36" i="1" s="1"/>
  <c r="BI36" i="1" s="1"/>
  <c r="BA36" i="1"/>
  <c r="BB36" i="1" s="1"/>
  <c r="BD36" i="1" s="1"/>
  <c r="AV36" i="1"/>
  <c r="AW36" i="1" s="1"/>
  <c r="AY36" i="1" s="1"/>
  <c r="AQ36" i="1"/>
  <c r="AR36" i="1" s="1"/>
  <c r="AT36" i="1" s="1"/>
  <c r="AL36" i="1"/>
  <c r="AM36" i="1" s="1"/>
  <c r="AO36" i="1" s="1"/>
  <c r="AG36" i="1"/>
  <c r="AH36" i="1" s="1"/>
  <c r="AJ36" i="1" s="1"/>
  <c r="AB36" i="1"/>
  <c r="AC36" i="1" s="1"/>
  <c r="AE36" i="1" s="1"/>
  <c r="W36" i="1"/>
  <c r="X36" i="1" s="1"/>
  <c r="Z36" i="1" s="1"/>
  <c r="R36" i="1"/>
  <c r="S36" i="1" s="1"/>
  <c r="U36" i="1" s="1"/>
  <c r="M36" i="1"/>
  <c r="N36" i="1" s="1"/>
  <c r="P36" i="1" s="1"/>
  <c r="H36" i="1"/>
  <c r="I36" i="1" s="1"/>
  <c r="K36" i="1" s="1"/>
  <c r="CK35" i="1"/>
  <c r="CJ35" i="1"/>
  <c r="BP35" i="1"/>
  <c r="BQ35" i="1" s="1"/>
  <c r="BS35" i="1" s="1"/>
  <c r="BK35" i="1"/>
  <c r="BL35" i="1" s="1"/>
  <c r="BN35" i="1" s="1"/>
  <c r="BF35" i="1"/>
  <c r="BG35" i="1" s="1"/>
  <c r="BI35" i="1" s="1"/>
  <c r="BA35" i="1"/>
  <c r="BB35" i="1" s="1"/>
  <c r="BD35" i="1" s="1"/>
  <c r="AV35" i="1"/>
  <c r="AW35" i="1" s="1"/>
  <c r="AY35" i="1" s="1"/>
  <c r="AQ35" i="1"/>
  <c r="AR35" i="1" s="1"/>
  <c r="AT35" i="1" s="1"/>
  <c r="AL35" i="1"/>
  <c r="AM35" i="1" s="1"/>
  <c r="AO35" i="1" s="1"/>
  <c r="AG35" i="1"/>
  <c r="AH35" i="1" s="1"/>
  <c r="AJ35" i="1" s="1"/>
  <c r="AB35" i="1"/>
  <c r="AC35" i="1" s="1"/>
  <c r="AE35" i="1" s="1"/>
  <c r="W35" i="1"/>
  <c r="X35" i="1" s="1"/>
  <c r="Z35" i="1" s="1"/>
  <c r="R35" i="1"/>
  <c r="S35" i="1" s="1"/>
  <c r="U35" i="1" s="1"/>
  <c r="M35" i="1"/>
  <c r="N35" i="1" s="1"/>
  <c r="P35" i="1" s="1"/>
  <c r="H35" i="1"/>
  <c r="I35" i="1" s="1"/>
  <c r="K35" i="1" s="1"/>
  <c r="CK34" i="1"/>
  <c r="CJ34" i="1"/>
  <c r="BP34" i="1"/>
  <c r="BQ34" i="1" s="1"/>
  <c r="BS34" i="1" s="1"/>
  <c r="BK34" i="1"/>
  <c r="BL34" i="1" s="1"/>
  <c r="BN34" i="1" s="1"/>
  <c r="BF34" i="1"/>
  <c r="BG34" i="1" s="1"/>
  <c r="BI34" i="1" s="1"/>
  <c r="BA34" i="1"/>
  <c r="BB34" i="1" s="1"/>
  <c r="BD34" i="1" s="1"/>
  <c r="AV34" i="1"/>
  <c r="AW34" i="1" s="1"/>
  <c r="AY34" i="1" s="1"/>
  <c r="AQ34" i="1"/>
  <c r="AR34" i="1" s="1"/>
  <c r="AT34" i="1" s="1"/>
  <c r="AL34" i="1"/>
  <c r="AM34" i="1" s="1"/>
  <c r="AO34" i="1" s="1"/>
  <c r="AG34" i="1"/>
  <c r="AH34" i="1" s="1"/>
  <c r="AJ34" i="1" s="1"/>
  <c r="AB34" i="1"/>
  <c r="AC34" i="1" s="1"/>
  <c r="AE34" i="1" s="1"/>
  <c r="W34" i="1"/>
  <c r="X34" i="1" s="1"/>
  <c r="Z34" i="1" s="1"/>
  <c r="R34" i="1"/>
  <c r="S34" i="1" s="1"/>
  <c r="U34" i="1" s="1"/>
  <c r="M34" i="1"/>
  <c r="N34" i="1" s="1"/>
  <c r="P34" i="1" s="1"/>
  <c r="H34" i="1"/>
  <c r="I34" i="1" s="1"/>
  <c r="K34" i="1" s="1"/>
  <c r="CK33" i="1"/>
  <c r="CJ33" i="1"/>
  <c r="BP33" i="1"/>
  <c r="BQ33" i="1" s="1"/>
  <c r="BS33" i="1" s="1"/>
  <c r="BK33" i="1"/>
  <c r="BL33" i="1" s="1"/>
  <c r="BN33" i="1" s="1"/>
  <c r="BF33" i="1"/>
  <c r="BG33" i="1" s="1"/>
  <c r="BI33" i="1" s="1"/>
  <c r="BA33" i="1"/>
  <c r="BB33" i="1" s="1"/>
  <c r="BD33" i="1" s="1"/>
  <c r="AV33" i="1"/>
  <c r="AW33" i="1" s="1"/>
  <c r="AY33" i="1" s="1"/>
  <c r="AQ33" i="1"/>
  <c r="AR33" i="1" s="1"/>
  <c r="AT33" i="1" s="1"/>
  <c r="AL33" i="1"/>
  <c r="AM33" i="1" s="1"/>
  <c r="AO33" i="1" s="1"/>
  <c r="AG33" i="1"/>
  <c r="AH33" i="1" s="1"/>
  <c r="AJ33" i="1" s="1"/>
  <c r="AB33" i="1"/>
  <c r="AC33" i="1" s="1"/>
  <c r="AE33" i="1" s="1"/>
  <c r="W33" i="1"/>
  <c r="X33" i="1" s="1"/>
  <c r="Z33" i="1" s="1"/>
  <c r="R33" i="1"/>
  <c r="S33" i="1" s="1"/>
  <c r="U33" i="1" s="1"/>
  <c r="M33" i="1"/>
  <c r="N33" i="1" s="1"/>
  <c r="P33" i="1" s="1"/>
  <c r="H33" i="1"/>
  <c r="I33" i="1" s="1"/>
  <c r="K33" i="1" s="1"/>
  <c r="CK32" i="1"/>
  <c r="CJ32" i="1"/>
  <c r="BP32" i="1"/>
  <c r="BQ32" i="1" s="1"/>
  <c r="BS32" i="1" s="1"/>
  <c r="BK32" i="1"/>
  <c r="BL32" i="1" s="1"/>
  <c r="BN32" i="1" s="1"/>
  <c r="BF32" i="1"/>
  <c r="BG32" i="1" s="1"/>
  <c r="BI32" i="1" s="1"/>
  <c r="BA32" i="1"/>
  <c r="BB32" i="1" s="1"/>
  <c r="BD32" i="1" s="1"/>
  <c r="AV32" i="1"/>
  <c r="AW32" i="1" s="1"/>
  <c r="AY32" i="1" s="1"/>
  <c r="AQ32" i="1"/>
  <c r="AR32" i="1" s="1"/>
  <c r="AT32" i="1" s="1"/>
  <c r="AL32" i="1"/>
  <c r="AM32" i="1" s="1"/>
  <c r="AO32" i="1" s="1"/>
  <c r="AG32" i="1"/>
  <c r="AH32" i="1" s="1"/>
  <c r="AJ32" i="1" s="1"/>
  <c r="AB32" i="1"/>
  <c r="AC32" i="1" s="1"/>
  <c r="AE32" i="1" s="1"/>
  <c r="W32" i="1"/>
  <c r="X32" i="1" s="1"/>
  <c r="Z32" i="1" s="1"/>
  <c r="R32" i="1"/>
  <c r="S32" i="1" s="1"/>
  <c r="U32" i="1" s="1"/>
  <c r="M32" i="1"/>
  <c r="N32" i="1" s="1"/>
  <c r="P32" i="1" s="1"/>
  <c r="H32" i="1"/>
  <c r="I32" i="1" s="1"/>
  <c r="K32" i="1" s="1"/>
  <c r="CK31" i="1"/>
  <c r="CJ31" i="1"/>
  <c r="BP31" i="1"/>
  <c r="BQ31" i="1" s="1"/>
  <c r="BS31" i="1" s="1"/>
  <c r="BK31" i="1"/>
  <c r="BL31" i="1" s="1"/>
  <c r="BN31" i="1" s="1"/>
  <c r="BF31" i="1"/>
  <c r="BG31" i="1" s="1"/>
  <c r="BI31" i="1" s="1"/>
  <c r="BA31" i="1"/>
  <c r="BB31" i="1" s="1"/>
  <c r="BD31" i="1" s="1"/>
  <c r="AV31" i="1"/>
  <c r="AW31" i="1" s="1"/>
  <c r="AY31" i="1" s="1"/>
  <c r="AQ31" i="1"/>
  <c r="AR31" i="1" s="1"/>
  <c r="AT31" i="1" s="1"/>
  <c r="AL31" i="1"/>
  <c r="AM31" i="1" s="1"/>
  <c r="AO31" i="1" s="1"/>
  <c r="AG31" i="1"/>
  <c r="AH31" i="1" s="1"/>
  <c r="AJ31" i="1" s="1"/>
  <c r="AB31" i="1"/>
  <c r="AC31" i="1" s="1"/>
  <c r="AE31" i="1" s="1"/>
  <c r="W31" i="1"/>
  <c r="X31" i="1" s="1"/>
  <c r="Z31" i="1" s="1"/>
  <c r="R31" i="1"/>
  <c r="S31" i="1" s="1"/>
  <c r="U31" i="1" s="1"/>
  <c r="M31" i="1"/>
  <c r="N31" i="1" s="1"/>
  <c r="P31" i="1" s="1"/>
  <c r="H31" i="1"/>
  <c r="I31" i="1" s="1"/>
  <c r="K31" i="1" s="1"/>
  <c r="CK30" i="1"/>
  <c r="CJ30" i="1"/>
  <c r="BP30" i="1"/>
  <c r="BQ30" i="1" s="1"/>
  <c r="BS30" i="1" s="1"/>
  <c r="BK30" i="1"/>
  <c r="BL30" i="1" s="1"/>
  <c r="BN30" i="1" s="1"/>
  <c r="BF30" i="1"/>
  <c r="BG30" i="1" s="1"/>
  <c r="BI30" i="1" s="1"/>
  <c r="BA30" i="1"/>
  <c r="BB30" i="1" s="1"/>
  <c r="BD30" i="1" s="1"/>
  <c r="AV30" i="1"/>
  <c r="AW30" i="1" s="1"/>
  <c r="AY30" i="1" s="1"/>
  <c r="AQ30" i="1"/>
  <c r="AR30" i="1" s="1"/>
  <c r="AT30" i="1" s="1"/>
  <c r="AL30" i="1"/>
  <c r="AM30" i="1" s="1"/>
  <c r="AO30" i="1" s="1"/>
  <c r="AG30" i="1"/>
  <c r="AH30" i="1" s="1"/>
  <c r="AJ30" i="1" s="1"/>
  <c r="AB30" i="1"/>
  <c r="AC30" i="1" s="1"/>
  <c r="AE30" i="1" s="1"/>
  <c r="W30" i="1"/>
  <c r="X30" i="1" s="1"/>
  <c r="Z30" i="1" s="1"/>
  <c r="R30" i="1"/>
  <c r="S30" i="1" s="1"/>
  <c r="U30" i="1" s="1"/>
  <c r="M30" i="1"/>
  <c r="N30" i="1" s="1"/>
  <c r="P30" i="1" s="1"/>
  <c r="H30" i="1"/>
  <c r="I30" i="1" s="1"/>
  <c r="K30" i="1" s="1"/>
  <c r="CK29" i="1"/>
  <c r="CJ29" i="1"/>
  <c r="BP29" i="1"/>
  <c r="BQ29" i="1" s="1"/>
  <c r="BS29" i="1" s="1"/>
  <c r="BK29" i="1"/>
  <c r="BL29" i="1" s="1"/>
  <c r="BN29" i="1" s="1"/>
  <c r="BF29" i="1"/>
  <c r="BG29" i="1" s="1"/>
  <c r="BI29" i="1" s="1"/>
  <c r="BA29" i="1"/>
  <c r="BB29" i="1" s="1"/>
  <c r="BD29" i="1" s="1"/>
  <c r="AV29" i="1"/>
  <c r="AW29" i="1" s="1"/>
  <c r="AY29" i="1" s="1"/>
  <c r="AQ29" i="1"/>
  <c r="AR29" i="1" s="1"/>
  <c r="AT29" i="1" s="1"/>
  <c r="AL29" i="1"/>
  <c r="AM29" i="1" s="1"/>
  <c r="AO29" i="1" s="1"/>
  <c r="AG29" i="1"/>
  <c r="AH29" i="1" s="1"/>
  <c r="AJ29" i="1" s="1"/>
  <c r="AB29" i="1"/>
  <c r="AC29" i="1" s="1"/>
  <c r="AE29" i="1" s="1"/>
  <c r="W29" i="1"/>
  <c r="X29" i="1" s="1"/>
  <c r="Z29" i="1" s="1"/>
  <c r="R29" i="1"/>
  <c r="S29" i="1" s="1"/>
  <c r="U29" i="1" s="1"/>
  <c r="M29" i="1"/>
  <c r="N29" i="1" s="1"/>
  <c r="P29" i="1" s="1"/>
  <c r="H29" i="1"/>
  <c r="I29" i="1" s="1"/>
  <c r="K29" i="1" s="1"/>
  <c r="CK28" i="1"/>
  <c r="CJ28" i="1"/>
  <c r="BP28" i="1"/>
  <c r="BQ28" i="1" s="1"/>
  <c r="BS28" i="1" s="1"/>
  <c r="BK28" i="1"/>
  <c r="BL28" i="1" s="1"/>
  <c r="BN28" i="1" s="1"/>
  <c r="BF28" i="1"/>
  <c r="BG28" i="1" s="1"/>
  <c r="BI28" i="1" s="1"/>
  <c r="BA28" i="1"/>
  <c r="BB28" i="1" s="1"/>
  <c r="BD28" i="1" s="1"/>
  <c r="AV28" i="1"/>
  <c r="AW28" i="1" s="1"/>
  <c r="AY28" i="1" s="1"/>
  <c r="AQ28" i="1"/>
  <c r="AR28" i="1" s="1"/>
  <c r="AT28" i="1" s="1"/>
  <c r="AL28" i="1"/>
  <c r="AM28" i="1" s="1"/>
  <c r="AO28" i="1" s="1"/>
  <c r="AG28" i="1"/>
  <c r="AH28" i="1" s="1"/>
  <c r="AJ28" i="1" s="1"/>
  <c r="AB28" i="1"/>
  <c r="AC28" i="1" s="1"/>
  <c r="AE28" i="1" s="1"/>
  <c r="W28" i="1"/>
  <c r="X28" i="1" s="1"/>
  <c r="Z28" i="1" s="1"/>
  <c r="R28" i="1"/>
  <c r="S28" i="1" s="1"/>
  <c r="U28" i="1" s="1"/>
  <c r="M28" i="1"/>
  <c r="N28" i="1" s="1"/>
  <c r="P28" i="1" s="1"/>
  <c r="H28" i="1"/>
  <c r="I28" i="1" s="1"/>
  <c r="K28" i="1" s="1"/>
  <c r="CK27" i="1"/>
  <c r="CJ27" i="1"/>
  <c r="BP27" i="1"/>
  <c r="BQ27" i="1" s="1"/>
  <c r="BS27" i="1" s="1"/>
  <c r="BK27" i="1"/>
  <c r="BL27" i="1" s="1"/>
  <c r="BN27" i="1" s="1"/>
  <c r="BF27" i="1"/>
  <c r="BG27" i="1" s="1"/>
  <c r="BI27" i="1" s="1"/>
  <c r="BA27" i="1"/>
  <c r="BB27" i="1" s="1"/>
  <c r="BD27" i="1" s="1"/>
  <c r="AV27" i="1"/>
  <c r="AW27" i="1" s="1"/>
  <c r="AY27" i="1" s="1"/>
  <c r="AQ27" i="1"/>
  <c r="AR27" i="1" s="1"/>
  <c r="AT27" i="1" s="1"/>
  <c r="AL27" i="1"/>
  <c r="AM27" i="1" s="1"/>
  <c r="AO27" i="1" s="1"/>
  <c r="AG27" i="1"/>
  <c r="AH27" i="1" s="1"/>
  <c r="AJ27" i="1" s="1"/>
  <c r="AB27" i="1"/>
  <c r="AC27" i="1" s="1"/>
  <c r="AE27" i="1" s="1"/>
  <c r="W27" i="1"/>
  <c r="X27" i="1" s="1"/>
  <c r="Z27" i="1" s="1"/>
  <c r="R27" i="1"/>
  <c r="S27" i="1" s="1"/>
  <c r="U27" i="1" s="1"/>
  <c r="M27" i="1"/>
  <c r="N27" i="1" s="1"/>
  <c r="P27" i="1" s="1"/>
  <c r="H27" i="1"/>
  <c r="I27" i="1" s="1"/>
  <c r="K27" i="1" s="1"/>
  <c r="CK26" i="1"/>
  <c r="CJ26" i="1"/>
  <c r="BP26" i="1"/>
  <c r="BQ26" i="1" s="1"/>
  <c r="BS26" i="1" s="1"/>
  <c r="BK26" i="1"/>
  <c r="BL26" i="1" s="1"/>
  <c r="BN26" i="1" s="1"/>
  <c r="BF26" i="1"/>
  <c r="BG26" i="1" s="1"/>
  <c r="BI26" i="1" s="1"/>
  <c r="BA26" i="1"/>
  <c r="BB26" i="1" s="1"/>
  <c r="BD26" i="1" s="1"/>
  <c r="AV26" i="1"/>
  <c r="AW26" i="1" s="1"/>
  <c r="AY26" i="1" s="1"/>
  <c r="AQ26" i="1"/>
  <c r="AR26" i="1" s="1"/>
  <c r="AT26" i="1" s="1"/>
  <c r="AL26" i="1"/>
  <c r="AM26" i="1" s="1"/>
  <c r="AO26" i="1" s="1"/>
  <c r="AG26" i="1"/>
  <c r="AH26" i="1" s="1"/>
  <c r="AJ26" i="1" s="1"/>
  <c r="AB26" i="1"/>
  <c r="AC26" i="1" s="1"/>
  <c r="AE26" i="1" s="1"/>
  <c r="W26" i="1"/>
  <c r="X26" i="1" s="1"/>
  <c r="Z26" i="1" s="1"/>
  <c r="R26" i="1"/>
  <c r="S26" i="1" s="1"/>
  <c r="U26" i="1" s="1"/>
  <c r="M26" i="1"/>
  <c r="N26" i="1" s="1"/>
  <c r="P26" i="1" s="1"/>
  <c r="H26" i="1"/>
  <c r="I26" i="1" s="1"/>
  <c r="K26" i="1" s="1"/>
  <c r="CK25" i="1"/>
  <c r="CJ25" i="1"/>
  <c r="BP25" i="1"/>
  <c r="BQ25" i="1" s="1"/>
  <c r="BS25" i="1" s="1"/>
  <c r="BK25" i="1"/>
  <c r="BL25" i="1" s="1"/>
  <c r="BN25" i="1" s="1"/>
  <c r="BF25" i="1"/>
  <c r="BG25" i="1" s="1"/>
  <c r="BI25" i="1" s="1"/>
  <c r="BA25" i="1"/>
  <c r="BB25" i="1" s="1"/>
  <c r="BD25" i="1" s="1"/>
  <c r="AV25" i="1"/>
  <c r="AW25" i="1" s="1"/>
  <c r="AY25" i="1" s="1"/>
  <c r="AQ25" i="1"/>
  <c r="AR25" i="1" s="1"/>
  <c r="AT25" i="1" s="1"/>
  <c r="AL25" i="1"/>
  <c r="AM25" i="1" s="1"/>
  <c r="AO25" i="1" s="1"/>
  <c r="AG25" i="1"/>
  <c r="AH25" i="1" s="1"/>
  <c r="AJ25" i="1" s="1"/>
  <c r="AB25" i="1"/>
  <c r="AC25" i="1" s="1"/>
  <c r="AE25" i="1" s="1"/>
  <c r="W25" i="1"/>
  <c r="X25" i="1" s="1"/>
  <c r="Z25" i="1" s="1"/>
  <c r="R25" i="1"/>
  <c r="S25" i="1" s="1"/>
  <c r="U25" i="1" s="1"/>
  <c r="M25" i="1"/>
  <c r="N25" i="1" s="1"/>
  <c r="P25" i="1" s="1"/>
  <c r="H25" i="1"/>
  <c r="I25" i="1" s="1"/>
  <c r="K25" i="1" s="1"/>
  <c r="CK24" i="1"/>
  <c r="CJ24" i="1"/>
  <c r="BP24" i="1"/>
  <c r="BQ24" i="1" s="1"/>
  <c r="BS24" i="1" s="1"/>
  <c r="BK24" i="1"/>
  <c r="BL24" i="1" s="1"/>
  <c r="BN24" i="1" s="1"/>
  <c r="BF24" i="1"/>
  <c r="BG24" i="1" s="1"/>
  <c r="BI24" i="1" s="1"/>
  <c r="BA24" i="1"/>
  <c r="BB24" i="1" s="1"/>
  <c r="BD24" i="1" s="1"/>
  <c r="AV24" i="1"/>
  <c r="AW24" i="1" s="1"/>
  <c r="AY24" i="1" s="1"/>
  <c r="AQ24" i="1"/>
  <c r="AR24" i="1" s="1"/>
  <c r="AT24" i="1" s="1"/>
  <c r="AL24" i="1"/>
  <c r="AM24" i="1" s="1"/>
  <c r="AO24" i="1" s="1"/>
  <c r="AG24" i="1"/>
  <c r="AH24" i="1" s="1"/>
  <c r="AJ24" i="1" s="1"/>
  <c r="AB24" i="1"/>
  <c r="AC24" i="1" s="1"/>
  <c r="AE24" i="1" s="1"/>
  <c r="W24" i="1"/>
  <c r="X24" i="1" s="1"/>
  <c r="Z24" i="1" s="1"/>
  <c r="R24" i="1"/>
  <c r="S24" i="1" s="1"/>
  <c r="U24" i="1" s="1"/>
  <c r="M24" i="1"/>
  <c r="N24" i="1" s="1"/>
  <c r="P24" i="1" s="1"/>
  <c r="H24" i="1"/>
  <c r="I24" i="1" s="1"/>
  <c r="K24" i="1" s="1"/>
  <c r="CK23" i="1"/>
  <c r="CJ23" i="1"/>
  <c r="CL23" i="1" s="1"/>
  <c r="BP23" i="1"/>
  <c r="BQ23" i="1" s="1"/>
  <c r="BS23" i="1" s="1"/>
  <c r="BK23" i="1"/>
  <c r="BL23" i="1" s="1"/>
  <c r="BN23" i="1" s="1"/>
  <c r="BF23" i="1"/>
  <c r="BG23" i="1" s="1"/>
  <c r="BI23" i="1" s="1"/>
  <c r="BA23" i="1"/>
  <c r="BB23" i="1" s="1"/>
  <c r="BD23" i="1" s="1"/>
  <c r="AV23" i="1"/>
  <c r="AW23" i="1" s="1"/>
  <c r="AY23" i="1" s="1"/>
  <c r="AQ23" i="1"/>
  <c r="AR23" i="1" s="1"/>
  <c r="AT23" i="1" s="1"/>
  <c r="AL23" i="1"/>
  <c r="AM23" i="1" s="1"/>
  <c r="AO23" i="1" s="1"/>
  <c r="AG23" i="1"/>
  <c r="AH23" i="1" s="1"/>
  <c r="AJ23" i="1" s="1"/>
  <c r="AB23" i="1"/>
  <c r="AC23" i="1" s="1"/>
  <c r="AE23" i="1" s="1"/>
  <c r="W23" i="1"/>
  <c r="X23" i="1" s="1"/>
  <c r="Z23" i="1" s="1"/>
  <c r="R23" i="1"/>
  <c r="S23" i="1" s="1"/>
  <c r="U23" i="1" s="1"/>
  <c r="M23" i="1"/>
  <c r="N23" i="1" s="1"/>
  <c r="P23" i="1" s="1"/>
  <c r="H23" i="1"/>
  <c r="I23" i="1" s="1"/>
  <c r="K23" i="1" s="1"/>
  <c r="CK22" i="1"/>
  <c r="CJ22" i="1"/>
  <c r="CL22" i="1" s="1"/>
  <c r="BP22" i="1"/>
  <c r="BQ22" i="1" s="1"/>
  <c r="BS22" i="1" s="1"/>
  <c r="BK22" i="1"/>
  <c r="BL22" i="1" s="1"/>
  <c r="BN22" i="1" s="1"/>
  <c r="BF22" i="1"/>
  <c r="BG22" i="1" s="1"/>
  <c r="BI22" i="1" s="1"/>
  <c r="BA22" i="1"/>
  <c r="BB22" i="1" s="1"/>
  <c r="BD22" i="1" s="1"/>
  <c r="AV22" i="1"/>
  <c r="AW22" i="1" s="1"/>
  <c r="AY22" i="1" s="1"/>
  <c r="AQ22" i="1"/>
  <c r="AR22" i="1" s="1"/>
  <c r="AT22" i="1" s="1"/>
  <c r="AL22" i="1"/>
  <c r="AM22" i="1" s="1"/>
  <c r="AO22" i="1" s="1"/>
  <c r="AG22" i="1"/>
  <c r="AH22" i="1" s="1"/>
  <c r="AJ22" i="1" s="1"/>
  <c r="AB22" i="1"/>
  <c r="AC22" i="1" s="1"/>
  <c r="AE22" i="1" s="1"/>
  <c r="W22" i="1"/>
  <c r="X22" i="1" s="1"/>
  <c r="Z22" i="1" s="1"/>
  <c r="R22" i="1"/>
  <c r="S22" i="1" s="1"/>
  <c r="U22" i="1" s="1"/>
  <c r="M22" i="1"/>
  <c r="N22" i="1" s="1"/>
  <c r="P22" i="1" s="1"/>
  <c r="H22" i="1"/>
  <c r="I22" i="1" s="1"/>
  <c r="K22" i="1" s="1"/>
  <c r="CK21" i="1"/>
  <c r="CJ21" i="1"/>
  <c r="BP21" i="1"/>
  <c r="BQ21" i="1" s="1"/>
  <c r="BS21" i="1" s="1"/>
  <c r="BK21" i="1"/>
  <c r="BL21" i="1" s="1"/>
  <c r="BN21" i="1" s="1"/>
  <c r="BF21" i="1"/>
  <c r="BG21" i="1" s="1"/>
  <c r="BI21" i="1" s="1"/>
  <c r="BA21" i="1"/>
  <c r="BB21" i="1" s="1"/>
  <c r="BD21" i="1" s="1"/>
  <c r="AV21" i="1"/>
  <c r="AW21" i="1" s="1"/>
  <c r="AY21" i="1" s="1"/>
  <c r="AQ21" i="1"/>
  <c r="AR21" i="1" s="1"/>
  <c r="AT21" i="1" s="1"/>
  <c r="AL21" i="1"/>
  <c r="AM21" i="1" s="1"/>
  <c r="AO21" i="1" s="1"/>
  <c r="AG21" i="1"/>
  <c r="AH21" i="1" s="1"/>
  <c r="AJ21" i="1" s="1"/>
  <c r="AB21" i="1"/>
  <c r="AC21" i="1" s="1"/>
  <c r="AE21" i="1" s="1"/>
  <c r="W21" i="1"/>
  <c r="X21" i="1" s="1"/>
  <c r="Z21" i="1" s="1"/>
  <c r="R21" i="1"/>
  <c r="S21" i="1" s="1"/>
  <c r="U21" i="1" s="1"/>
  <c r="M21" i="1"/>
  <c r="N21" i="1" s="1"/>
  <c r="P21" i="1" s="1"/>
  <c r="H21" i="1"/>
  <c r="I21" i="1" s="1"/>
  <c r="K21" i="1" s="1"/>
  <c r="CK20" i="1"/>
  <c r="CJ20" i="1"/>
  <c r="CL20" i="1" s="1"/>
  <c r="BP20" i="1"/>
  <c r="BQ20" i="1" s="1"/>
  <c r="BS20" i="1" s="1"/>
  <c r="BK20" i="1"/>
  <c r="BL20" i="1" s="1"/>
  <c r="BN20" i="1" s="1"/>
  <c r="BF20" i="1"/>
  <c r="BG20" i="1" s="1"/>
  <c r="BI20" i="1" s="1"/>
  <c r="BA20" i="1"/>
  <c r="BB20" i="1" s="1"/>
  <c r="BD20" i="1" s="1"/>
  <c r="AV20" i="1"/>
  <c r="AW20" i="1" s="1"/>
  <c r="AY20" i="1" s="1"/>
  <c r="AQ20" i="1"/>
  <c r="AR20" i="1" s="1"/>
  <c r="AT20" i="1" s="1"/>
  <c r="AL20" i="1"/>
  <c r="AM20" i="1" s="1"/>
  <c r="AO20" i="1" s="1"/>
  <c r="AG20" i="1"/>
  <c r="AH20" i="1" s="1"/>
  <c r="AJ20" i="1" s="1"/>
  <c r="AB20" i="1"/>
  <c r="AC20" i="1" s="1"/>
  <c r="AE20" i="1" s="1"/>
  <c r="W20" i="1"/>
  <c r="X20" i="1" s="1"/>
  <c r="Z20" i="1" s="1"/>
  <c r="R20" i="1"/>
  <c r="S20" i="1" s="1"/>
  <c r="U20" i="1" s="1"/>
  <c r="M20" i="1"/>
  <c r="N20" i="1" s="1"/>
  <c r="P20" i="1" s="1"/>
  <c r="H20" i="1"/>
  <c r="I20" i="1" s="1"/>
  <c r="K20" i="1" s="1"/>
  <c r="CK19" i="1"/>
  <c r="CJ19" i="1"/>
  <c r="CL19" i="1" s="1"/>
  <c r="BP19" i="1"/>
  <c r="BQ19" i="1" s="1"/>
  <c r="BS19" i="1" s="1"/>
  <c r="BK19" i="1"/>
  <c r="BL19" i="1" s="1"/>
  <c r="BN19" i="1" s="1"/>
  <c r="BF19" i="1"/>
  <c r="BG19" i="1" s="1"/>
  <c r="BI19" i="1" s="1"/>
  <c r="BA19" i="1"/>
  <c r="BB19" i="1" s="1"/>
  <c r="BD19" i="1" s="1"/>
  <c r="AV19" i="1"/>
  <c r="AW19" i="1" s="1"/>
  <c r="AY19" i="1" s="1"/>
  <c r="AQ19" i="1"/>
  <c r="AR19" i="1" s="1"/>
  <c r="AT19" i="1" s="1"/>
  <c r="AL19" i="1"/>
  <c r="AM19" i="1" s="1"/>
  <c r="AO19" i="1" s="1"/>
  <c r="AG19" i="1"/>
  <c r="AH19" i="1" s="1"/>
  <c r="AJ19" i="1" s="1"/>
  <c r="AB19" i="1"/>
  <c r="AC19" i="1" s="1"/>
  <c r="AE19" i="1" s="1"/>
  <c r="W19" i="1"/>
  <c r="X19" i="1" s="1"/>
  <c r="Z19" i="1" s="1"/>
  <c r="R19" i="1"/>
  <c r="S19" i="1" s="1"/>
  <c r="U19" i="1" s="1"/>
  <c r="M19" i="1"/>
  <c r="N19" i="1" s="1"/>
  <c r="P19" i="1" s="1"/>
  <c r="H19" i="1"/>
  <c r="I19" i="1" s="1"/>
  <c r="K19" i="1" s="1"/>
  <c r="CK18" i="1"/>
  <c r="CJ18" i="1"/>
  <c r="CL18" i="1" s="1"/>
  <c r="BP18" i="1"/>
  <c r="BQ18" i="1" s="1"/>
  <c r="BS18" i="1" s="1"/>
  <c r="BK18" i="1"/>
  <c r="BL18" i="1" s="1"/>
  <c r="BN18" i="1" s="1"/>
  <c r="BF18" i="1"/>
  <c r="BG18" i="1" s="1"/>
  <c r="BI18" i="1" s="1"/>
  <c r="BA18" i="1"/>
  <c r="BB18" i="1" s="1"/>
  <c r="BD18" i="1" s="1"/>
  <c r="AV18" i="1"/>
  <c r="AW18" i="1" s="1"/>
  <c r="AY18" i="1" s="1"/>
  <c r="AQ18" i="1"/>
  <c r="AR18" i="1" s="1"/>
  <c r="AT18" i="1" s="1"/>
  <c r="AL18" i="1"/>
  <c r="AM18" i="1" s="1"/>
  <c r="AO18" i="1" s="1"/>
  <c r="AG18" i="1"/>
  <c r="AH18" i="1" s="1"/>
  <c r="AJ18" i="1" s="1"/>
  <c r="AB18" i="1"/>
  <c r="AC18" i="1" s="1"/>
  <c r="AE18" i="1" s="1"/>
  <c r="W18" i="1"/>
  <c r="X18" i="1" s="1"/>
  <c r="Z18" i="1" s="1"/>
  <c r="R18" i="1"/>
  <c r="S18" i="1" s="1"/>
  <c r="U18" i="1" s="1"/>
  <c r="M18" i="1"/>
  <c r="N18" i="1" s="1"/>
  <c r="P18" i="1" s="1"/>
  <c r="H18" i="1"/>
  <c r="I18" i="1" s="1"/>
  <c r="K18" i="1" s="1"/>
  <c r="CK17" i="1"/>
  <c r="CJ17" i="1"/>
  <c r="CL17" i="1" s="1"/>
  <c r="BP17" i="1"/>
  <c r="BQ17" i="1" s="1"/>
  <c r="BS17" i="1" s="1"/>
  <c r="BK17" i="1"/>
  <c r="BL17" i="1" s="1"/>
  <c r="BN17" i="1" s="1"/>
  <c r="BF17" i="1"/>
  <c r="BG17" i="1" s="1"/>
  <c r="BI17" i="1" s="1"/>
  <c r="BA17" i="1"/>
  <c r="BB17" i="1" s="1"/>
  <c r="BD17" i="1" s="1"/>
  <c r="AV17" i="1"/>
  <c r="AW17" i="1" s="1"/>
  <c r="AY17" i="1" s="1"/>
  <c r="AQ17" i="1"/>
  <c r="AR17" i="1" s="1"/>
  <c r="AT17" i="1" s="1"/>
  <c r="AL17" i="1"/>
  <c r="AM17" i="1" s="1"/>
  <c r="AO17" i="1" s="1"/>
  <c r="AG17" i="1"/>
  <c r="AH17" i="1" s="1"/>
  <c r="AJ17" i="1" s="1"/>
  <c r="AB17" i="1"/>
  <c r="AC17" i="1" s="1"/>
  <c r="AE17" i="1" s="1"/>
  <c r="W17" i="1"/>
  <c r="X17" i="1" s="1"/>
  <c r="Z17" i="1" s="1"/>
  <c r="R17" i="1"/>
  <c r="S17" i="1" s="1"/>
  <c r="U17" i="1" s="1"/>
  <c r="M17" i="1"/>
  <c r="N17" i="1" s="1"/>
  <c r="P17" i="1" s="1"/>
  <c r="H17" i="1"/>
  <c r="I17" i="1" s="1"/>
  <c r="K17" i="1" s="1"/>
  <c r="CK16" i="1"/>
  <c r="CJ16" i="1"/>
  <c r="BP16" i="1"/>
  <c r="BQ16" i="1" s="1"/>
  <c r="BS16" i="1" s="1"/>
  <c r="BK16" i="1"/>
  <c r="BL16" i="1" s="1"/>
  <c r="BN16" i="1" s="1"/>
  <c r="BF16" i="1"/>
  <c r="BG16" i="1" s="1"/>
  <c r="BI16" i="1" s="1"/>
  <c r="BA16" i="1"/>
  <c r="BB16" i="1" s="1"/>
  <c r="BD16" i="1" s="1"/>
  <c r="AV16" i="1"/>
  <c r="AW16" i="1" s="1"/>
  <c r="AY16" i="1" s="1"/>
  <c r="AQ16" i="1"/>
  <c r="AR16" i="1" s="1"/>
  <c r="AT16" i="1" s="1"/>
  <c r="AL16" i="1"/>
  <c r="AM16" i="1" s="1"/>
  <c r="AO16" i="1" s="1"/>
  <c r="AG16" i="1"/>
  <c r="AH16" i="1" s="1"/>
  <c r="AJ16" i="1" s="1"/>
  <c r="AB16" i="1"/>
  <c r="AC16" i="1" s="1"/>
  <c r="AE16" i="1" s="1"/>
  <c r="W16" i="1"/>
  <c r="X16" i="1" s="1"/>
  <c r="Z16" i="1" s="1"/>
  <c r="R16" i="1"/>
  <c r="S16" i="1" s="1"/>
  <c r="U16" i="1" s="1"/>
  <c r="M16" i="1"/>
  <c r="N16" i="1" s="1"/>
  <c r="P16" i="1" s="1"/>
  <c r="H16" i="1"/>
  <c r="I16" i="1" s="1"/>
  <c r="K16" i="1" s="1"/>
  <c r="CK15" i="1"/>
  <c r="CJ15" i="1"/>
  <c r="BP15" i="1"/>
  <c r="BQ15" i="1" s="1"/>
  <c r="BS15" i="1" s="1"/>
  <c r="BK15" i="1"/>
  <c r="BL15" i="1" s="1"/>
  <c r="BN15" i="1" s="1"/>
  <c r="BF15" i="1"/>
  <c r="BG15" i="1" s="1"/>
  <c r="BI15" i="1" s="1"/>
  <c r="BA15" i="1"/>
  <c r="BB15" i="1" s="1"/>
  <c r="BD15" i="1" s="1"/>
  <c r="AV15" i="1"/>
  <c r="AW15" i="1" s="1"/>
  <c r="AY15" i="1" s="1"/>
  <c r="AQ15" i="1"/>
  <c r="AR15" i="1" s="1"/>
  <c r="AT15" i="1" s="1"/>
  <c r="AL15" i="1"/>
  <c r="AM15" i="1" s="1"/>
  <c r="AO15" i="1" s="1"/>
  <c r="AG15" i="1"/>
  <c r="AH15" i="1" s="1"/>
  <c r="AJ15" i="1" s="1"/>
  <c r="AB15" i="1"/>
  <c r="AC15" i="1" s="1"/>
  <c r="AE15" i="1" s="1"/>
  <c r="W15" i="1"/>
  <c r="X15" i="1" s="1"/>
  <c r="Z15" i="1" s="1"/>
  <c r="R15" i="1"/>
  <c r="S15" i="1" s="1"/>
  <c r="U15" i="1" s="1"/>
  <c r="M15" i="1"/>
  <c r="N15" i="1" s="1"/>
  <c r="P15" i="1" s="1"/>
  <c r="H15" i="1"/>
  <c r="I15" i="1" s="1"/>
  <c r="K15" i="1" s="1"/>
  <c r="CK14" i="1"/>
  <c r="CJ14" i="1"/>
  <c r="BP14" i="1"/>
  <c r="BQ14" i="1" s="1"/>
  <c r="BS14" i="1" s="1"/>
  <c r="BK14" i="1"/>
  <c r="BL14" i="1" s="1"/>
  <c r="BN14" i="1" s="1"/>
  <c r="BF14" i="1"/>
  <c r="BG14" i="1" s="1"/>
  <c r="BI14" i="1" s="1"/>
  <c r="BA14" i="1"/>
  <c r="BB14" i="1" s="1"/>
  <c r="BD14" i="1" s="1"/>
  <c r="AV14" i="1"/>
  <c r="AW14" i="1" s="1"/>
  <c r="AY14" i="1" s="1"/>
  <c r="AQ14" i="1"/>
  <c r="AR14" i="1" s="1"/>
  <c r="AT14" i="1" s="1"/>
  <c r="AL14" i="1"/>
  <c r="AM14" i="1" s="1"/>
  <c r="AO14" i="1" s="1"/>
  <c r="AG14" i="1"/>
  <c r="AH14" i="1" s="1"/>
  <c r="AJ14" i="1" s="1"/>
  <c r="AB14" i="1"/>
  <c r="AC14" i="1" s="1"/>
  <c r="AE14" i="1" s="1"/>
  <c r="W14" i="1"/>
  <c r="X14" i="1" s="1"/>
  <c r="Z14" i="1" s="1"/>
  <c r="R14" i="1"/>
  <c r="S14" i="1" s="1"/>
  <c r="U14" i="1" s="1"/>
  <c r="M14" i="1"/>
  <c r="N14" i="1" s="1"/>
  <c r="P14" i="1" s="1"/>
  <c r="H14" i="1"/>
  <c r="I14" i="1" s="1"/>
  <c r="K14" i="1" s="1"/>
  <c r="CK13" i="1"/>
  <c r="CJ13" i="1"/>
  <c r="BP13" i="1"/>
  <c r="BQ13" i="1" s="1"/>
  <c r="BS13" i="1" s="1"/>
  <c r="BK13" i="1"/>
  <c r="BL13" i="1" s="1"/>
  <c r="BN13" i="1" s="1"/>
  <c r="BF13" i="1"/>
  <c r="BG13" i="1" s="1"/>
  <c r="BI13" i="1" s="1"/>
  <c r="BA13" i="1"/>
  <c r="BB13" i="1" s="1"/>
  <c r="BD13" i="1" s="1"/>
  <c r="AV13" i="1"/>
  <c r="AW13" i="1" s="1"/>
  <c r="AY13" i="1" s="1"/>
  <c r="AQ13" i="1"/>
  <c r="AR13" i="1" s="1"/>
  <c r="AT13" i="1" s="1"/>
  <c r="AL13" i="1"/>
  <c r="AM13" i="1" s="1"/>
  <c r="AO13" i="1" s="1"/>
  <c r="AG13" i="1"/>
  <c r="AH13" i="1" s="1"/>
  <c r="AJ13" i="1" s="1"/>
  <c r="AB13" i="1"/>
  <c r="AC13" i="1" s="1"/>
  <c r="AE13" i="1" s="1"/>
  <c r="W13" i="1"/>
  <c r="X13" i="1" s="1"/>
  <c r="Z13" i="1" s="1"/>
  <c r="R13" i="1"/>
  <c r="S13" i="1" s="1"/>
  <c r="U13" i="1" s="1"/>
  <c r="M13" i="1"/>
  <c r="N13" i="1" s="1"/>
  <c r="P13" i="1" s="1"/>
  <c r="H13" i="1"/>
  <c r="I13" i="1" s="1"/>
  <c r="K13" i="1" s="1"/>
  <c r="CK12" i="1"/>
  <c r="CJ12" i="1"/>
  <c r="CL12" i="1" s="1"/>
  <c r="BP12" i="1"/>
  <c r="BQ12" i="1" s="1"/>
  <c r="BS12" i="1" s="1"/>
  <c r="BK12" i="1"/>
  <c r="BL12" i="1" s="1"/>
  <c r="BN12" i="1" s="1"/>
  <c r="BF12" i="1"/>
  <c r="BG12" i="1" s="1"/>
  <c r="BI12" i="1" s="1"/>
  <c r="BA12" i="1"/>
  <c r="BB12" i="1" s="1"/>
  <c r="BD12" i="1" s="1"/>
  <c r="AV12" i="1"/>
  <c r="AW12" i="1" s="1"/>
  <c r="AY12" i="1" s="1"/>
  <c r="AQ12" i="1"/>
  <c r="AR12" i="1" s="1"/>
  <c r="AT12" i="1" s="1"/>
  <c r="AL12" i="1"/>
  <c r="AM12" i="1" s="1"/>
  <c r="AO12" i="1" s="1"/>
  <c r="AG12" i="1"/>
  <c r="AH12" i="1" s="1"/>
  <c r="AJ12" i="1" s="1"/>
  <c r="AB12" i="1"/>
  <c r="AC12" i="1" s="1"/>
  <c r="AE12" i="1" s="1"/>
  <c r="W12" i="1"/>
  <c r="X12" i="1" s="1"/>
  <c r="Z12" i="1" s="1"/>
  <c r="R12" i="1"/>
  <c r="S12" i="1" s="1"/>
  <c r="U12" i="1" s="1"/>
  <c r="M12" i="1"/>
  <c r="N12" i="1" s="1"/>
  <c r="P12" i="1" s="1"/>
  <c r="H12" i="1"/>
  <c r="I12" i="1" s="1"/>
  <c r="K12" i="1" s="1"/>
  <c r="CK11" i="1"/>
  <c r="CJ11" i="1"/>
  <c r="BP11" i="1"/>
  <c r="BQ11" i="1" s="1"/>
  <c r="BS11" i="1" s="1"/>
  <c r="BK11" i="1"/>
  <c r="BL11" i="1" s="1"/>
  <c r="BN11" i="1" s="1"/>
  <c r="BF11" i="1"/>
  <c r="BG11" i="1" s="1"/>
  <c r="BI11" i="1" s="1"/>
  <c r="BA11" i="1"/>
  <c r="BB11" i="1" s="1"/>
  <c r="BD11" i="1" s="1"/>
  <c r="AV11" i="1"/>
  <c r="AW11" i="1" s="1"/>
  <c r="AY11" i="1" s="1"/>
  <c r="AQ11" i="1"/>
  <c r="AR11" i="1" s="1"/>
  <c r="AT11" i="1" s="1"/>
  <c r="AL11" i="1"/>
  <c r="AM11" i="1" s="1"/>
  <c r="AO11" i="1" s="1"/>
  <c r="AG11" i="1"/>
  <c r="AH11" i="1" s="1"/>
  <c r="AJ11" i="1" s="1"/>
  <c r="AB11" i="1"/>
  <c r="AC11" i="1" s="1"/>
  <c r="AE11" i="1" s="1"/>
  <c r="W11" i="1"/>
  <c r="X11" i="1" s="1"/>
  <c r="Z11" i="1" s="1"/>
  <c r="R11" i="1"/>
  <c r="S11" i="1" s="1"/>
  <c r="U11" i="1" s="1"/>
  <c r="M11" i="1"/>
  <c r="N11" i="1" s="1"/>
  <c r="P11" i="1" s="1"/>
  <c r="H11" i="1"/>
  <c r="I11" i="1" s="1"/>
  <c r="K11" i="1" s="1"/>
  <c r="CK10" i="1"/>
  <c r="CJ10" i="1"/>
  <c r="CL10" i="1" s="1"/>
  <c r="BP10" i="1"/>
  <c r="BQ10" i="1" s="1"/>
  <c r="BS10" i="1" s="1"/>
  <c r="BK10" i="1"/>
  <c r="BL10" i="1" s="1"/>
  <c r="BN10" i="1" s="1"/>
  <c r="BF10" i="1"/>
  <c r="BG10" i="1" s="1"/>
  <c r="BI10" i="1" s="1"/>
  <c r="BA10" i="1"/>
  <c r="BB10" i="1" s="1"/>
  <c r="BD10" i="1" s="1"/>
  <c r="AV10" i="1"/>
  <c r="AW10" i="1" s="1"/>
  <c r="AY10" i="1" s="1"/>
  <c r="AQ10" i="1"/>
  <c r="AR10" i="1" s="1"/>
  <c r="AT10" i="1" s="1"/>
  <c r="AL10" i="1"/>
  <c r="AM10" i="1" s="1"/>
  <c r="AO10" i="1" s="1"/>
  <c r="AG10" i="1"/>
  <c r="AH10" i="1" s="1"/>
  <c r="AJ10" i="1" s="1"/>
  <c r="AB10" i="1"/>
  <c r="AC10" i="1" s="1"/>
  <c r="AE10" i="1" s="1"/>
  <c r="W10" i="1"/>
  <c r="X10" i="1" s="1"/>
  <c r="Z10" i="1" s="1"/>
  <c r="R10" i="1"/>
  <c r="S10" i="1" s="1"/>
  <c r="U10" i="1" s="1"/>
  <c r="M10" i="1"/>
  <c r="N10" i="1" s="1"/>
  <c r="P10" i="1" s="1"/>
  <c r="H10" i="1"/>
  <c r="I10" i="1" s="1"/>
  <c r="K10" i="1" s="1"/>
  <c r="CK9" i="1"/>
  <c r="CJ9" i="1"/>
  <c r="BP9" i="1"/>
  <c r="BQ9" i="1" s="1"/>
  <c r="BS9" i="1" s="1"/>
  <c r="BK9" i="1"/>
  <c r="BL9" i="1" s="1"/>
  <c r="BN9" i="1" s="1"/>
  <c r="BF9" i="1"/>
  <c r="BG9" i="1" s="1"/>
  <c r="BI9" i="1" s="1"/>
  <c r="BA9" i="1"/>
  <c r="BB9" i="1" s="1"/>
  <c r="BD9" i="1" s="1"/>
  <c r="AV9" i="1"/>
  <c r="AW9" i="1" s="1"/>
  <c r="AY9" i="1" s="1"/>
  <c r="AQ9" i="1"/>
  <c r="AR9" i="1" s="1"/>
  <c r="AT9" i="1" s="1"/>
  <c r="AL9" i="1"/>
  <c r="AM9" i="1" s="1"/>
  <c r="AO9" i="1" s="1"/>
  <c r="AG9" i="1"/>
  <c r="AH9" i="1" s="1"/>
  <c r="AJ9" i="1" s="1"/>
  <c r="AB9" i="1"/>
  <c r="AC9" i="1" s="1"/>
  <c r="AE9" i="1" s="1"/>
  <c r="W9" i="1"/>
  <c r="X9" i="1" s="1"/>
  <c r="Z9" i="1" s="1"/>
  <c r="R9" i="1"/>
  <c r="S9" i="1" s="1"/>
  <c r="U9" i="1" s="1"/>
  <c r="M9" i="1"/>
  <c r="N9" i="1" s="1"/>
  <c r="P9" i="1" s="1"/>
  <c r="H9" i="1"/>
  <c r="I9" i="1" s="1"/>
  <c r="K9" i="1" s="1"/>
  <c r="CK8" i="1"/>
  <c r="CJ8" i="1"/>
  <c r="BP8" i="1"/>
  <c r="BQ8" i="1" s="1"/>
  <c r="BS8" i="1" s="1"/>
  <c r="BK8" i="1"/>
  <c r="BL8" i="1" s="1"/>
  <c r="BN8" i="1" s="1"/>
  <c r="BF8" i="1"/>
  <c r="BG8" i="1" s="1"/>
  <c r="BI8" i="1" s="1"/>
  <c r="BA8" i="1"/>
  <c r="BB8" i="1" s="1"/>
  <c r="BD8" i="1" s="1"/>
  <c r="AV8" i="1"/>
  <c r="AW8" i="1" s="1"/>
  <c r="AY8" i="1" s="1"/>
  <c r="AQ8" i="1"/>
  <c r="AR8" i="1" s="1"/>
  <c r="AT8" i="1" s="1"/>
  <c r="AL8" i="1"/>
  <c r="AM8" i="1" s="1"/>
  <c r="AO8" i="1" s="1"/>
  <c r="AG8" i="1"/>
  <c r="AH8" i="1" s="1"/>
  <c r="AJ8" i="1" s="1"/>
  <c r="AB8" i="1"/>
  <c r="AC8" i="1" s="1"/>
  <c r="AE8" i="1" s="1"/>
  <c r="W8" i="1"/>
  <c r="X8" i="1" s="1"/>
  <c r="Z8" i="1" s="1"/>
  <c r="R8" i="1"/>
  <c r="S8" i="1" s="1"/>
  <c r="U8" i="1" s="1"/>
  <c r="M8" i="1"/>
  <c r="N8" i="1" s="1"/>
  <c r="P8" i="1" s="1"/>
  <c r="H8" i="1"/>
  <c r="I8" i="1" s="1"/>
  <c r="K8" i="1" s="1"/>
  <c r="CK7" i="1"/>
  <c r="CJ7" i="1"/>
  <c r="BP7" i="1"/>
  <c r="BQ7" i="1" s="1"/>
  <c r="BS7" i="1" s="1"/>
  <c r="BK7" i="1"/>
  <c r="BL7" i="1" s="1"/>
  <c r="BN7" i="1" s="1"/>
  <c r="BF7" i="1"/>
  <c r="BG7" i="1" s="1"/>
  <c r="BI7" i="1" s="1"/>
  <c r="BA7" i="1"/>
  <c r="BB7" i="1" s="1"/>
  <c r="BD7" i="1" s="1"/>
  <c r="AV7" i="1"/>
  <c r="AW7" i="1" s="1"/>
  <c r="AY7" i="1" s="1"/>
  <c r="AQ7" i="1"/>
  <c r="AR7" i="1" s="1"/>
  <c r="AT7" i="1" s="1"/>
  <c r="AL7" i="1"/>
  <c r="AM7" i="1" s="1"/>
  <c r="AO7" i="1" s="1"/>
  <c r="AG7" i="1"/>
  <c r="AH7" i="1" s="1"/>
  <c r="AJ7" i="1" s="1"/>
  <c r="AB7" i="1"/>
  <c r="AC7" i="1" s="1"/>
  <c r="AE7" i="1" s="1"/>
  <c r="W7" i="1"/>
  <c r="X7" i="1" s="1"/>
  <c r="Z7" i="1" s="1"/>
  <c r="R7" i="1"/>
  <c r="S7" i="1" s="1"/>
  <c r="U7" i="1" s="1"/>
  <c r="M7" i="1"/>
  <c r="N7" i="1" s="1"/>
  <c r="P7" i="1" s="1"/>
  <c r="H7" i="1"/>
  <c r="I7" i="1" s="1"/>
  <c r="K7" i="1" s="1"/>
  <c r="CK6" i="1"/>
  <c r="CJ6" i="1"/>
  <c r="BP6" i="1"/>
  <c r="BQ6" i="1" s="1"/>
  <c r="BS6" i="1" s="1"/>
  <c r="BK6" i="1"/>
  <c r="BL6" i="1" s="1"/>
  <c r="BN6" i="1" s="1"/>
  <c r="BF6" i="1"/>
  <c r="BG6" i="1" s="1"/>
  <c r="BI6" i="1" s="1"/>
  <c r="BA6" i="1"/>
  <c r="BB6" i="1" s="1"/>
  <c r="BD6" i="1" s="1"/>
  <c r="AV6" i="1"/>
  <c r="AW6" i="1" s="1"/>
  <c r="AY6" i="1" s="1"/>
  <c r="AQ6" i="1"/>
  <c r="AR6" i="1" s="1"/>
  <c r="AT6" i="1" s="1"/>
  <c r="AL6" i="1"/>
  <c r="AM6" i="1" s="1"/>
  <c r="AO6" i="1" s="1"/>
  <c r="AG6" i="1"/>
  <c r="AH6" i="1" s="1"/>
  <c r="AJ6" i="1" s="1"/>
  <c r="AB6" i="1"/>
  <c r="AC6" i="1" s="1"/>
  <c r="AE6" i="1" s="1"/>
  <c r="W6" i="1"/>
  <c r="X6" i="1" s="1"/>
  <c r="Z6" i="1" s="1"/>
  <c r="R6" i="1"/>
  <c r="S6" i="1" s="1"/>
  <c r="U6" i="1" s="1"/>
  <c r="M6" i="1"/>
  <c r="N6" i="1" s="1"/>
  <c r="P6" i="1" s="1"/>
  <c r="H6" i="1"/>
  <c r="I6" i="1" s="1"/>
  <c r="K6" i="1" s="1"/>
  <c r="CK5" i="1"/>
  <c r="CJ5" i="1"/>
  <c r="CL5" i="1" s="1"/>
  <c r="BP5" i="1"/>
  <c r="BQ5" i="1" s="1"/>
  <c r="BS5" i="1" s="1"/>
  <c r="BK5" i="1"/>
  <c r="BL5" i="1" s="1"/>
  <c r="BN5" i="1" s="1"/>
  <c r="BF5" i="1"/>
  <c r="BG5" i="1" s="1"/>
  <c r="BI5" i="1" s="1"/>
  <c r="BA5" i="1"/>
  <c r="BB5" i="1" s="1"/>
  <c r="BD5" i="1" s="1"/>
  <c r="AV5" i="1"/>
  <c r="AW5" i="1" s="1"/>
  <c r="AY5" i="1" s="1"/>
  <c r="AQ5" i="1"/>
  <c r="AR5" i="1" s="1"/>
  <c r="AT5" i="1" s="1"/>
  <c r="AL5" i="1"/>
  <c r="AM5" i="1" s="1"/>
  <c r="AO5" i="1" s="1"/>
  <c r="AG5" i="1"/>
  <c r="AH5" i="1" s="1"/>
  <c r="AJ5" i="1" s="1"/>
  <c r="AB5" i="1"/>
  <c r="AC5" i="1" s="1"/>
  <c r="AE5" i="1" s="1"/>
  <c r="W5" i="1"/>
  <c r="X5" i="1" s="1"/>
  <c r="Z5" i="1" s="1"/>
  <c r="R5" i="1"/>
  <c r="S5" i="1" s="1"/>
  <c r="U5" i="1" s="1"/>
  <c r="M5" i="1"/>
  <c r="N5" i="1" s="1"/>
  <c r="P5" i="1" s="1"/>
  <c r="H5" i="1"/>
  <c r="I5" i="1" s="1"/>
  <c r="K5" i="1" s="1"/>
  <c r="CK4" i="1"/>
  <c r="CJ4" i="1"/>
  <c r="CL4" i="1" s="1"/>
  <c r="BP4" i="1"/>
  <c r="BQ4" i="1" s="1"/>
  <c r="BS4" i="1" s="1"/>
  <c r="BK4" i="1"/>
  <c r="BL4" i="1" s="1"/>
  <c r="BN4" i="1" s="1"/>
  <c r="BF4" i="1"/>
  <c r="BG4" i="1" s="1"/>
  <c r="BI4" i="1" s="1"/>
  <c r="BA4" i="1"/>
  <c r="BB4" i="1" s="1"/>
  <c r="BD4" i="1" s="1"/>
  <c r="AV4" i="1"/>
  <c r="AW4" i="1" s="1"/>
  <c r="AY4" i="1" s="1"/>
  <c r="AQ4" i="1"/>
  <c r="AR4" i="1" s="1"/>
  <c r="AT4" i="1" s="1"/>
  <c r="AL4" i="1"/>
  <c r="AM4" i="1" s="1"/>
  <c r="AO4" i="1" s="1"/>
  <c r="AG4" i="1"/>
  <c r="AH4" i="1" s="1"/>
  <c r="AJ4" i="1" s="1"/>
  <c r="AB4" i="1"/>
  <c r="AC4" i="1" s="1"/>
  <c r="AE4" i="1" s="1"/>
  <c r="W4" i="1"/>
  <c r="X4" i="1" s="1"/>
  <c r="Z4" i="1" s="1"/>
  <c r="R4" i="1"/>
  <c r="S4" i="1" s="1"/>
  <c r="U4" i="1" s="1"/>
  <c r="M4" i="1"/>
  <c r="N4" i="1" s="1"/>
  <c r="P4" i="1" s="1"/>
  <c r="H4" i="1"/>
  <c r="I4" i="1" s="1"/>
  <c r="K4" i="1" s="1"/>
  <c r="CK3" i="1"/>
  <c r="CJ3" i="1"/>
  <c r="CL3" i="1" s="1"/>
  <c r="BP3" i="1"/>
  <c r="BQ3" i="1" s="1"/>
  <c r="BS3" i="1" s="1"/>
  <c r="BK3" i="1"/>
  <c r="BL3" i="1" s="1"/>
  <c r="BN3" i="1" s="1"/>
  <c r="BF3" i="1"/>
  <c r="BG3" i="1" s="1"/>
  <c r="BI3" i="1" s="1"/>
  <c r="BA3" i="1"/>
  <c r="BB3" i="1" s="1"/>
  <c r="BD3" i="1" s="1"/>
  <c r="AV3" i="1"/>
  <c r="AW3" i="1" s="1"/>
  <c r="AY3" i="1" s="1"/>
  <c r="AQ3" i="1"/>
  <c r="AR3" i="1" s="1"/>
  <c r="AT3" i="1" s="1"/>
  <c r="AL3" i="1"/>
  <c r="AM3" i="1" s="1"/>
  <c r="AO3" i="1" s="1"/>
  <c r="AG3" i="1"/>
  <c r="AH3" i="1" s="1"/>
  <c r="AJ3" i="1" s="1"/>
  <c r="AB3" i="1"/>
  <c r="AC3" i="1" s="1"/>
  <c r="AE3" i="1" s="1"/>
  <c r="W3" i="1"/>
  <c r="X3" i="1" s="1"/>
  <c r="Z3" i="1" s="1"/>
  <c r="R3" i="1"/>
  <c r="S3" i="1" s="1"/>
  <c r="U3" i="1" s="1"/>
  <c r="M3" i="1"/>
  <c r="N3" i="1" s="1"/>
  <c r="P3" i="1" s="1"/>
  <c r="H3" i="1"/>
  <c r="I3" i="1" s="1"/>
  <c r="K3" i="1" s="1"/>
  <c r="CL33" i="1" l="1"/>
  <c r="CL30" i="1"/>
  <c r="CL6" i="1"/>
  <c r="CL11" i="1"/>
  <c r="CL32" i="1"/>
  <c r="CL16" i="1"/>
  <c r="CL13" i="1"/>
  <c r="CL31" i="1"/>
  <c r="CL14" i="1"/>
  <c r="CL26" i="1"/>
  <c r="CL8" i="1"/>
  <c r="CL28" i="1"/>
  <c r="CL9" i="1"/>
  <c r="CL21" i="1"/>
  <c r="CL29" i="1"/>
  <c r="CL35" i="1"/>
  <c r="CL40" i="1"/>
  <c r="CL15" i="1"/>
  <c r="CL7" i="1"/>
  <c r="CL34" i="1"/>
  <c r="CL24" i="1"/>
  <c r="CL25" i="1"/>
  <c r="CL27" i="1"/>
</calcChain>
</file>

<file path=xl/sharedStrings.xml><?xml version="1.0" encoding="utf-8"?>
<sst xmlns="http://schemas.openxmlformats.org/spreadsheetml/2006/main" count="214" uniqueCount="136">
  <si>
    <t>NO</t>
  </si>
  <si>
    <t>NAMA MAHASISWA</t>
  </si>
  <si>
    <t>NIM</t>
  </si>
  <si>
    <t>Tempat Lahir</t>
  </si>
  <si>
    <t>Tanggal Lahir</t>
  </si>
  <si>
    <t>No Transkip Nilai</t>
  </si>
  <si>
    <t>Keperawatan Komunitas II</t>
  </si>
  <si>
    <t>Keperawatan Keluarga</t>
  </si>
  <si>
    <t>Metodologi Penelitian</t>
  </si>
  <si>
    <t>Keperawatan Gawat Darurat I</t>
  </si>
  <si>
    <t xml:space="preserve">Keperawatan Kritis </t>
  </si>
  <si>
    <t>Biostatistik</t>
  </si>
  <si>
    <t>Keperawatan Gerontik</t>
  </si>
  <si>
    <t>Keperawatan Bencana</t>
  </si>
  <si>
    <t>Praktik Keperawatan Medikal Bedah</t>
  </si>
  <si>
    <t>Kewirausahaan Dalam Keperawatan</t>
  </si>
  <si>
    <t>Keperawatan Gawat Darurat II</t>
  </si>
  <si>
    <t>Manajemen Keperawatan</t>
  </si>
  <si>
    <t>Skripsi</t>
  </si>
  <si>
    <t>SMT 1</t>
  </si>
  <si>
    <t>SMT 2</t>
  </si>
  <si>
    <t>SMT 3</t>
  </si>
  <si>
    <t>SMT 4</t>
  </si>
  <si>
    <t>SMT 5</t>
  </si>
  <si>
    <t>SMT 6</t>
  </si>
  <si>
    <t>SMT 7</t>
  </si>
  <si>
    <t>SMT 8</t>
  </si>
  <si>
    <t>IPK</t>
  </si>
  <si>
    <t>Predikat</t>
  </si>
  <si>
    <t>Predikat Bahasa Inggris</t>
  </si>
  <si>
    <t>Judul</t>
  </si>
  <si>
    <t>Nilai</t>
  </si>
  <si>
    <t>LMB</t>
  </si>
  <si>
    <t>MUTU</t>
  </si>
  <si>
    <t>SKS</t>
  </si>
  <si>
    <t>JML</t>
  </si>
  <si>
    <t>N1</t>
  </si>
  <si>
    <t>B1</t>
  </si>
  <si>
    <t>N2</t>
  </si>
  <si>
    <t>B2</t>
  </si>
  <si>
    <t>N3</t>
  </si>
  <si>
    <t>B3</t>
  </si>
  <si>
    <t>N4</t>
  </si>
  <si>
    <t>B4</t>
  </si>
  <si>
    <t>N5</t>
  </si>
  <si>
    <t>B5</t>
  </si>
  <si>
    <t>N6</t>
  </si>
  <si>
    <t>B6</t>
  </si>
  <si>
    <t>N7</t>
  </si>
  <si>
    <t>B7</t>
  </si>
  <si>
    <t>N8</t>
  </si>
  <si>
    <t>B8</t>
  </si>
  <si>
    <t>Beban</t>
  </si>
  <si>
    <t>Anggi Listari</t>
  </si>
  <si>
    <t>Linau</t>
  </si>
  <si>
    <t>29 Agustus 2003</t>
  </si>
  <si>
    <t>Khiril Anan</t>
  </si>
  <si>
    <t>Riftah Auliya</t>
  </si>
  <si>
    <t>Kijang</t>
  </si>
  <si>
    <t xml:space="preserve"> 27 Agustus 2003</t>
  </si>
  <si>
    <t>Ananda Feren Syafa Meilani</t>
  </si>
  <si>
    <t>Tanjungpinang</t>
  </si>
  <si>
    <t xml:space="preserve"> 28 Januari 2004</t>
  </si>
  <si>
    <t>Adynda Iwelda</t>
  </si>
  <si>
    <t>Amelia Saputri</t>
  </si>
  <si>
    <t xml:space="preserve"> 01 Januari 2002</t>
  </si>
  <si>
    <t>Anggri Syafitri</t>
  </si>
  <si>
    <t>19 April 2003</t>
  </si>
  <si>
    <t>Bagas Permadi</t>
  </si>
  <si>
    <t>Matak</t>
  </si>
  <si>
    <t xml:space="preserve"> 28 Juni 2003</t>
  </si>
  <si>
    <t>Diar Saura Syah</t>
  </si>
  <si>
    <t>29 November 2002</t>
  </si>
  <si>
    <t>Elvina Julianti</t>
  </si>
  <si>
    <t>29 Juli 2003</t>
  </si>
  <si>
    <t>Enrico Viery</t>
  </si>
  <si>
    <t>Tangjungpinang</t>
  </si>
  <si>
    <t>27 April 2003</t>
  </si>
  <si>
    <t>Erfina Wardaniyanti</t>
  </si>
  <si>
    <t>Dabo Singkep</t>
  </si>
  <si>
    <t>08 Desember 2002</t>
  </si>
  <si>
    <t>Febi Indah Triyani</t>
  </si>
  <si>
    <t>Fenita Okta Syakila</t>
  </si>
  <si>
    <t>Sungai Lakam Karimun</t>
  </si>
  <si>
    <t>11 Oktober 2003</t>
  </si>
  <si>
    <t>Granitia Mutiarasati</t>
  </si>
  <si>
    <t>15 Januari 2004</t>
  </si>
  <si>
    <t>IKA</t>
  </si>
  <si>
    <t>Sedanau</t>
  </si>
  <si>
    <t>05 April 2003</t>
  </si>
  <si>
    <t>M Alif Amarul Syofiadi</t>
  </si>
  <si>
    <t>22 Juni 2002</t>
  </si>
  <si>
    <t>Meli</t>
  </si>
  <si>
    <t>Nokok</t>
  </si>
  <si>
    <t>Mohamad Syahdan Prastiyo</t>
  </si>
  <si>
    <t>10 Mei 2003</t>
  </si>
  <si>
    <t>Muchlis</t>
  </si>
  <si>
    <t>Muhammad Ibrahim</t>
  </si>
  <si>
    <t>27 Juli 2003</t>
  </si>
  <si>
    <t>Nanda Riyani Putri</t>
  </si>
  <si>
    <t>Tuapaya</t>
  </si>
  <si>
    <t>01 Mei 2003</t>
  </si>
  <si>
    <t>Nur Putri Elita Deaz</t>
  </si>
  <si>
    <t>Penuba</t>
  </si>
  <si>
    <t>23 Juni 2003</t>
  </si>
  <si>
    <t>Patmawati</t>
  </si>
  <si>
    <t>Raldi Bania</t>
  </si>
  <si>
    <t>Ramadhini Putri</t>
  </si>
  <si>
    <t>08 November 2003</t>
  </si>
  <si>
    <t>Rifsty Bernanda Kimang</t>
  </si>
  <si>
    <t>19 Oktober 2003</t>
  </si>
  <si>
    <t>Shafa Nuralita</t>
  </si>
  <si>
    <t>Sukabumi</t>
  </si>
  <si>
    <t>03 Juli 2001</t>
  </si>
  <si>
    <t>Silvia Pitaloka Elisabeth Samosir</t>
  </si>
  <si>
    <t>Sintiya</t>
  </si>
  <si>
    <t>03 Juli 2003</t>
  </si>
  <si>
    <t>Sri Mulyani</t>
  </si>
  <si>
    <t>22 Mei 2002</t>
  </si>
  <si>
    <t>Sri Rahmawati</t>
  </si>
  <si>
    <t>Tembilahan</t>
  </si>
  <si>
    <t>Sundari</t>
  </si>
  <si>
    <t>Teluk Durian</t>
  </si>
  <si>
    <t>27 Januari 2001</t>
  </si>
  <si>
    <t>Viola Andriana</t>
  </si>
  <si>
    <t>10 Oktober 2003</t>
  </si>
  <si>
    <t>Vinna Pradivta Putri Lim</t>
  </si>
  <si>
    <t>04 Agustus 2002</t>
  </si>
  <si>
    <t>Yulinda Sari</t>
  </si>
  <si>
    <t>Malang Rapat</t>
  </si>
  <si>
    <t>20 Juli 2003</t>
  </si>
  <si>
    <t>Riani Wijianti</t>
  </si>
  <si>
    <t>Tanjung Balai Karimun</t>
  </si>
  <si>
    <t>14 Juli 2003</t>
  </si>
  <si>
    <t>Rizkika Arpiandina</t>
  </si>
  <si>
    <t>Batam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</si>
</sst>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164" fontId="5" fillId="0" borderId="1" xfId="2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_Sheet1 2" xfId="2" xr:uid="{A3533405-7EAD-4738-972E-60781C898BC9}"/>
    <cellStyle name="Normal_Sheet1 3" xfId="1" xr:uid="{1DAAB0A6-F0C2-4651-BCE3-986874F6B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9FBE-3E58-4921-BC9F-7CD8E036E268}">
  <dimension ref="A1:CO40"/>
  <sheetViews>
    <sheetView tabSelected="1" topLeftCell="BN19" workbookViewId="0">
      <selection activeCell="CM3" sqref="CM3:CN40"/>
    </sheetView>
  </sheetViews>
  <sheetFormatPr defaultRowHeight="15" x14ac:dyDescent="0.25"/>
  <cols>
    <col min="1" max="1" width="4.28515625" customWidth="1"/>
    <col min="2" max="2" width="34" customWidth="1"/>
    <col min="3" max="3" width="14.7109375" customWidth="1"/>
    <col min="4" max="4" width="23.85546875" customWidth="1"/>
    <col min="5" max="5" width="22.140625" customWidth="1"/>
    <col min="6" max="6" width="24.85546875" customWidth="1"/>
    <col min="72" max="72" width="8" customWidth="1"/>
    <col min="73" max="73" width="6.85546875" customWidth="1"/>
    <col min="74" max="76" width="5.7109375" customWidth="1"/>
    <col min="77" max="77" width="6.85546875" customWidth="1"/>
    <col min="78" max="81" width="5.7109375" customWidth="1"/>
    <col min="82" max="82" width="7.140625" customWidth="1"/>
    <col min="83" max="85" width="5.7109375" customWidth="1"/>
    <col min="86" max="86" width="7.140625" customWidth="1"/>
    <col min="87" max="87" width="7" customWidth="1"/>
    <col min="88" max="88" width="14.5703125" customWidth="1"/>
    <col min="89" max="89" width="14.7109375" customWidth="1"/>
    <col min="90" max="90" width="10.42578125" customWidth="1"/>
    <col min="91" max="91" width="19" customWidth="1"/>
    <col min="92" max="92" width="21.85546875" customWidth="1"/>
    <col min="93" max="93" width="28.85546875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/>
      <c r="I1" s="4"/>
      <c r="J1" s="4"/>
      <c r="K1" s="5"/>
      <c r="L1" s="3" t="s">
        <v>7</v>
      </c>
      <c r="M1" s="4"/>
      <c r="N1" s="4"/>
      <c r="O1" s="4"/>
      <c r="P1" s="5"/>
      <c r="Q1" s="3" t="s">
        <v>8</v>
      </c>
      <c r="R1" s="4"/>
      <c r="S1" s="4"/>
      <c r="T1" s="4"/>
      <c r="U1" s="5"/>
      <c r="V1" s="3" t="s">
        <v>9</v>
      </c>
      <c r="W1" s="4"/>
      <c r="X1" s="4"/>
      <c r="Y1" s="4"/>
      <c r="Z1" s="5"/>
      <c r="AA1" s="6" t="s">
        <v>10</v>
      </c>
      <c r="AB1" s="7"/>
      <c r="AC1" s="7"/>
      <c r="AD1" s="7"/>
      <c r="AE1" s="8"/>
      <c r="AF1" s="3" t="s">
        <v>11</v>
      </c>
      <c r="AG1" s="4"/>
      <c r="AH1" s="4"/>
      <c r="AI1" s="4"/>
      <c r="AJ1" s="5"/>
      <c r="AK1" s="3" t="s">
        <v>12</v>
      </c>
      <c r="AL1" s="4"/>
      <c r="AM1" s="4"/>
      <c r="AN1" s="4"/>
      <c r="AO1" s="5"/>
      <c r="AP1" s="3" t="s">
        <v>13</v>
      </c>
      <c r="AQ1" s="4"/>
      <c r="AR1" s="4"/>
      <c r="AS1" s="4"/>
      <c r="AT1" s="5"/>
      <c r="AU1" s="3" t="s">
        <v>14</v>
      </c>
      <c r="AV1" s="4"/>
      <c r="AW1" s="4"/>
      <c r="AX1" s="4"/>
      <c r="AY1" s="5"/>
      <c r="AZ1" s="3" t="s">
        <v>15</v>
      </c>
      <c r="BA1" s="4"/>
      <c r="BB1" s="4"/>
      <c r="BC1" s="4"/>
      <c r="BD1" s="5"/>
      <c r="BE1" s="6" t="s">
        <v>16</v>
      </c>
      <c r="BF1" s="7"/>
      <c r="BG1" s="7"/>
      <c r="BH1" s="7"/>
      <c r="BI1" s="8"/>
      <c r="BJ1" s="3" t="s">
        <v>17</v>
      </c>
      <c r="BK1" s="4"/>
      <c r="BL1" s="4"/>
      <c r="BM1" s="4"/>
      <c r="BN1" s="5"/>
      <c r="BO1" s="3" t="s">
        <v>18</v>
      </c>
      <c r="BP1" s="4"/>
      <c r="BQ1" s="4"/>
      <c r="BR1" s="4"/>
      <c r="BS1" s="5"/>
      <c r="BT1" s="1" t="s">
        <v>19</v>
      </c>
      <c r="BU1" s="1"/>
      <c r="BV1" s="1" t="s">
        <v>20</v>
      </c>
      <c r="BW1" s="1"/>
      <c r="BX1" s="1" t="s">
        <v>21</v>
      </c>
      <c r="BY1" s="1"/>
      <c r="BZ1" s="1" t="s">
        <v>22</v>
      </c>
      <c r="CA1" s="1"/>
      <c r="CB1" s="1" t="s">
        <v>23</v>
      </c>
      <c r="CC1" s="1"/>
      <c r="CD1" s="1" t="s">
        <v>24</v>
      </c>
      <c r="CE1" s="1"/>
      <c r="CF1" s="9" t="s">
        <v>25</v>
      </c>
      <c r="CG1" s="9"/>
      <c r="CH1" s="9" t="s">
        <v>26</v>
      </c>
      <c r="CI1" s="9"/>
      <c r="CJ1" s="34" t="s">
        <v>31</v>
      </c>
      <c r="CK1" s="36" t="s">
        <v>52</v>
      </c>
      <c r="CL1" s="32" t="s">
        <v>27</v>
      </c>
      <c r="CM1" s="30" t="s">
        <v>28</v>
      </c>
      <c r="CN1" s="30" t="s">
        <v>29</v>
      </c>
      <c r="CO1" s="30" t="s">
        <v>30</v>
      </c>
    </row>
    <row r="2" spans="1:93" x14ac:dyDescent="0.25">
      <c r="A2" s="1"/>
      <c r="B2" s="1"/>
      <c r="C2" s="1"/>
      <c r="D2" s="1"/>
      <c r="E2" s="2"/>
      <c r="F2" s="1"/>
      <c r="G2" s="10" t="s">
        <v>31</v>
      </c>
      <c r="H2" s="10" t="s">
        <v>32</v>
      </c>
      <c r="I2" s="10" t="s">
        <v>33</v>
      </c>
      <c r="J2" s="10" t="s">
        <v>34</v>
      </c>
      <c r="K2" s="10" t="s">
        <v>35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31</v>
      </c>
      <c r="R2" s="10" t="s">
        <v>32</v>
      </c>
      <c r="S2" s="10" t="s">
        <v>33</v>
      </c>
      <c r="T2" s="10" t="s">
        <v>34</v>
      </c>
      <c r="U2" s="10" t="s">
        <v>35</v>
      </c>
      <c r="V2" s="10" t="s">
        <v>31</v>
      </c>
      <c r="W2" s="10" t="s">
        <v>32</v>
      </c>
      <c r="X2" s="10" t="s">
        <v>33</v>
      </c>
      <c r="Y2" s="10" t="s">
        <v>34</v>
      </c>
      <c r="Z2" s="10" t="s">
        <v>35</v>
      </c>
      <c r="AA2" s="10" t="s">
        <v>31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31</v>
      </c>
      <c r="AG2" s="10" t="s">
        <v>32</v>
      </c>
      <c r="AH2" s="10" t="s">
        <v>33</v>
      </c>
      <c r="AI2" s="10" t="s">
        <v>34</v>
      </c>
      <c r="AJ2" s="10" t="s">
        <v>35</v>
      </c>
      <c r="AK2" s="10" t="s">
        <v>31</v>
      </c>
      <c r="AL2" s="10" t="s">
        <v>32</v>
      </c>
      <c r="AM2" s="10" t="s">
        <v>33</v>
      </c>
      <c r="AN2" s="10" t="s">
        <v>34</v>
      </c>
      <c r="AO2" s="10" t="s">
        <v>35</v>
      </c>
      <c r="AP2" s="10" t="s">
        <v>31</v>
      </c>
      <c r="AQ2" s="10" t="s">
        <v>32</v>
      </c>
      <c r="AR2" s="10" t="s">
        <v>33</v>
      </c>
      <c r="AS2" s="10" t="s">
        <v>34</v>
      </c>
      <c r="AT2" s="10" t="s">
        <v>35</v>
      </c>
      <c r="AU2" s="10" t="s">
        <v>31</v>
      </c>
      <c r="AV2" s="10" t="s">
        <v>32</v>
      </c>
      <c r="AW2" s="10" t="s">
        <v>33</v>
      </c>
      <c r="AX2" s="10" t="s">
        <v>34</v>
      </c>
      <c r="AY2" s="10" t="s">
        <v>35</v>
      </c>
      <c r="AZ2" s="10" t="s">
        <v>31</v>
      </c>
      <c r="BA2" s="10" t="s">
        <v>32</v>
      </c>
      <c r="BB2" s="10" t="s">
        <v>33</v>
      </c>
      <c r="BC2" s="10" t="s">
        <v>34</v>
      </c>
      <c r="BD2" s="10" t="s">
        <v>35</v>
      </c>
      <c r="BE2" s="10" t="s">
        <v>31</v>
      </c>
      <c r="BF2" s="10" t="s">
        <v>32</v>
      </c>
      <c r="BG2" s="10" t="s">
        <v>33</v>
      </c>
      <c r="BH2" s="10" t="s">
        <v>34</v>
      </c>
      <c r="BI2" s="10" t="s">
        <v>35</v>
      </c>
      <c r="BJ2" s="10" t="s">
        <v>31</v>
      </c>
      <c r="BK2" s="10" t="s">
        <v>32</v>
      </c>
      <c r="BL2" s="10" t="s">
        <v>33</v>
      </c>
      <c r="BM2" s="10" t="s">
        <v>34</v>
      </c>
      <c r="BN2" s="10" t="s">
        <v>35</v>
      </c>
      <c r="BO2" s="10" t="s">
        <v>31</v>
      </c>
      <c r="BP2" s="10" t="s">
        <v>32</v>
      </c>
      <c r="BQ2" s="10" t="s">
        <v>33</v>
      </c>
      <c r="BR2" s="10" t="s">
        <v>34</v>
      </c>
      <c r="BS2" s="10" t="s">
        <v>35</v>
      </c>
      <c r="BT2" s="11" t="s">
        <v>36</v>
      </c>
      <c r="BU2" s="11" t="s">
        <v>37</v>
      </c>
      <c r="BV2" s="11" t="s">
        <v>38</v>
      </c>
      <c r="BW2" s="11" t="s">
        <v>39</v>
      </c>
      <c r="BX2" s="11" t="s">
        <v>40</v>
      </c>
      <c r="BY2" s="11" t="s">
        <v>41</v>
      </c>
      <c r="BZ2" s="11" t="s">
        <v>42</v>
      </c>
      <c r="CA2" s="11" t="s">
        <v>43</v>
      </c>
      <c r="CB2" s="11" t="s">
        <v>44</v>
      </c>
      <c r="CC2" s="11" t="s">
        <v>45</v>
      </c>
      <c r="CD2" s="11" t="s">
        <v>46</v>
      </c>
      <c r="CE2" s="11" t="s">
        <v>47</v>
      </c>
      <c r="CF2" s="11" t="s">
        <v>48</v>
      </c>
      <c r="CG2" s="11" t="s">
        <v>49</v>
      </c>
      <c r="CH2" s="11" t="s">
        <v>50</v>
      </c>
      <c r="CI2" s="11" t="s">
        <v>51</v>
      </c>
      <c r="CJ2" s="35"/>
      <c r="CK2" s="37"/>
      <c r="CL2" s="33"/>
      <c r="CM2" s="31"/>
      <c r="CN2" s="31"/>
      <c r="CO2" s="31"/>
    </row>
    <row r="3" spans="1:93" x14ac:dyDescent="0.25">
      <c r="A3" s="12">
        <v>1</v>
      </c>
      <c r="B3" s="13" t="s">
        <v>53</v>
      </c>
      <c r="C3" s="14">
        <v>152111001</v>
      </c>
      <c r="D3" s="14" t="s">
        <v>54</v>
      </c>
      <c r="E3" s="15" t="s">
        <v>55</v>
      </c>
      <c r="F3" s="14"/>
      <c r="G3" s="16">
        <v>75.150000000000006</v>
      </c>
      <c r="H3" s="17" t="str">
        <f>IF(G3&gt;=80,"A",IF(G3&gt;=75,"B+",IF(G3&gt;=70,"B",IF(G3&gt;=65,"C+",IF(G3&gt;=60,"C",IF(G3&gt;=55,"D",IF(G3&lt;54,"E")))))))</f>
        <v>B+</v>
      </c>
      <c r="I3" s="10">
        <f t="shared" ref="I3:I40" si="0">IF(H3="A",4,IF(H3="B+",3.5,IF(H3="B",3,IF(H3="C+",2.5,IF(H3="C",2,IF(H3="D",1,0))))))</f>
        <v>3.5</v>
      </c>
      <c r="J3" s="17">
        <v>3</v>
      </c>
      <c r="K3" s="10">
        <f>I3*J3</f>
        <v>10.5</v>
      </c>
      <c r="L3" s="18">
        <v>75.099999999999994</v>
      </c>
      <c r="M3" s="17" t="str">
        <f>IF(L3&gt;=80,"A",IF(L3&gt;=75,"B+",IF(L3&gt;=70,"B",IF(L3&gt;=65,"C+",IF(L3&gt;=60,"C",IF(L3&gt;=55,"D",IF(L3&lt;54,"E")))))))</f>
        <v>B+</v>
      </c>
      <c r="N3" s="10">
        <f t="shared" ref="N3:N40" si="1">IF(M3="A",4,IF(M3="B+",3.5,IF(M3="B",3,IF(M3="C+",2.5,IF(M3="C",2,IF(M3="D",1,0))))))</f>
        <v>3.5</v>
      </c>
      <c r="O3" s="17">
        <v>4</v>
      </c>
      <c r="P3" s="10">
        <f>N3*O3</f>
        <v>14</v>
      </c>
      <c r="Q3" s="19">
        <v>74.25</v>
      </c>
      <c r="R3" s="17" t="str">
        <f>IF(Q3&gt;=80,"A",IF(Q3&gt;=75,"B+",IF(Q3&gt;=70,"B",IF(Q3&gt;=65,"C+",IF(Q3&gt;=60,"C",IF(Q3&gt;=55,"D",IF(Q3&lt;54,"E")))))))</f>
        <v>B</v>
      </c>
      <c r="S3" s="10">
        <f>IF(R3="A",4,IF(R3="B+",3.5,IF(R3="B",3,IF(R3="C+",2.5,IF(R3="C",2,IF(R3="D",1,0))))))</f>
        <v>3</v>
      </c>
      <c r="T3" s="17">
        <v>4</v>
      </c>
      <c r="U3" s="10">
        <f>S3*T3</f>
        <v>12</v>
      </c>
      <c r="V3" s="20">
        <v>72.900000000000006</v>
      </c>
      <c r="W3" s="17" t="str">
        <f>IF(V3&gt;=80,"A",IF(V3&gt;=75,"B+",IF(V3&gt;=70,"B",IF(V3&gt;=65,"C+",IF(V3&gt;=60,"C",IF(V3&gt;=55,"D",IF(V3&lt;54,"E")))))))</f>
        <v>B</v>
      </c>
      <c r="X3" s="10">
        <f t="shared" ref="X3:X40" si="2">IF(W3="A",4,IF(W3="B+",3.5,IF(W3="B",3,IF(W3="C+",2.5,IF(W3="C",2,IF(W3="D",1,0))))))</f>
        <v>3</v>
      </c>
      <c r="Y3" s="17">
        <v>2</v>
      </c>
      <c r="Z3" s="10">
        <f>X3*Y3</f>
        <v>6</v>
      </c>
      <c r="AA3" s="21">
        <v>71.083333333333329</v>
      </c>
      <c r="AB3" s="17" t="str">
        <f>IF(AA3&gt;=80,"A",IF(AA3&gt;=75,"B+",IF(AA3&gt;=70,"B",IF(AA3&gt;=65,"C+",IF(AA3&gt;=60,"C",IF(AA3&gt;=55,"D",IF(AA3&lt;54,"E")))))))</f>
        <v>B</v>
      </c>
      <c r="AC3" s="10">
        <f t="shared" ref="AC3:AC40" si="3">IF(AB3="A",4,IF(AB3="B+",3.5,IF(AB3="B",3,IF(AB3="C+",2.5,IF(AB3="C",2,IF(AB3="D",1,0))))))</f>
        <v>3</v>
      </c>
      <c r="AD3" s="17">
        <v>3</v>
      </c>
      <c r="AE3" s="10">
        <f>AC3*AD3</f>
        <v>9</v>
      </c>
      <c r="AF3" s="22">
        <v>79.75</v>
      </c>
      <c r="AG3" s="17" t="str">
        <f>IF(AF3&gt;=80,"A",IF(AF3&gt;=75,"B+",IF(AF3&gt;=70,"B",IF(AF3&gt;=65,"C+",IF(AF3&gt;=60,"C",IF(AF3&gt;=55,"D",IF(AF3&lt;54,"E")))))))</f>
        <v>B+</v>
      </c>
      <c r="AH3" s="10">
        <f t="shared" ref="AH3:AH40" si="4">IF(AG3="A",4,IF(AG3="B+",3.5,IF(AG3="B",3,IF(AG3="C+",2.5,IF(AG3="C",2,IF(AG3="D",1,0))))))</f>
        <v>3.5</v>
      </c>
      <c r="AI3" s="17">
        <v>3</v>
      </c>
      <c r="AJ3" s="10">
        <f>AH3*AI3</f>
        <v>10.5</v>
      </c>
      <c r="AK3" s="17">
        <v>78</v>
      </c>
      <c r="AL3" s="17" t="str">
        <f>IF(AK3&gt;=80,"A",IF(AK3&gt;=75,"B+",IF(AK3&gt;=70,"B",IF(AK3&gt;=65,"C+",IF(AK3&gt;=60,"C",IF(AK3&gt;=55,"D",IF(AK3&lt;54,"E")))))))</f>
        <v>B+</v>
      </c>
      <c r="AM3" s="10">
        <f>IF(AL3="A",4,IF(AL3="B+",3.5,IF(AL3="B",3,IF(AL3="C+",2.5,IF(AL3="C",2,IF(AL3="D",1,0))))))</f>
        <v>3.5</v>
      </c>
      <c r="AN3" s="17">
        <v>4</v>
      </c>
      <c r="AO3" s="10">
        <f>AM3*AN3</f>
        <v>14</v>
      </c>
      <c r="AP3" s="18">
        <v>77.55</v>
      </c>
      <c r="AQ3" s="17" t="str">
        <f>IF(AP3&gt;=80,"A",IF(AP3&gt;=75,"B+",IF(AP3&gt;=70,"B",IF(AP3&gt;=65,"C+",IF(AP3&gt;=60,"C",IF(AP3&gt;=55,"D",IF(AP3&lt;54,"E")))))))</f>
        <v>B+</v>
      </c>
      <c r="AR3" s="10">
        <f>IF(AQ3="A",4,IF(AQ3="B+",3.5,IF(AQ3="B",3,IF(AQ3="C+",2.5,IF(AQ3="C",2,IF(AQ3="D",1,0))))))</f>
        <v>3.5</v>
      </c>
      <c r="AS3" s="17">
        <v>2</v>
      </c>
      <c r="AT3" s="10">
        <f>AR3*AS3</f>
        <v>7</v>
      </c>
      <c r="AU3" s="19">
        <v>74.83</v>
      </c>
      <c r="AV3" s="17" t="str">
        <f>IF(AU3&gt;=80,"A",IF(AU3&gt;=75,"B+",IF(AU3&gt;=70,"B",IF(AU3&gt;=65,"C+",IF(AU3&gt;=60,"C",IF(AU3&gt;=55,"D",IF(AU3&lt;54,"E")))))))</f>
        <v>B</v>
      </c>
      <c r="AW3" s="10">
        <f>IF(AV3="A",4,IF(AV3="B+",3.5,IF(AV3="B",3,IF(AV3="C+",2.5,IF(AV3="C",2,IF(AV3="D",1,0))))))</f>
        <v>3</v>
      </c>
      <c r="AX3" s="17">
        <v>3</v>
      </c>
      <c r="AY3" s="10">
        <f>AW3*AX3</f>
        <v>9</v>
      </c>
      <c r="AZ3" s="20">
        <v>78</v>
      </c>
      <c r="BA3" s="17" t="str">
        <f>IF(AZ3&gt;=80,"A",IF(AZ3&gt;=75,"B+",IF(AZ3&gt;=70,"B",IF(AZ3&gt;=65,"C+",IF(AZ3&gt;=60,"C",IF(AZ3&gt;=55,"D",IF(AZ3&lt;54,"E")))))))</f>
        <v>B+</v>
      </c>
      <c r="BB3" s="10">
        <f>IF(BA3="A",4,IF(BA3="B+",3.5,IF(BA3="B",3,IF(BA3="C+",2.5,IF(BA3="C",2,IF(BA3="D",1,0))))))</f>
        <v>3.5</v>
      </c>
      <c r="BC3" s="17">
        <v>2</v>
      </c>
      <c r="BD3" s="10">
        <f>BB3*BC3</f>
        <v>7</v>
      </c>
      <c r="BE3" s="21">
        <v>74.680000000000007</v>
      </c>
      <c r="BF3" s="17" t="str">
        <f>IF(BE3&gt;=80,"A",IF(BE3&gt;=75,"B+",IF(BE3&gt;=70,"B",IF(BE3&gt;=65,"C+",IF(BE3&gt;=60,"C",IF(BE3&gt;=55,"D",IF(BE3&lt;54,"E")))))))</f>
        <v>B</v>
      </c>
      <c r="BG3" s="10">
        <f>IF(BF3="A",4,IF(BF3="B+",3.5,IF(BF3="B",3,IF(BF3="C+",2.5,IF(BF3="C",2,IF(BF3="D",1,0))))))</f>
        <v>3</v>
      </c>
      <c r="BH3" s="17">
        <v>2</v>
      </c>
      <c r="BI3" s="10">
        <f>BG3*BH3</f>
        <v>6</v>
      </c>
      <c r="BJ3" s="17">
        <v>75</v>
      </c>
      <c r="BK3" s="17" t="str">
        <f>IF(BJ3&gt;=80,"A",IF(BJ3&gt;=75,"B+",IF(BJ3&gt;=70,"B",IF(BJ3&gt;=65,"C+",IF(BJ3&gt;=60,"C",IF(BJ3&gt;=55,"D",IF(BJ3&lt;54,"E")))))))</f>
        <v>B+</v>
      </c>
      <c r="BL3" s="10">
        <f>IF(BK3="A",4,IF(BK3="B+",3.5,IF(BK3="B",3,IF(BK3="C+",2.5,IF(BK3="C",2,IF(BK3="D",1,0))))))</f>
        <v>3.5</v>
      </c>
      <c r="BM3" s="17">
        <v>4</v>
      </c>
      <c r="BN3" s="10">
        <f>BL3*BM3</f>
        <v>14</v>
      </c>
      <c r="BO3" s="17">
        <v>80</v>
      </c>
      <c r="BP3" s="17" t="str">
        <f>IF(BO3&gt;=80,"A",IF(BO3&gt;=75,"B+",IF(BO3&gt;=70,"B",IF(BO3&gt;=65,"C+",IF(BO3&gt;=60,"C",IF(BO3&gt;=55,"D",IF(BO3&lt;54,"E")))))))</f>
        <v>A</v>
      </c>
      <c r="BQ3" s="10">
        <f>IF(BP3="A",4,IF(BP3="B+",3.5,IF(BP3="B",3,IF(BP3="C+",2.5,IF(BP3="C",2,IF(BP3="D",1,0))))))</f>
        <v>4</v>
      </c>
      <c r="BR3" s="17">
        <v>4</v>
      </c>
      <c r="BS3" s="10">
        <f>BQ3*BR3</f>
        <v>16</v>
      </c>
      <c r="BT3" s="12">
        <v>70.5</v>
      </c>
      <c r="BU3" s="12">
        <v>22</v>
      </c>
      <c r="BV3" s="12">
        <v>63.5</v>
      </c>
      <c r="BW3" s="12">
        <v>19</v>
      </c>
      <c r="BX3" s="12">
        <v>72.5</v>
      </c>
      <c r="BY3" s="12">
        <v>21</v>
      </c>
      <c r="BZ3" s="12">
        <v>70.5</v>
      </c>
      <c r="CA3" s="12">
        <v>21</v>
      </c>
      <c r="CB3" s="12">
        <v>67</v>
      </c>
      <c r="CC3" s="12">
        <v>21</v>
      </c>
      <c r="CD3" s="12">
        <v>62</v>
      </c>
      <c r="CE3" s="12">
        <v>19</v>
      </c>
      <c r="CF3" s="12">
        <v>57</v>
      </c>
      <c r="CG3" s="12">
        <v>17</v>
      </c>
      <c r="CH3" s="12">
        <v>16</v>
      </c>
      <c r="CI3" s="12">
        <v>4</v>
      </c>
      <c r="CJ3" s="12">
        <f>BT3+BV3+BX3+BZ3+CB3+CD3+CF3+CH3</f>
        <v>479</v>
      </c>
      <c r="CK3" s="12">
        <f>BU3+BW3+BY3+CA3+CC3+CE3+CG3+CI3</f>
        <v>144</v>
      </c>
      <c r="CL3" s="23">
        <f>CJ3/CK3</f>
        <v>3.3263888888888888</v>
      </c>
      <c r="CM3" s="12" t="str">
        <f>IF(CL3&gt;=3.51,"Cum Laude",(IF(CL3&gt;=2.75,"Sangat Memuaskan",(IF(CL3&gt;=2,"Memuaskan","GAGAL")))))</f>
        <v>Sangat Memuaskan</v>
      </c>
      <c r="CN3" s="38" t="str">
        <f>IF(CL3&gt;=3.51,"Excellent",(IF(CL3&gt;=2.75,"Highly Satisfactory",(IF(CL3&gt;=2,"Satisfactory","FAILED")))))</f>
        <v>Highly Satisfactory</v>
      </c>
      <c r="CO3" s="24"/>
    </row>
    <row r="4" spans="1:93" x14ac:dyDescent="0.25">
      <c r="A4" s="12">
        <v>2</v>
      </c>
      <c r="B4" s="13" t="s">
        <v>56</v>
      </c>
      <c r="C4" s="14">
        <v>152111002</v>
      </c>
      <c r="D4" s="14"/>
      <c r="E4" s="15"/>
      <c r="F4" s="14"/>
      <c r="G4" s="16">
        <v>76.349999999999994</v>
      </c>
      <c r="H4" s="17" t="str">
        <f t="shared" ref="H4:H40" si="5">IF(G4&gt;=80,"A",IF(G4&gt;=75,"B+",IF(G4&gt;=70,"B",IF(G4&gt;=65,"C+",IF(G4&gt;=60,"C",IF(G4&gt;=55,"D",IF(G4&lt;54,"E")))))))</f>
        <v>B+</v>
      </c>
      <c r="I4" s="10">
        <f t="shared" si="0"/>
        <v>3.5</v>
      </c>
      <c r="J4" s="17">
        <v>3</v>
      </c>
      <c r="K4" s="10">
        <f t="shared" ref="K4:K40" si="6">I4*J4</f>
        <v>10.5</v>
      </c>
      <c r="L4" s="18">
        <v>75.900000000000006</v>
      </c>
      <c r="M4" s="17" t="str">
        <f t="shared" ref="M4:M40" si="7">IF(L4&gt;=80,"A",IF(L4&gt;=75,"B+",IF(L4&gt;=70,"B",IF(L4&gt;=65,"C+",IF(L4&gt;=60,"C",IF(L4&gt;=55,"D",IF(L4&lt;54,"E")))))))</f>
        <v>B+</v>
      </c>
      <c r="N4" s="10">
        <f t="shared" si="1"/>
        <v>3.5</v>
      </c>
      <c r="O4" s="17">
        <v>4</v>
      </c>
      <c r="P4" s="10">
        <f t="shared" ref="P4:P40" si="8">N4*O4</f>
        <v>14</v>
      </c>
      <c r="Q4" s="19">
        <v>74.25</v>
      </c>
      <c r="R4" s="17" t="str">
        <f t="shared" ref="R4:R40" si="9">IF(Q4&gt;=80,"A",IF(Q4&gt;=75,"B+",IF(Q4&gt;=70,"B",IF(Q4&gt;=65,"C+",IF(Q4&gt;=60,"C",IF(Q4&gt;=55,"D",IF(Q4&lt;54,"E")))))))</f>
        <v>B</v>
      </c>
      <c r="S4" s="10">
        <f t="shared" ref="S4:S40" si="10">IF(R4="A",4,IF(R4="B+",3.5,IF(R4="B",3,IF(R4="C+",2.5,IF(R4="C",2,IF(R4="D",1,0))))))</f>
        <v>3</v>
      </c>
      <c r="T4" s="17">
        <v>4</v>
      </c>
      <c r="U4" s="10">
        <f t="shared" ref="U4:U40" si="11">S4*T4</f>
        <v>12</v>
      </c>
      <c r="V4" s="20">
        <v>72.275000000000006</v>
      </c>
      <c r="W4" s="17" t="str">
        <f t="shared" ref="W4:W40" si="12">IF(V4&gt;=80,"A",IF(V4&gt;=75,"B+",IF(V4&gt;=70,"B",IF(V4&gt;=65,"C+",IF(V4&gt;=60,"C",IF(V4&gt;=55,"D",IF(V4&lt;54,"E")))))))</f>
        <v>B</v>
      </c>
      <c r="X4" s="10">
        <f t="shared" si="2"/>
        <v>3</v>
      </c>
      <c r="Y4" s="17">
        <v>2</v>
      </c>
      <c r="Z4" s="10">
        <f t="shared" ref="Z4:Z40" si="13">X4*Y4</f>
        <v>6</v>
      </c>
      <c r="AA4" s="21">
        <v>69.935714285714283</v>
      </c>
      <c r="AB4" s="17" t="str">
        <f t="shared" ref="AB4:AB40" si="14">IF(AA4&gt;=80,"A",IF(AA4&gt;=75,"B+",IF(AA4&gt;=70,"B",IF(AA4&gt;=65,"C+",IF(AA4&gt;=60,"C",IF(AA4&gt;=55,"D",IF(AA4&lt;54,"E")))))))</f>
        <v>C+</v>
      </c>
      <c r="AC4" s="10">
        <f t="shared" si="3"/>
        <v>2.5</v>
      </c>
      <c r="AD4" s="17">
        <v>3</v>
      </c>
      <c r="AE4" s="10">
        <f t="shared" ref="AE4:AE40" si="15">AC4*AD4</f>
        <v>7.5</v>
      </c>
      <c r="AF4" s="22">
        <v>70.575000000000003</v>
      </c>
      <c r="AG4" s="17" t="str">
        <f t="shared" ref="AG4:AG40" si="16">IF(AF4&gt;=80,"A",IF(AF4&gt;=75,"B+",IF(AF4&gt;=70,"B",IF(AF4&gt;=65,"C+",IF(AF4&gt;=60,"C",IF(AF4&gt;=55,"D",IF(AF4&lt;54,"E")))))))</f>
        <v>B</v>
      </c>
      <c r="AH4" s="10">
        <f t="shared" si="4"/>
        <v>3</v>
      </c>
      <c r="AI4" s="17">
        <v>3</v>
      </c>
      <c r="AJ4" s="10">
        <f t="shared" ref="AJ4:AJ40" si="17">AH4*AI4</f>
        <v>9</v>
      </c>
      <c r="AK4" s="22">
        <v>74</v>
      </c>
      <c r="AL4" s="17" t="str">
        <f t="shared" ref="AL4:AL40" si="18">IF(AK4&gt;=80,"A",IF(AK4&gt;=75,"B+",IF(AK4&gt;=70,"B",IF(AK4&gt;=65,"C+",IF(AK4&gt;=60,"C",IF(AK4&gt;=55,"D",IF(AK4&lt;54,"E")))))))</f>
        <v>B</v>
      </c>
      <c r="AM4" s="10">
        <f t="shared" ref="AM4:AM40" si="19">IF(AL4="A",4,IF(AL4="B+",3.5,IF(AL4="B",3,IF(AL4="C+",2.5,IF(AL4="C",2,IF(AL4="D",1,0))))))</f>
        <v>3</v>
      </c>
      <c r="AN4" s="17">
        <v>4</v>
      </c>
      <c r="AO4" s="10">
        <f t="shared" ref="AO4:AO40" si="20">AM4*AN4</f>
        <v>12</v>
      </c>
      <c r="AP4" s="18">
        <v>77.95</v>
      </c>
      <c r="AQ4" s="17" t="str">
        <f t="shared" ref="AQ4:AQ40" si="21">IF(AP4&gt;=80,"A",IF(AP4&gt;=75,"B+",IF(AP4&gt;=70,"B",IF(AP4&gt;=65,"C+",IF(AP4&gt;=60,"C",IF(AP4&gt;=55,"D",IF(AP4&lt;54,"E")))))))</f>
        <v>B+</v>
      </c>
      <c r="AR4" s="10">
        <f t="shared" ref="AR4:AR40" si="22">IF(AQ4="A",4,IF(AQ4="B+",3.5,IF(AQ4="B",3,IF(AQ4="C+",2.5,IF(AQ4="C",2,IF(AQ4="D",1,0))))))</f>
        <v>3.5</v>
      </c>
      <c r="AS4" s="17">
        <v>2</v>
      </c>
      <c r="AT4" s="10">
        <f t="shared" ref="AT4:AT40" si="23">AR4*AS4</f>
        <v>7</v>
      </c>
      <c r="AU4" s="19">
        <v>75.03</v>
      </c>
      <c r="AV4" s="17" t="str">
        <f t="shared" ref="AV4:AV40" si="24">IF(AU4&gt;=80,"A",IF(AU4&gt;=75,"B+",IF(AU4&gt;=70,"B",IF(AU4&gt;=65,"C+",IF(AU4&gt;=60,"C",IF(AU4&gt;=55,"D",IF(AU4&lt;54,"E")))))))</f>
        <v>B+</v>
      </c>
      <c r="AW4" s="10">
        <f t="shared" ref="AW4:AW40" si="25">IF(AV4="A",4,IF(AV4="B+",3.5,IF(AV4="B",3,IF(AV4="C+",2.5,IF(AV4="C",2,IF(AV4="D",1,0))))))</f>
        <v>3.5</v>
      </c>
      <c r="AX4" s="17">
        <v>3</v>
      </c>
      <c r="AY4" s="10">
        <f t="shared" ref="AY4:AY40" si="26">AW4*AX4</f>
        <v>10.5</v>
      </c>
      <c r="AZ4" s="20">
        <v>74</v>
      </c>
      <c r="BA4" s="17" t="str">
        <f t="shared" ref="BA4:BA40" si="27">IF(AZ4&gt;=80,"A",IF(AZ4&gt;=75,"B+",IF(AZ4&gt;=70,"B",IF(AZ4&gt;=65,"C+",IF(AZ4&gt;=60,"C",IF(AZ4&gt;=55,"D",IF(AZ4&lt;54,"E")))))))</f>
        <v>B</v>
      </c>
      <c r="BB4" s="10">
        <f t="shared" ref="BB4:BB40" si="28">IF(BA4="A",4,IF(BA4="B+",3.5,IF(BA4="B",3,IF(BA4="C+",2.5,IF(BA4="C",2,IF(BA4="D",1,0))))))</f>
        <v>3</v>
      </c>
      <c r="BC4" s="17">
        <v>2</v>
      </c>
      <c r="BD4" s="10">
        <f t="shared" ref="BD4:BD40" si="29">BB4*BC4</f>
        <v>6</v>
      </c>
      <c r="BE4" s="21">
        <v>76.75</v>
      </c>
      <c r="BF4" s="17" t="str">
        <f t="shared" ref="BF4:BF40" si="30">IF(BE4&gt;=80,"A",IF(BE4&gt;=75,"B+",IF(BE4&gt;=70,"B",IF(BE4&gt;=65,"C+",IF(BE4&gt;=60,"C",IF(BE4&gt;=55,"D",IF(BE4&lt;54,"E")))))))</f>
        <v>B+</v>
      </c>
      <c r="BG4" s="10">
        <f t="shared" ref="BG4:BG40" si="31">IF(BF4="A",4,IF(BF4="B+",3.5,IF(BF4="B",3,IF(BF4="C+",2.5,IF(BF4="C",2,IF(BF4="D",1,0))))))</f>
        <v>3.5</v>
      </c>
      <c r="BH4" s="17">
        <v>2</v>
      </c>
      <c r="BI4" s="10">
        <f t="shared" ref="BI4:BI40" si="32">BG4*BH4</f>
        <v>7</v>
      </c>
      <c r="BJ4" s="17">
        <v>78.5</v>
      </c>
      <c r="BK4" s="17" t="str">
        <f t="shared" ref="BK4:BK40" si="33">IF(BJ4&gt;=80,"A",IF(BJ4&gt;=75,"B+",IF(BJ4&gt;=70,"B",IF(BJ4&gt;=65,"C+",IF(BJ4&gt;=60,"C",IF(BJ4&gt;=55,"D",IF(BJ4&lt;54,"E")))))))</f>
        <v>B+</v>
      </c>
      <c r="BL4" s="10">
        <f t="shared" ref="BL4:BL40" si="34">IF(BK4="A",4,IF(BK4="B+",3.5,IF(BK4="B",3,IF(BK4="C+",2.5,IF(BK4="C",2,IF(BK4="D",1,0))))))</f>
        <v>3.5</v>
      </c>
      <c r="BM4" s="17">
        <v>4</v>
      </c>
      <c r="BN4" s="10">
        <f t="shared" ref="BN4:BN40" si="35">BL4*BM4</f>
        <v>14</v>
      </c>
      <c r="BO4" s="17">
        <v>80.2</v>
      </c>
      <c r="BP4" s="17" t="str">
        <f t="shared" ref="BP4:BP40" si="36">IF(BO4&gt;=80,"A",IF(BO4&gt;=75,"B+",IF(BO4&gt;=70,"B",IF(BO4&gt;=65,"C+",IF(BO4&gt;=60,"C",IF(BO4&gt;=55,"D",IF(BO4&lt;54,"E")))))))</f>
        <v>A</v>
      </c>
      <c r="BQ4" s="10">
        <f t="shared" ref="BQ4:BQ40" si="37">IF(BP4="A",4,IF(BP4="B+",3.5,IF(BP4="B",3,IF(BP4="C+",2.5,IF(BP4="C",2,IF(BP4="D",1,0))))))</f>
        <v>4</v>
      </c>
      <c r="BR4" s="17">
        <v>4</v>
      </c>
      <c r="BS4" s="10">
        <f t="shared" ref="BS4:BS40" si="38">BQ4*BR4</f>
        <v>16</v>
      </c>
      <c r="BT4" s="12">
        <v>73</v>
      </c>
      <c r="BU4" s="12">
        <v>22</v>
      </c>
      <c r="BV4" s="12">
        <v>64.5</v>
      </c>
      <c r="BW4" s="12">
        <v>19</v>
      </c>
      <c r="BX4" s="12">
        <v>72</v>
      </c>
      <c r="BY4" s="12">
        <v>21</v>
      </c>
      <c r="BZ4" s="12">
        <v>70</v>
      </c>
      <c r="CA4" s="12">
        <v>21</v>
      </c>
      <c r="CB4" s="12">
        <v>68</v>
      </c>
      <c r="CC4" s="12">
        <v>21</v>
      </c>
      <c r="CD4" s="12">
        <v>59</v>
      </c>
      <c r="CE4" s="12">
        <v>19</v>
      </c>
      <c r="CF4" s="12">
        <v>56.5</v>
      </c>
      <c r="CG4" s="12">
        <v>17</v>
      </c>
      <c r="CH4" s="12">
        <v>16</v>
      </c>
      <c r="CI4" s="12">
        <v>4</v>
      </c>
      <c r="CJ4" s="12">
        <f>BT4+BV4+BX4+BZ4+CB4+CD4+CF4+CH4</f>
        <v>479</v>
      </c>
      <c r="CK4" s="12">
        <f>BU4+BW4+BY4+CA4+CC4+CE4+CG4+CI4</f>
        <v>144</v>
      </c>
      <c r="CL4" s="23">
        <f t="shared" ref="CL4:CL40" si="39">CJ4/CK4</f>
        <v>3.3263888888888888</v>
      </c>
      <c r="CM4" s="12" t="str">
        <f t="shared" ref="CM4:CM40" si="40">IF(CL4&gt;=3.51,"Cum Laude",(IF(CL4&gt;=2.75,"Sangat Memuaskan",(IF(CL4&gt;=2,"Memuaskan","GAGAL")))))</f>
        <v>Sangat Memuaskan</v>
      </c>
      <c r="CN4" s="38" t="str">
        <f t="shared" ref="CN4:CN40" si="41">IF(CL4&gt;=3.51,"Excellent",(IF(CL4&gt;=2.75,"Highly Satisfactory",(IF(CL4&gt;=2,"Satisfactory","FAILED")))))</f>
        <v>Highly Satisfactory</v>
      </c>
      <c r="CO4" s="24"/>
    </row>
    <row r="5" spans="1:93" x14ac:dyDescent="0.25">
      <c r="A5" s="12">
        <v>3</v>
      </c>
      <c r="B5" s="25" t="s">
        <v>57</v>
      </c>
      <c r="C5" s="14">
        <v>152111003</v>
      </c>
      <c r="D5" s="14" t="s">
        <v>58</v>
      </c>
      <c r="E5" s="15" t="s">
        <v>59</v>
      </c>
      <c r="F5" s="14"/>
      <c r="G5" s="16">
        <v>80.2</v>
      </c>
      <c r="H5" s="17" t="str">
        <f t="shared" si="5"/>
        <v>A</v>
      </c>
      <c r="I5" s="10">
        <f t="shared" si="0"/>
        <v>4</v>
      </c>
      <c r="J5" s="17">
        <v>3</v>
      </c>
      <c r="K5" s="10">
        <f t="shared" si="6"/>
        <v>12</v>
      </c>
      <c r="L5" s="18">
        <v>78.66</v>
      </c>
      <c r="M5" s="17" t="str">
        <f t="shared" si="7"/>
        <v>B+</v>
      </c>
      <c r="N5" s="10">
        <f t="shared" si="1"/>
        <v>3.5</v>
      </c>
      <c r="O5" s="17">
        <v>4</v>
      </c>
      <c r="P5" s="10">
        <f t="shared" si="8"/>
        <v>14</v>
      </c>
      <c r="Q5" s="19">
        <v>75.5</v>
      </c>
      <c r="R5" s="17" t="str">
        <f t="shared" si="9"/>
        <v>B+</v>
      </c>
      <c r="S5" s="10">
        <f t="shared" si="10"/>
        <v>3.5</v>
      </c>
      <c r="T5" s="17">
        <v>4</v>
      </c>
      <c r="U5" s="10">
        <f t="shared" si="11"/>
        <v>14</v>
      </c>
      <c r="V5" s="20">
        <v>81.325000000000003</v>
      </c>
      <c r="W5" s="17" t="str">
        <f t="shared" si="12"/>
        <v>A</v>
      </c>
      <c r="X5" s="10">
        <f t="shared" si="2"/>
        <v>4</v>
      </c>
      <c r="Y5" s="17">
        <v>2</v>
      </c>
      <c r="Z5" s="10">
        <f t="shared" si="13"/>
        <v>8</v>
      </c>
      <c r="AA5" s="21">
        <v>84.083333333333329</v>
      </c>
      <c r="AB5" s="17" t="str">
        <f t="shared" si="14"/>
        <v>A</v>
      </c>
      <c r="AC5" s="10">
        <f t="shared" si="3"/>
        <v>4</v>
      </c>
      <c r="AD5" s="17">
        <v>3</v>
      </c>
      <c r="AE5" s="10">
        <f t="shared" si="15"/>
        <v>12</v>
      </c>
      <c r="AF5" s="22">
        <v>81.674999999999997</v>
      </c>
      <c r="AG5" s="17" t="str">
        <f t="shared" si="16"/>
        <v>A</v>
      </c>
      <c r="AH5" s="10">
        <f t="shared" si="4"/>
        <v>4</v>
      </c>
      <c r="AI5" s="17">
        <v>3</v>
      </c>
      <c r="AJ5" s="10">
        <f t="shared" si="17"/>
        <v>12</v>
      </c>
      <c r="AK5" s="17">
        <v>75.400000000000006</v>
      </c>
      <c r="AL5" s="17" t="str">
        <f t="shared" si="18"/>
        <v>B+</v>
      </c>
      <c r="AM5" s="10">
        <f t="shared" si="19"/>
        <v>3.5</v>
      </c>
      <c r="AN5" s="17">
        <v>4</v>
      </c>
      <c r="AO5" s="10">
        <f t="shared" si="20"/>
        <v>14</v>
      </c>
      <c r="AP5" s="18">
        <v>80.75</v>
      </c>
      <c r="AQ5" s="17" t="str">
        <f t="shared" si="21"/>
        <v>A</v>
      </c>
      <c r="AR5" s="10">
        <f t="shared" si="22"/>
        <v>4</v>
      </c>
      <c r="AS5" s="17">
        <v>2</v>
      </c>
      <c r="AT5" s="10">
        <f t="shared" si="23"/>
        <v>8</v>
      </c>
      <c r="AU5" s="19">
        <v>80</v>
      </c>
      <c r="AV5" s="17" t="str">
        <f t="shared" si="24"/>
        <v>A</v>
      </c>
      <c r="AW5" s="10">
        <f t="shared" si="25"/>
        <v>4</v>
      </c>
      <c r="AX5" s="17">
        <v>3</v>
      </c>
      <c r="AY5" s="10">
        <f t="shared" si="26"/>
        <v>12</v>
      </c>
      <c r="AZ5" s="20">
        <v>75.400000000000006</v>
      </c>
      <c r="BA5" s="17" t="str">
        <f t="shared" si="27"/>
        <v>B+</v>
      </c>
      <c r="BB5" s="10">
        <f t="shared" si="28"/>
        <v>3.5</v>
      </c>
      <c r="BC5" s="17">
        <v>2</v>
      </c>
      <c r="BD5" s="10">
        <f t="shared" si="29"/>
        <v>7</v>
      </c>
      <c r="BE5" s="21">
        <v>78.55</v>
      </c>
      <c r="BF5" s="17" t="str">
        <f t="shared" si="30"/>
        <v>B+</v>
      </c>
      <c r="BG5" s="10">
        <f t="shared" si="31"/>
        <v>3.5</v>
      </c>
      <c r="BH5" s="17">
        <v>2</v>
      </c>
      <c r="BI5" s="10">
        <f t="shared" si="32"/>
        <v>7</v>
      </c>
      <c r="BJ5" s="17">
        <v>81.2</v>
      </c>
      <c r="BK5" s="17" t="str">
        <f t="shared" si="33"/>
        <v>A</v>
      </c>
      <c r="BL5" s="10">
        <f t="shared" si="34"/>
        <v>4</v>
      </c>
      <c r="BM5" s="17">
        <v>4</v>
      </c>
      <c r="BN5" s="10">
        <f t="shared" si="35"/>
        <v>16</v>
      </c>
      <c r="BO5" s="17">
        <v>83</v>
      </c>
      <c r="BP5" s="17" t="str">
        <f t="shared" si="36"/>
        <v>A</v>
      </c>
      <c r="BQ5" s="10">
        <f t="shared" si="37"/>
        <v>4</v>
      </c>
      <c r="BR5" s="17">
        <v>4</v>
      </c>
      <c r="BS5" s="10">
        <f t="shared" si="38"/>
        <v>16</v>
      </c>
      <c r="BT5" s="12">
        <v>83</v>
      </c>
      <c r="BU5" s="12">
        <v>22</v>
      </c>
      <c r="BV5" s="12">
        <v>69</v>
      </c>
      <c r="BW5" s="12">
        <v>19</v>
      </c>
      <c r="BX5" s="12">
        <v>80.5</v>
      </c>
      <c r="BY5" s="12">
        <v>21</v>
      </c>
      <c r="BZ5" s="12">
        <v>81</v>
      </c>
      <c r="CA5" s="12">
        <v>21</v>
      </c>
      <c r="CB5" s="12">
        <v>83</v>
      </c>
      <c r="CC5" s="12">
        <v>21</v>
      </c>
      <c r="CD5" s="12">
        <v>72</v>
      </c>
      <c r="CE5" s="12">
        <v>19</v>
      </c>
      <c r="CF5" s="12">
        <v>64</v>
      </c>
      <c r="CG5" s="12">
        <v>17</v>
      </c>
      <c r="CH5" s="12">
        <v>16</v>
      </c>
      <c r="CI5" s="12">
        <v>4</v>
      </c>
      <c r="CJ5" s="12">
        <f>BT5+BV5+BX5+BZ5+CB5+CD5+CF5+CH5</f>
        <v>548.5</v>
      </c>
      <c r="CK5" s="12">
        <f>BU5+BW5+BY5+CA5+CC5+CE5+CG5+CI5</f>
        <v>144</v>
      </c>
      <c r="CL5" s="23">
        <f t="shared" si="39"/>
        <v>3.8090277777777777</v>
      </c>
      <c r="CM5" s="12" t="str">
        <f t="shared" si="40"/>
        <v>Cum Laude</v>
      </c>
      <c r="CN5" s="38" t="str">
        <f t="shared" si="41"/>
        <v>Excellent</v>
      </c>
      <c r="CO5" s="24"/>
    </row>
    <row r="6" spans="1:93" x14ac:dyDescent="0.25">
      <c r="A6" s="12">
        <v>4</v>
      </c>
      <c r="B6" s="25" t="s">
        <v>60</v>
      </c>
      <c r="C6" s="14">
        <v>152111004</v>
      </c>
      <c r="D6" s="17" t="s">
        <v>61</v>
      </c>
      <c r="E6" s="15" t="s">
        <v>62</v>
      </c>
      <c r="F6" s="14"/>
      <c r="G6" s="16">
        <v>75</v>
      </c>
      <c r="H6" s="17" t="str">
        <f t="shared" si="5"/>
        <v>B+</v>
      </c>
      <c r="I6" s="10">
        <f t="shared" si="0"/>
        <v>3.5</v>
      </c>
      <c r="J6" s="17">
        <v>3</v>
      </c>
      <c r="K6" s="10">
        <f t="shared" si="6"/>
        <v>10.5</v>
      </c>
      <c r="L6" s="18">
        <v>78.42</v>
      </c>
      <c r="M6" s="17" t="str">
        <f t="shared" si="7"/>
        <v>B+</v>
      </c>
      <c r="N6" s="10">
        <f t="shared" si="1"/>
        <v>3.5</v>
      </c>
      <c r="O6" s="17">
        <v>4</v>
      </c>
      <c r="P6" s="10">
        <f t="shared" si="8"/>
        <v>14</v>
      </c>
      <c r="Q6" s="19">
        <v>74.25</v>
      </c>
      <c r="R6" s="17" t="str">
        <f t="shared" si="9"/>
        <v>B</v>
      </c>
      <c r="S6" s="10">
        <f t="shared" si="10"/>
        <v>3</v>
      </c>
      <c r="T6" s="17">
        <v>4</v>
      </c>
      <c r="U6" s="10">
        <f t="shared" si="11"/>
        <v>12</v>
      </c>
      <c r="V6" s="20">
        <v>73.150000000000006</v>
      </c>
      <c r="W6" s="17" t="str">
        <f t="shared" si="12"/>
        <v>B</v>
      </c>
      <c r="X6" s="10">
        <f t="shared" si="2"/>
        <v>3</v>
      </c>
      <c r="Y6" s="17">
        <v>2</v>
      </c>
      <c r="Z6" s="10">
        <f t="shared" si="13"/>
        <v>6</v>
      </c>
      <c r="AA6" s="21">
        <v>79.849999999999994</v>
      </c>
      <c r="AB6" s="17" t="str">
        <f t="shared" si="14"/>
        <v>B+</v>
      </c>
      <c r="AC6" s="10">
        <f t="shared" si="3"/>
        <v>3.5</v>
      </c>
      <c r="AD6" s="17">
        <v>3</v>
      </c>
      <c r="AE6" s="10">
        <f t="shared" si="15"/>
        <v>10.5</v>
      </c>
      <c r="AF6" s="22">
        <v>77.625</v>
      </c>
      <c r="AG6" s="17" t="str">
        <f t="shared" si="16"/>
        <v>B+</v>
      </c>
      <c r="AH6" s="10">
        <f t="shared" si="4"/>
        <v>3.5</v>
      </c>
      <c r="AI6" s="17">
        <v>3</v>
      </c>
      <c r="AJ6" s="10">
        <f t="shared" si="17"/>
        <v>10.5</v>
      </c>
      <c r="AK6" s="17">
        <v>79.400000000000006</v>
      </c>
      <c r="AL6" s="17" t="str">
        <f t="shared" si="18"/>
        <v>B+</v>
      </c>
      <c r="AM6" s="10">
        <f t="shared" si="19"/>
        <v>3.5</v>
      </c>
      <c r="AN6" s="17">
        <v>4</v>
      </c>
      <c r="AO6" s="10">
        <f t="shared" si="20"/>
        <v>14</v>
      </c>
      <c r="AP6" s="18">
        <v>76.75</v>
      </c>
      <c r="AQ6" s="17" t="str">
        <f t="shared" si="21"/>
        <v>B+</v>
      </c>
      <c r="AR6" s="10">
        <f t="shared" si="22"/>
        <v>3.5</v>
      </c>
      <c r="AS6" s="17">
        <v>2</v>
      </c>
      <c r="AT6" s="10">
        <f t="shared" si="23"/>
        <v>7</v>
      </c>
      <c r="AU6" s="19">
        <v>82</v>
      </c>
      <c r="AV6" s="17" t="str">
        <f t="shared" si="24"/>
        <v>A</v>
      </c>
      <c r="AW6" s="10">
        <f t="shared" si="25"/>
        <v>4</v>
      </c>
      <c r="AX6" s="17">
        <v>3</v>
      </c>
      <c r="AY6" s="10">
        <f t="shared" si="26"/>
        <v>12</v>
      </c>
      <c r="AZ6" s="20">
        <v>79.400000000000006</v>
      </c>
      <c r="BA6" s="17" t="str">
        <f t="shared" si="27"/>
        <v>B+</v>
      </c>
      <c r="BB6" s="10">
        <f t="shared" si="28"/>
        <v>3.5</v>
      </c>
      <c r="BC6" s="17">
        <v>2</v>
      </c>
      <c r="BD6" s="10">
        <f t="shared" si="29"/>
        <v>7</v>
      </c>
      <c r="BE6" s="21">
        <v>70.38</v>
      </c>
      <c r="BF6" s="17" t="str">
        <f t="shared" si="30"/>
        <v>B</v>
      </c>
      <c r="BG6" s="10">
        <f t="shared" si="31"/>
        <v>3</v>
      </c>
      <c r="BH6" s="17">
        <v>2</v>
      </c>
      <c r="BI6" s="10">
        <f t="shared" si="32"/>
        <v>6</v>
      </c>
      <c r="BJ6" s="17">
        <v>76.400000000000006</v>
      </c>
      <c r="BK6" s="17" t="str">
        <f t="shared" si="33"/>
        <v>B+</v>
      </c>
      <c r="BL6" s="10">
        <f t="shared" si="34"/>
        <v>3.5</v>
      </c>
      <c r="BM6" s="17">
        <v>4</v>
      </c>
      <c r="BN6" s="10">
        <f t="shared" si="35"/>
        <v>14</v>
      </c>
      <c r="BO6" s="17">
        <v>81.8</v>
      </c>
      <c r="BP6" s="17" t="str">
        <f t="shared" si="36"/>
        <v>A</v>
      </c>
      <c r="BQ6" s="10">
        <f t="shared" si="37"/>
        <v>4</v>
      </c>
      <c r="BR6" s="17">
        <v>4</v>
      </c>
      <c r="BS6" s="10">
        <f t="shared" si="38"/>
        <v>16</v>
      </c>
      <c r="BT6" s="12">
        <v>76</v>
      </c>
      <c r="BU6" s="12">
        <v>22</v>
      </c>
      <c r="BV6" s="12">
        <v>67</v>
      </c>
      <c r="BW6" s="12">
        <v>19</v>
      </c>
      <c r="BX6" s="12">
        <v>77.5</v>
      </c>
      <c r="BY6" s="12">
        <v>21</v>
      </c>
      <c r="BZ6" s="12">
        <v>81</v>
      </c>
      <c r="CA6" s="12">
        <v>21</v>
      </c>
      <c r="CB6" s="12">
        <v>76.5</v>
      </c>
      <c r="CC6" s="12">
        <v>21</v>
      </c>
      <c r="CD6" s="12">
        <v>63.5</v>
      </c>
      <c r="CE6" s="12">
        <v>19</v>
      </c>
      <c r="CF6" s="12">
        <v>60</v>
      </c>
      <c r="CG6" s="12">
        <v>17</v>
      </c>
      <c r="CH6" s="12">
        <v>16</v>
      </c>
      <c r="CI6" s="12">
        <v>4</v>
      </c>
      <c r="CJ6" s="12">
        <f>BT6+BV6+BX6+BZ6+CB6+CD6+CF6+CH6</f>
        <v>517.5</v>
      </c>
      <c r="CK6" s="12">
        <f>BU6+BW6+BY6+CA6+CC6+CE6+CG6+CI6</f>
        <v>144</v>
      </c>
      <c r="CL6" s="23">
        <f t="shared" si="39"/>
        <v>3.59375</v>
      </c>
      <c r="CM6" s="12" t="str">
        <f t="shared" si="40"/>
        <v>Cum Laude</v>
      </c>
      <c r="CN6" s="38" t="str">
        <f t="shared" si="41"/>
        <v>Excellent</v>
      </c>
      <c r="CO6" s="24"/>
    </row>
    <row r="7" spans="1:93" x14ac:dyDescent="0.25">
      <c r="A7" s="12">
        <v>5</v>
      </c>
      <c r="B7" s="26" t="s">
        <v>63</v>
      </c>
      <c r="C7" s="14">
        <v>152111005</v>
      </c>
      <c r="D7" s="14"/>
      <c r="E7" s="15"/>
      <c r="F7" s="14"/>
      <c r="G7" s="16">
        <v>73.2</v>
      </c>
      <c r="H7" s="17" t="str">
        <f t="shared" si="5"/>
        <v>B</v>
      </c>
      <c r="I7" s="10">
        <f t="shared" si="0"/>
        <v>3</v>
      </c>
      <c r="J7" s="17">
        <v>3</v>
      </c>
      <c r="K7" s="10">
        <f t="shared" si="6"/>
        <v>9</v>
      </c>
      <c r="L7" s="18">
        <v>73.8</v>
      </c>
      <c r="M7" s="17" t="str">
        <f t="shared" si="7"/>
        <v>B</v>
      </c>
      <c r="N7" s="10">
        <f t="shared" si="1"/>
        <v>3</v>
      </c>
      <c r="O7" s="17">
        <v>4</v>
      </c>
      <c r="P7" s="10">
        <f t="shared" si="8"/>
        <v>12</v>
      </c>
      <c r="Q7" s="19">
        <v>74.25</v>
      </c>
      <c r="R7" s="17" t="str">
        <f t="shared" si="9"/>
        <v>B</v>
      </c>
      <c r="S7" s="10">
        <f t="shared" si="10"/>
        <v>3</v>
      </c>
      <c r="T7" s="17">
        <v>4</v>
      </c>
      <c r="U7" s="10">
        <f t="shared" si="11"/>
        <v>12</v>
      </c>
      <c r="V7" s="20">
        <v>67.25</v>
      </c>
      <c r="W7" s="17" t="str">
        <f t="shared" si="12"/>
        <v>C+</v>
      </c>
      <c r="X7" s="10">
        <f t="shared" si="2"/>
        <v>2.5</v>
      </c>
      <c r="Y7" s="17">
        <v>2</v>
      </c>
      <c r="Z7" s="10">
        <f t="shared" si="13"/>
        <v>5</v>
      </c>
      <c r="AA7" s="21">
        <v>69.7</v>
      </c>
      <c r="AB7" s="17" t="str">
        <f t="shared" si="14"/>
        <v>C+</v>
      </c>
      <c r="AC7" s="10">
        <f t="shared" si="3"/>
        <v>2.5</v>
      </c>
      <c r="AD7" s="17">
        <v>3</v>
      </c>
      <c r="AE7" s="10">
        <f t="shared" si="15"/>
        <v>7.5</v>
      </c>
      <c r="AF7" s="22">
        <v>68.375</v>
      </c>
      <c r="AG7" s="17" t="str">
        <f t="shared" si="16"/>
        <v>C+</v>
      </c>
      <c r="AH7" s="10">
        <f t="shared" si="4"/>
        <v>2.5</v>
      </c>
      <c r="AI7" s="17">
        <v>3</v>
      </c>
      <c r="AJ7" s="10">
        <f t="shared" si="17"/>
        <v>7.5</v>
      </c>
      <c r="AK7" s="17">
        <v>83.8</v>
      </c>
      <c r="AL7" s="17" t="str">
        <f t="shared" si="18"/>
        <v>A</v>
      </c>
      <c r="AM7" s="10">
        <f t="shared" si="19"/>
        <v>4</v>
      </c>
      <c r="AN7" s="17">
        <v>4</v>
      </c>
      <c r="AO7" s="10">
        <f t="shared" si="20"/>
        <v>16</v>
      </c>
      <c r="AP7" s="18">
        <v>81.150000000000006</v>
      </c>
      <c r="AQ7" s="17" t="str">
        <f t="shared" si="21"/>
        <v>A</v>
      </c>
      <c r="AR7" s="10">
        <f t="shared" si="22"/>
        <v>4</v>
      </c>
      <c r="AS7" s="17">
        <v>2</v>
      </c>
      <c r="AT7" s="10">
        <f t="shared" si="23"/>
        <v>8</v>
      </c>
      <c r="AU7" s="19">
        <v>79</v>
      </c>
      <c r="AV7" s="17" t="str">
        <f t="shared" si="24"/>
        <v>B+</v>
      </c>
      <c r="AW7" s="10">
        <f t="shared" si="25"/>
        <v>3.5</v>
      </c>
      <c r="AX7" s="17">
        <v>3</v>
      </c>
      <c r="AY7" s="10">
        <f t="shared" si="26"/>
        <v>10.5</v>
      </c>
      <c r="AZ7" s="20">
        <v>83.8</v>
      </c>
      <c r="BA7" s="17" t="str">
        <f t="shared" si="27"/>
        <v>A</v>
      </c>
      <c r="BB7" s="10">
        <f t="shared" si="28"/>
        <v>4</v>
      </c>
      <c r="BC7" s="17">
        <v>2</v>
      </c>
      <c r="BD7" s="10">
        <f t="shared" si="29"/>
        <v>8</v>
      </c>
      <c r="BE7" s="21">
        <v>58.25</v>
      </c>
      <c r="BF7" s="17" t="str">
        <f t="shared" si="30"/>
        <v>D</v>
      </c>
      <c r="BG7" s="10">
        <f t="shared" si="31"/>
        <v>1</v>
      </c>
      <c r="BH7" s="17">
        <v>2</v>
      </c>
      <c r="BI7" s="10">
        <f t="shared" si="32"/>
        <v>2</v>
      </c>
      <c r="BJ7" s="17">
        <v>79</v>
      </c>
      <c r="BK7" s="17" t="str">
        <f t="shared" si="33"/>
        <v>B+</v>
      </c>
      <c r="BL7" s="10">
        <f t="shared" si="34"/>
        <v>3.5</v>
      </c>
      <c r="BM7" s="17">
        <v>4</v>
      </c>
      <c r="BN7" s="10">
        <f t="shared" si="35"/>
        <v>14</v>
      </c>
      <c r="BO7" s="17">
        <v>38</v>
      </c>
      <c r="BP7" s="17" t="str">
        <f t="shared" si="36"/>
        <v>E</v>
      </c>
      <c r="BQ7" s="10">
        <f t="shared" si="37"/>
        <v>0</v>
      </c>
      <c r="BR7" s="17">
        <v>4</v>
      </c>
      <c r="BS7" s="10">
        <f t="shared" si="38"/>
        <v>0</v>
      </c>
      <c r="BT7" s="12">
        <v>67</v>
      </c>
      <c r="BU7" s="12">
        <v>22</v>
      </c>
      <c r="BV7" s="12">
        <v>58.5</v>
      </c>
      <c r="BW7" s="12">
        <v>19</v>
      </c>
      <c r="BX7" s="12">
        <v>73</v>
      </c>
      <c r="BY7" s="12">
        <v>21</v>
      </c>
      <c r="BZ7" s="12">
        <v>68.5</v>
      </c>
      <c r="CA7" s="12">
        <v>21</v>
      </c>
      <c r="CB7" s="12">
        <v>68</v>
      </c>
      <c r="CC7" s="12">
        <v>21</v>
      </c>
      <c r="CD7" s="12">
        <v>53</v>
      </c>
      <c r="CE7" s="12">
        <v>19</v>
      </c>
      <c r="CF7" s="12">
        <v>58.5</v>
      </c>
      <c r="CG7" s="12">
        <v>17</v>
      </c>
      <c r="CH7" s="12">
        <v>0</v>
      </c>
      <c r="CI7" s="12">
        <v>4</v>
      </c>
      <c r="CJ7" s="12">
        <f>BT7+BV7+BX7+BZ7+CB7+CD7+CF7+CH7</f>
        <v>446.5</v>
      </c>
      <c r="CK7" s="12">
        <f>BU7+BW7+BY7+CA7+CC7+CE7+CG7+CI7</f>
        <v>144</v>
      </c>
      <c r="CL7" s="23">
        <f t="shared" si="39"/>
        <v>3.1006944444444446</v>
      </c>
      <c r="CM7" s="12" t="str">
        <f t="shared" si="40"/>
        <v>Sangat Memuaskan</v>
      </c>
      <c r="CN7" s="38" t="str">
        <f t="shared" si="41"/>
        <v>Highly Satisfactory</v>
      </c>
      <c r="CO7" s="24"/>
    </row>
    <row r="8" spans="1:93" x14ac:dyDescent="0.25">
      <c r="A8" s="12">
        <v>6</v>
      </c>
      <c r="B8" s="26" t="s">
        <v>64</v>
      </c>
      <c r="C8" s="14">
        <v>152111006</v>
      </c>
      <c r="D8" s="17" t="s">
        <v>54</v>
      </c>
      <c r="E8" s="15" t="s">
        <v>65</v>
      </c>
      <c r="F8" s="14"/>
      <c r="G8" s="16">
        <v>76.2</v>
      </c>
      <c r="H8" s="17" t="str">
        <f t="shared" si="5"/>
        <v>B+</v>
      </c>
      <c r="I8" s="10">
        <f t="shared" si="0"/>
        <v>3.5</v>
      </c>
      <c r="J8" s="17">
        <v>3</v>
      </c>
      <c r="K8" s="10">
        <f t="shared" si="6"/>
        <v>10.5</v>
      </c>
      <c r="L8" s="18">
        <v>76</v>
      </c>
      <c r="M8" s="17" t="str">
        <f t="shared" si="7"/>
        <v>B+</v>
      </c>
      <c r="N8" s="10">
        <f t="shared" si="1"/>
        <v>3.5</v>
      </c>
      <c r="O8" s="17">
        <v>4</v>
      </c>
      <c r="P8" s="10">
        <f t="shared" si="8"/>
        <v>14</v>
      </c>
      <c r="Q8" s="19">
        <v>74.25</v>
      </c>
      <c r="R8" s="17" t="str">
        <f t="shared" si="9"/>
        <v>B</v>
      </c>
      <c r="S8" s="10">
        <f t="shared" si="10"/>
        <v>3</v>
      </c>
      <c r="T8" s="17">
        <v>4</v>
      </c>
      <c r="U8" s="10">
        <f t="shared" si="11"/>
        <v>12</v>
      </c>
      <c r="V8" s="20">
        <v>86.075000000000003</v>
      </c>
      <c r="W8" s="17" t="str">
        <f t="shared" si="12"/>
        <v>A</v>
      </c>
      <c r="X8" s="10">
        <f t="shared" si="2"/>
        <v>4</v>
      </c>
      <c r="Y8" s="17">
        <v>2</v>
      </c>
      <c r="Z8" s="10">
        <f t="shared" si="13"/>
        <v>8</v>
      </c>
      <c r="AA8" s="21">
        <v>78.2</v>
      </c>
      <c r="AB8" s="17" t="str">
        <f t="shared" si="14"/>
        <v>B+</v>
      </c>
      <c r="AC8" s="10">
        <f t="shared" si="3"/>
        <v>3.5</v>
      </c>
      <c r="AD8" s="17">
        <v>3</v>
      </c>
      <c r="AE8" s="10">
        <f t="shared" si="15"/>
        <v>10.5</v>
      </c>
      <c r="AF8" s="22">
        <v>74.25</v>
      </c>
      <c r="AG8" s="17" t="str">
        <f t="shared" si="16"/>
        <v>B</v>
      </c>
      <c r="AH8" s="10">
        <f t="shared" si="4"/>
        <v>3</v>
      </c>
      <c r="AI8" s="17">
        <v>3</v>
      </c>
      <c r="AJ8" s="10">
        <f t="shared" si="17"/>
        <v>9</v>
      </c>
      <c r="AK8" s="17">
        <v>81</v>
      </c>
      <c r="AL8" s="17" t="str">
        <f t="shared" si="18"/>
        <v>A</v>
      </c>
      <c r="AM8" s="10">
        <f t="shared" si="19"/>
        <v>4</v>
      </c>
      <c r="AN8" s="17">
        <v>4</v>
      </c>
      <c r="AO8" s="10">
        <f t="shared" si="20"/>
        <v>16</v>
      </c>
      <c r="AP8" s="18">
        <v>80.95</v>
      </c>
      <c r="AQ8" s="17" t="str">
        <f t="shared" si="21"/>
        <v>A</v>
      </c>
      <c r="AR8" s="10">
        <f t="shared" si="22"/>
        <v>4</v>
      </c>
      <c r="AS8" s="17">
        <v>2</v>
      </c>
      <c r="AT8" s="10">
        <f t="shared" si="23"/>
        <v>8</v>
      </c>
      <c r="AU8" s="19">
        <v>76.05</v>
      </c>
      <c r="AV8" s="17" t="str">
        <f t="shared" si="24"/>
        <v>B+</v>
      </c>
      <c r="AW8" s="10">
        <f t="shared" si="25"/>
        <v>3.5</v>
      </c>
      <c r="AX8" s="17">
        <v>3</v>
      </c>
      <c r="AY8" s="10">
        <f t="shared" si="26"/>
        <v>10.5</v>
      </c>
      <c r="AZ8" s="20">
        <v>81</v>
      </c>
      <c r="BA8" s="17" t="str">
        <f t="shared" si="27"/>
        <v>A</v>
      </c>
      <c r="BB8" s="10">
        <f t="shared" si="28"/>
        <v>4</v>
      </c>
      <c r="BC8" s="17">
        <v>2</v>
      </c>
      <c r="BD8" s="10">
        <f t="shared" si="29"/>
        <v>8</v>
      </c>
      <c r="BE8" s="21">
        <v>77.75</v>
      </c>
      <c r="BF8" s="17" t="str">
        <f t="shared" si="30"/>
        <v>B+</v>
      </c>
      <c r="BG8" s="10">
        <f t="shared" si="31"/>
        <v>3.5</v>
      </c>
      <c r="BH8" s="17">
        <v>2</v>
      </c>
      <c r="BI8" s="10">
        <f t="shared" si="32"/>
        <v>7</v>
      </c>
      <c r="BJ8" s="17">
        <v>79</v>
      </c>
      <c r="BK8" s="17" t="str">
        <f t="shared" si="33"/>
        <v>B+</v>
      </c>
      <c r="BL8" s="10">
        <f t="shared" si="34"/>
        <v>3.5</v>
      </c>
      <c r="BM8" s="17">
        <v>4</v>
      </c>
      <c r="BN8" s="10">
        <f t="shared" si="35"/>
        <v>14</v>
      </c>
      <c r="BO8" s="17">
        <v>80</v>
      </c>
      <c r="BP8" s="17" t="str">
        <f t="shared" si="36"/>
        <v>A</v>
      </c>
      <c r="BQ8" s="10">
        <f t="shared" si="37"/>
        <v>4</v>
      </c>
      <c r="BR8" s="17">
        <v>4</v>
      </c>
      <c r="BS8" s="10">
        <f t="shared" si="38"/>
        <v>16</v>
      </c>
      <c r="BT8" s="12">
        <v>77</v>
      </c>
      <c r="BU8" s="12">
        <v>22</v>
      </c>
      <c r="BV8" s="12">
        <v>65.5</v>
      </c>
      <c r="BW8" s="12">
        <v>19</v>
      </c>
      <c r="BX8" s="12">
        <v>77.5</v>
      </c>
      <c r="BY8" s="12">
        <v>21</v>
      </c>
      <c r="BZ8" s="12">
        <v>77.5</v>
      </c>
      <c r="CA8" s="12">
        <v>21</v>
      </c>
      <c r="CB8" s="12">
        <v>75</v>
      </c>
      <c r="CC8" s="12">
        <v>21</v>
      </c>
      <c r="CD8" s="12">
        <v>64</v>
      </c>
      <c r="CE8" s="12">
        <v>19</v>
      </c>
      <c r="CF8" s="12">
        <v>63.5</v>
      </c>
      <c r="CG8" s="12">
        <v>17</v>
      </c>
      <c r="CH8" s="12">
        <v>16</v>
      </c>
      <c r="CI8" s="12">
        <v>4</v>
      </c>
      <c r="CJ8" s="12">
        <f>BT8+BV8+BX8+BZ8+CB8+CD8+CF8+CH8</f>
        <v>516</v>
      </c>
      <c r="CK8" s="12">
        <f>BU8+BW8+BY8+CA8+CC8+CE8+CG8+CI8</f>
        <v>144</v>
      </c>
      <c r="CL8" s="23">
        <f t="shared" si="39"/>
        <v>3.5833333333333335</v>
      </c>
      <c r="CM8" s="12" t="str">
        <f t="shared" si="40"/>
        <v>Cum Laude</v>
      </c>
      <c r="CN8" s="38" t="str">
        <f t="shared" si="41"/>
        <v>Excellent</v>
      </c>
      <c r="CO8" s="24"/>
    </row>
    <row r="9" spans="1:93" x14ac:dyDescent="0.25">
      <c r="A9" s="12">
        <v>7</v>
      </c>
      <c r="B9" s="26" t="s">
        <v>66</v>
      </c>
      <c r="C9" s="14">
        <v>152111007</v>
      </c>
      <c r="D9" s="17" t="s">
        <v>61</v>
      </c>
      <c r="E9" s="15" t="s">
        <v>67</v>
      </c>
      <c r="F9" s="14"/>
      <c r="G9" s="16">
        <v>80.2</v>
      </c>
      <c r="H9" s="17" t="str">
        <f t="shared" si="5"/>
        <v>A</v>
      </c>
      <c r="I9" s="10">
        <f t="shared" si="0"/>
        <v>4</v>
      </c>
      <c r="J9" s="17">
        <v>3</v>
      </c>
      <c r="K9" s="10">
        <f t="shared" si="6"/>
        <v>12</v>
      </c>
      <c r="L9" s="18">
        <v>81.760000000000005</v>
      </c>
      <c r="M9" s="17" t="str">
        <f t="shared" si="7"/>
        <v>A</v>
      </c>
      <c r="N9" s="10">
        <f t="shared" si="1"/>
        <v>4</v>
      </c>
      <c r="O9" s="17">
        <v>4</v>
      </c>
      <c r="P9" s="10">
        <f t="shared" si="8"/>
        <v>16</v>
      </c>
      <c r="Q9" s="19">
        <v>76</v>
      </c>
      <c r="R9" s="17" t="str">
        <f t="shared" si="9"/>
        <v>B+</v>
      </c>
      <c r="S9" s="10">
        <f t="shared" si="10"/>
        <v>3.5</v>
      </c>
      <c r="T9" s="17">
        <v>4</v>
      </c>
      <c r="U9" s="10">
        <f t="shared" si="11"/>
        <v>14</v>
      </c>
      <c r="V9" s="20">
        <v>80.5</v>
      </c>
      <c r="W9" s="17" t="str">
        <f t="shared" si="12"/>
        <v>A</v>
      </c>
      <c r="X9" s="10">
        <f t="shared" si="2"/>
        <v>4</v>
      </c>
      <c r="Y9" s="17">
        <v>2</v>
      </c>
      <c r="Z9" s="10">
        <f t="shared" si="13"/>
        <v>8</v>
      </c>
      <c r="AA9" s="21">
        <v>77.033333333333331</v>
      </c>
      <c r="AB9" s="17" t="str">
        <f t="shared" si="14"/>
        <v>B+</v>
      </c>
      <c r="AC9" s="10">
        <f t="shared" si="3"/>
        <v>3.5</v>
      </c>
      <c r="AD9" s="17">
        <v>3</v>
      </c>
      <c r="AE9" s="10">
        <f t="shared" si="15"/>
        <v>10.5</v>
      </c>
      <c r="AF9" s="22">
        <v>80.075000000000003</v>
      </c>
      <c r="AG9" s="17" t="str">
        <f t="shared" si="16"/>
        <v>A</v>
      </c>
      <c r="AH9" s="10">
        <f t="shared" si="4"/>
        <v>4</v>
      </c>
      <c r="AI9" s="17">
        <v>3</v>
      </c>
      <c r="AJ9" s="10">
        <f t="shared" si="17"/>
        <v>12</v>
      </c>
      <c r="AK9" s="17">
        <v>78.2</v>
      </c>
      <c r="AL9" s="17" t="str">
        <f t="shared" si="18"/>
        <v>B+</v>
      </c>
      <c r="AM9" s="10">
        <f t="shared" si="19"/>
        <v>3.5</v>
      </c>
      <c r="AN9" s="17">
        <v>4</v>
      </c>
      <c r="AO9" s="10">
        <f t="shared" si="20"/>
        <v>14</v>
      </c>
      <c r="AP9" s="18">
        <v>83.55</v>
      </c>
      <c r="AQ9" s="17" t="str">
        <f t="shared" si="21"/>
        <v>A</v>
      </c>
      <c r="AR9" s="10">
        <f t="shared" si="22"/>
        <v>4</v>
      </c>
      <c r="AS9" s="17">
        <v>2</v>
      </c>
      <c r="AT9" s="10">
        <f t="shared" si="23"/>
        <v>8</v>
      </c>
      <c r="AU9" s="19">
        <v>80.38</v>
      </c>
      <c r="AV9" s="17" t="str">
        <f t="shared" si="24"/>
        <v>A</v>
      </c>
      <c r="AW9" s="10">
        <f t="shared" si="25"/>
        <v>4</v>
      </c>
      <c r="AX9" s="17">
        <v>3</v>
      </c>
      <c r="AY9" s="10">
        <f t="shared" si="26"/>
        <v>12</v>
      </c>
      <c r="AZ9" s="20">
        <v>78.2</v>
      </c>
      <c r="BA9" s="17" t="str">
        <f t="shared" si="27"/>
        <v>B+</v>
      </c>
      <c r="BB9" s="10">
        <f t="shared" si="28"/>
        <v>3.5</v>
      </c>
      <c r="BC9" s="17">
        <v>2</v>
      </c>
      <c r="BD9" s="10">
        <f t="shared" si="29"/>
        <v>7</v>
      </c>
      <c r="BE9" s="21">
        <v>77.08</v>
      </c>
      <c r="BF9" s="17" t="str">
        <f t="shared" si="30"/>
        <v>B+</v>
      </c>
      <c r="BG9" s="10">
        <f t="shared" si="31"/>
        <v>3.5</v>
      </c>
      <c r="BH9" s="17">
        <v>2</v>
      </c>
      <c r="BI9" s="10">
        <f t="shared" si="32"/>
        <v>7</v>
      </c>
      <c r="BJ9" s="17">
        <v>77.8</v>
      </c>
      <c r="BK9" s="17" t="str">
        <f t="shared" si="33"/>
        <v>B+</v>
      </c>
      <c r="BL9" s="10">
        <f t="shared" si="34"/>
        <v>3.5</v>
      </c>
      <c r="BM9" s="17">
        <v>4</v>
      </c>
      <c r="BN9" s="10">
        <f t="shared" si="35"/>
        <v>14</v>
      </c>
      <c r="BO9" s="17">
        <v>82.9</v>
      </c>
      <c r="BP9" s="17" t="str">
        <f t="shared" si="36"/>
        <v>A</v>
      </c>
      <c r="BQ9" s="10">
        <f t="shared" si="37"/>
        <v>4</v>
      </c>
      <c r="BR9" s="17">
        <v>4</v>
      </c>
      <c r="BS9" s="10">
        <f t="shared" si="38"/>
        <v>16</v>
      </c>
      <c r="BT9" s="12">
        <v>80.5</v>
      </c>
      <c r="BU9" s="12">
        <v>22</v>
      </c>
      <c r="BV9" s="12">
        <v>69</v>
      </c>
      <c r="BW9" s="12">
        <v>19</v>
      </c>
      <c r="BX9" s="12">
        <v>77.5</v>
      </c>
      <c r="BY9" s="12">
        <v>21</v>
      </c>
      <c r="BZ9" s="12">
        <v>82.5</v>
      </c>
      <c r="CA9" s="12">
        <v>21</v>
      </c>
      <c r="CB9" s="12">
        <v>81.5</v>
      </c>
      <c r="CC9" s="12">
        <v>21</v>
      </c>
      <c r="CD9" s="12">
        <v>72.5</v>
      </c>
      <c r="CE9" s="12">
        <v>19</v>
      </c>
      <c r="CF9" s="12">
        <v>62</v>
      </c>
      <c r="CG9" s="12">
        <v>17</v>
      </c>
      <c r="CH9" s="12">
        <v>16</v>
      </c>
      <c r="CI9" s="12">
        <v>4</v>
      </c>
      <c r="CJ9" s="12">
        <f>BT9+BV9+BX9+BZ9+CB9+CD9+CF9+CH9</f>
        <v>541.5</v>
      </c>
      <c r="CK9" s="12">
        <f>BU9+BW9+BY9+CA9+CC9+CE9+CG9+CI9</f>
        <v>144</v>
      </c>
      <c r="CL9" s="23">
        <f t="shared" si="39"/>
        <v>3.7604166666666665</v>
      </c>
      <c r="CM9" s="12" t="str">
        <f t="shared" si="40"/>
        <v>Cum Laude</v>
      </c>
      <c r="CN9" s="38" t="str">
        <f t="shared" si="41"/>
        <v>Excellent</v>
      </c>
      <c r="CO9" s="24"/>
    </row>
    <row r="10" spans="1:93" x14ac:dyDescent="0.25">
      <c r="A10" s="12">
        <v>8</v>
      </c>
      <c r="B10" s="26" t="s">
        <v>68</v>
      </c>
      <c r="C10" s="14">
        <v>152111010</v>
      </c>
      <c r="D10" s="17" t="s">
        <v>69</v>
      </c>
      <c r="E10" s="15" t="s">
        <v>70</v>
      </c>
      <c r="F10" s="14"/>
      <c r="G10" s="16">
        <v>75</v>
      </c>
      <c r="H10" s="17" t="str">
        <f t="shared" si="5"/>
        <v>B+</v>
      </c>
      <c r="I10" s="10">
        <f>IF(H10="A",4,IF(H10="B+",3.5,IF(H10="B",3,IF(H10="C+",2.5,IF(H10="C",2,IF(H10="D",1,0))))))</f>
        <v>3.5</v>
      </c>
      <c r="J10" s="17">
        <v>3</v>
      </c>
      <c r="K10" s="10">
        <f t="shared" si="6"/>
        <v>10.5</v>
      </c>
      <c r="L10" s="27">
        <v>71.86</v>
      </c>
      <c r="M10" s="17" t="str">
        <f t="shared" si="7"/>
        <v>B</v>
      </c>
      <c r="N10" s="10">
        <f t="shared" si="1"/>
        <v>3</v>
      </c>
      <c r="O10" s="17">
        <v>4</v>
      </c>
      <c r="P10" s="10">
        <f t="shared" si="8"/>
        <v>12</v>
      </c>
      <c r="Q10" s="19">
        <v>74.25</v>
      </c>
      <c r="R10" s="17" t="str">
        <f t="shared" si="9"/>
        <v>B</v>
      </c>
      <c r="S10" s="10">
        <f t="shared" si="10"/>
        <v>3</v>
      </c>
      <c r="T10" s="17">
        <v>4</v>
      </c>
      <c r="U10" s="10">
        <f t="shared" si="11"/>
        <v>12</v>
      </c>
      <c r="V10" s="20">
        <v>68.228571428571428</v>
      </c>
      <c r="W10" s="17" t="str">
        <f t="shared" si="12"/>
        <v>C+</v>
      </c>
      <c r="X10" s="10">
        <f t="shared" si="2"/>
        <v>2.5</v>
      </c>
      <c r="Y10" s="17">
        <v>2</v>
      </c>
      <c r="Z10" s="10">
        <f t="shared" si="13"/>
        <v>5</v>
      </c>
      <c r="AA10" s="21">
        <v>71.045238095238105</v>
      </c>
      <c r="AB10" s="17" t="str">
        <f t="shared" si="14"/>
        <v>B</v>
      </c>
      <c r="AC10" s="10">
        <f t="shared" si="3"/>
        <v>3</v>
      </c>
      <c r="AD10" s="17">
        <v>3</v>
      </c>
      <c r="AE10" s="10">
        <f t="shared" si="15"/>
        <v>9</v>
      </c>
      <c r="AF10" s="22">
        <v>68.575000000000003</v>
      </c>
      <c r="AG10" s="17" t="str">
        <f t="shared" si="16"/>
        <v>C+</v>
      </c>
      <c r="AH10" s="10">
        <f t="shared" si="4"/>
        <v>2.5</v>
      </c>
      <c r="AI10" s="17">
        <v>3</v>
      </c>
      <c r="AJ10" s="10">
        <f t="shared" si="17"/>
        <v>7.5</v>
      </c>
      <c r="AK10" s="17">
        <v>81.2</v>
      </c>
      <c r="AL10" s="17" t="str">
        <f t="shared" si="18"/>
        <v>A</v>
      </c>
      <c r="AM10" s="10">
        <f t="shared" si="19"/>
        <v>4</v>
      </c>
      <c r="AN10" s="17">
        <v>4</v>
      </c>
      <c r="AO10" s="10">
        <f t="shared" si="20"/>
        <v>16</v>
      </c>
      <c r="AP10" s="27">
        <v>77.95</v>
      </c>
      <c r="AQ10" s="17" t="str">
        <f t="shared" si="21"/>
        <v>B+</v>
      </c>
      <c r="AR10" s="10">
        <f t="shared" si="22"/>
        <v>3.5</v>
      </c>
      <c r="AS10" s="17">
        <v>2</v>
      </c>
      <c r="AT10" s="10">
        <f t="shared" si="23"/>
        <v>7</v>
      </c>
      <c r="AU10" s="19">
        <v>78</v>
      </c>
      <c r="AV10" s="17" t="str">
        <f t="shared" si="24"/>
        <v>B+</v>
      </c>
      <c r="AW10" s="10">
        <f t="shared" si="25"/>
        <v>3.5</v>
      </c>
      <c r="AX10" s="17">
        <v>3</v>
      </c>
      <c r="AY10" s="10">
        <f t="shared" si="26"/>
        <v>10.5</v>
      </c>
      <c r="AZ10" s="20">
        <v>81.2</v>
      </c>
      <c r="BA10" s="17" t="str">
        <f t="shared" si="27"/>
        <v>A</v>
      </c>
      <c r="BB10" s="10">
        <f t="shared" si="28"/>
        <v>4</v>
      </c>
      <c r="BC10" s="17">
        <v>2</v>
      </c>
      <c r="BD10" s="10">
        <f t="shared" si="29"/>
        <v>8</v>
      </c>
      <c r="BE10" s="21">
        <v>73.150000000000006</v>
      </c>
      <c r="BF10" s="17" t="str">
        <f t="shared" si="30"/>
        <v>B</v>
      </c>
      <c r="BG10" s="10">
        <f t="shared" si="31"/>
        <v>3</v>
      </c>
      <c r="BH10" s="17">
        <v>2</v>
      </c>
      <c r="BI10" s="10">
        <f t="shared" si="32"/>
        <v>6</v>
      </c>
      <c r="BJ10" s="17">
        <v>76.099999999999994</v>
      </c>
      <c r="BK10" s="17" t="str">
        <f t="shared" si="33"/>
        <v>B+</v>
      </c>
      <c r="BL10" s="10">
        <f t="shared" si="34"/>
        <v>3.5</v>
      </c>
      <c r="BM10" s="17">
        <v>4</v>
      </c>
      <c r="BN10" s="10">
        <f t="shared" si="35"/>
        <v>14</v>
      </c>
      <c r="BO10" s="17">
        <v>80.3</v>
      </c>
      <c r="BP10" s="17" t="str">
        <f t="shared" si="36"/>
        <v>A</v>
      </c>
      <c r="BQ10" s="10">
        <f t="shared" si="37"/>
        <v>4</v>
      </c>
      <c r="BR10" s="17">
        <v>4</v>
      </c>
      <c r="BS10" s="10">
        <f t="shared" si="38"/>
        <v>16</v>
      </c>
      <c r="BT10" s="12">
        <v>64.5</v>
      </c>
      <c r="BU10" s="12">
        <v>22</v>
      </c>
      <c r="BV10" s="12">
        <v>64</v>
      </c>
      <c r="BW10" s="12">
        <v>19</v>
      </c>
      <c r="BX10" s="12">
        <v>74.5</v>
      </c>
      <c r="BY10" s="12">
        <v>21</v>
      </c>
      <c r="BZ10" s="12">
        <v>68.5</v>
      </c>
      <c r="CA10" s="12">
        <v>21</v>
      </c>
      <c r="CB10" s="12">
        <v>68.5</v>
      </c>
      <c r="CC10" s="12">
        <v>21</v>
      </c>
      <c r="CD10" s="12">
        <v>56</v>
      </c>
      <c r="CE10" s="12">
        <v>19</v>
      </c>
      <c r="CF10" s="12">
        <v>61.5</v>
      </c>
      <c r="CG10" s="12">
        <v>17</v>
      </c>
      <c r="CH10" s="12">
        <v>16</v>
      </c>
      <c r="CI10" s="12">
        <v>4</v>
      </c>
      <c r="CJ10" s="12">
        <f>BT10+BV10+BX10+BZ10+CB10+CD10+CF10+CH10</f>
        <v>473.5</v>
      </c>
      <c r="CK10" s="12">
        <f>BU10+BW10+BY10+CA10+CC10+CE10+CG10+CI10</f>
        <v>144</v>
      </c>
      <c r="CL10" s="23">
        <f t="shared" si="39"/>
        <v>3.2881944444444446</v>
      </c>
      <c r="CM10" s="12" t="str">
        <f t="shared" si="40"/>
        <v>Sangat Memuaskan</v>
      </c>
      <c r="CN10" s="38" t="str">
        <f t="shared" si="41"/>
        <v>Highly Satisfactory</v>
      </c>
      <c r="CO10" s="24"/>
    </row>
    <row r="11" spans="1:93" x14ac:dyDescent="0.25">
      <c r="A11" s="12">
        <v>9</v>
      </c>
      <c r="B11" s="26" t="s">
        <v>71</v>
      </c>
      <c r="C11" s="14">
        <v>152111013</v>
      </c>
      <c r="D11" s="17" t="s">
        <v>61</v>
      </c>
      <c r="E11" s="15" t="s">
        <v>72</v>
      </c>
      <c r="F11" s="14"/>
      <c r="G11" s="16">
        <v>75</v>
      </c>
      <c r="H11" s="17" t="str">
        <f t="shared" si="5"/>
        <v>B+</v>
      </c>
      <c r="I11" s="10">
        <f t="shared" si="0"/>
        <v>3.5</v>
      </c>
      <c r="J11" s="17">
        <v>3</v>
      </c>
      <c r="K11" s="10">
        <f t="shared" si="6"/>
        <v>10.5</v>
      </c>
      <c r="L11" s="27">
        <v>74.599999999999994</v>
      </c>
      <c r="M11" s="17" t="str">
        <f t="shared" si="7"/>
        <v>B</v>
      </c>
      <c r="N11" s="10">
        <f t="shared" si="1"/>
        <v>3</v>
      </c>
      <c r="O11" s="17">
        <v>4</v>
      </c>
      <c r="P11" s="10">
        <f t="shared" si="8"/>
        <v>12</v>
      </c>
      <c r="Q11" s="19">
        <v>75.5</v>
      </c>
      <c r="R11" s="17" t="str">
        <f t="shared" si="9"/>
        <v>B+</v>
      </c>
      <c r="S11" s="10">
        <f t="shared" si="10"/>
        <v>3.5</v>
      </c>
      <c r="T11" s="17">
        <v>4</v>
      </c>
      <c r="U11" s="10">
        <f t="shared" si="11"/>
        <v>14</v>
      </c>
      <c r="V11" s="20">
        <v>75.074999999999989</v>
      </c>
      <c r="W11" s="17" t="str">
        <f t="shared" si="12"/>
        <v>B+</v>
      </c>
      <c r="X11" s="10">
        <f t="shared" si="2"/>
        <v>3.5</v>
      </c>
      <c r="Y11" s="17">
        <v>2</v>
      </c>
      <c r="Z11" s="10">
        <f t="shared" si="13"/>
        <v>7</v>
      </c>
      <c r="AA11" s="21">
        <v>77.416666666666671</v>
      </c>
      <c r="AB11" s="17" t="str">
        <f t="shared" si="14"/>
        <v>B+</v>
      </c>
      <c r="AC11" s="10">
        <f t="shared" si="3"/>
        <v>3.5</v>
      </c>
      <c r="AD11" s="17">
        <v>3</v>
      </c>
      <c r="AE11" s="10">
        <f t="shared" si="15"/>
        <v>10.5</v>
      </c>
      <c r="AF11" s="22">
        <v>74.525000000000006</v>
      </c>
      <c r="AG11" s="17" t="str">
        <f t="shared" si="16"/>
        <v>B</v>
      </c>
      <c r="AH11" s="10">
        <f t="shared" si="4"/>
        <v>3</v>
      </c>
      <c r="AI11" s="17">
        <v>3</v>
      </c>
      <c r="AJ11" s="10">
        <f t="shared" si="17"/>
        <v>9</v>
      </c>
      <c r="AK11" s="17">
        <v>82</v>
      </c>
      <c r="AL11" s="17" t="str">
        <f t="shared" si="18"/>
        <v>A</v>
      </c>
      <c r="AM11" s="10">
        <f t="shared" si="19"/>
        <v>4</v>
      </c>
      <c r="AN11" s="17">
        <v>4</v>
      </c>
      <c r="AO11" s="10">
        <f t="shared" si="20"/>
        <v>16</v>
      </c>
      <c r="AP11" s="27">
        <v>81.95</v>
      </c>
      <c r="AQ11" s="17" t="str">
        <f t="shared" si="21"/>
        <v>A</v>
      </c>
      <c r="AR11" s="10">
        <f t="shared" si="22"/>
        <v>4</v>
      </c>
      <c r="AS11" s="17">
        <v>2</v>
      </c>
      <c r="AT11" s="10">
        <f t="shared" si="23"/>
        <v>8</v>
      </c>
      <c r="AU11" s="19">
        <v>75.38</v>
      </c>
      <c r="AV11" s="17" t="str">
        <f t="shared" si="24"/>
        <v>B+</v>
      </c>
      <c r="AW11" s="10">
        <f t="shared" si="25"/>
        <v>3.5</v>
      </c>
      <c r="AX11" s="17">
        <v>3</v>
      </c>
      <c r="AY11" s="10">
        <f t="shared" si="26"/>
        <v>10.5</v>
      </c>
      <c r="AZ11" s="20">
        <v>82</v>
      </c>
      <c r="BA11" s="17" t="str">
        <f t="shared" si="27"/>
        <v>A</v>
      </c>
      <c r="BB11" s="10">
        <f t="shared" si="28"/>
        <v>4</v>
      </c>
      <c r="BC11" s="17">
        <v>2</v>
      </c>
      <c r="BD11" s="10">
        <f t="shared" si="29"/>
        <v>8</v>
      </c>
      <c r="BE11" s="21">
        <v>77.58</v>
      </c>
      <c r="BF11" s="17" t="str">
        <f t="shared" si="30"/>
        <v>B+</v>
      </c>
      <c r="BG11" s="10">
        <f t="shared" si="31"/>
        <v>3.5</v>
      </c>
      <c r="BH11" s="17">
        <v>2</v>
      </c>
      <c r="BI11" s="10">
        <f t="shared" si="32"/>
        <v>7</v>
      </c>
      <c r="BJ11" s="17">
        <v>80</v>
      </c>
      <c r="BK11" s="17" t="str">
        <f t="shared" si="33"/>
        <v>A</v>
      </c>
      <c r="BL11" s="10">
        <f t="shared" si="34"/>
        <v>4</v>
      </c>
      <c r="BM11" s="17">
        <v>4</v>
      </c>
      <c r="BN11" s="10">
        <f t="shared" si="35"/>
        <v>16</v>
      </c>
      <c r="BO11" s="17">
        <v>0</v>
      </c>
      <c r="BP11" s="17" t="str">
        <f t="shared" si="36"/>
        <v>E</v>
      </c>
      <c r="BQ11" s="10">
        <f t="shared" si="37"/>
        <v>0</v>
      </c>
      <c r="BR11" s="17">
        <v>4</v>
      </c>
      <c r="BS11" s="10">
        <f t="shared" si="38"/>
        <v>0</v>
      </c>
      <c r="BT11" s="12">
        <v>76</v>
      </c>
      <c r="BU11" s="12">
        <v>22</v>
      </c>
      <c r="BV11" s="12">
        <v>67</v>
      </c>
      <c r="BW11" s="12">
        <v>19</v>
      </c>
      <c r="BX11" s="12">
        <v>76.5</v>
      </c>
      <c r="BY11" s="12">
        <v>21</v>
      </c>
      <c r="BZ11" s="12">
        <v>74</v>
      </c>
      <c r="CA11" s="12">
        <v>21</v>
      </c>
      <c r="CB11" s="12">
        <v>72.5</v>
      </c>
      <c r="CC11" s="12">
        <v>21</v>
      </c>
      <c r="CD11" s="12">
        <v>63</v>
      </c>
      <c r="CE11" s="12">
        <v>19</v>
      </c>
      <c r="CF11" s="12">
        <v>65.5</v>
      </c>
      <c r="CG11" s="12">
        <v>17</v>
      </c>
      <c r="CH11" s="12">
        <v>0</v>
      </c>
      <c r="CI11" s="12">
        <v>4</v>
      </c>
      <c r="CJ11" s="12">
        <f>BT11+BV11+BX11+BZ11+CB11+CD11+CF11+CH11</f>
        <v>494.5</v>
      </c>
      <c r="CK11" s="12">
        <f>BU11+BW11+BY11+CA11+CC11+CE11+CG11+CI11</f>
        <v>144</v>
      </c>
      <c r="CL11" s="23">
        <f t="shared" si="39"/>
        <v>3.4340277777777777</v>
      </c>
      <c r="CM11" s="12" t="str">
        <f t="shared" si="40"/>
        <v>Sangat Memuaskan</v>
      </c>
      <c r="CN11" s="38" t="str">
        <f t="shared" si="41"/>
        <v>Highly Satisfactory</v>
      </c>
      <c r="CO11" s="24"/>
    </row>
    <row r="12" spans="1:93" x14ac:dyDescent="0.25">
      <c r="A12" s="12">
        <v>10</v>
      </c>
      <c r="B12" s="26" t="s">
        <v>73</v>
      </c>
      <c r="C12" s="14">
        <v>152111015</v>
      </c>
      <c r="D12" s="14" t="s">
        <v>61</v>
      </c>
      <c r="E12" s="15" t="s">
        <v>74</v>
      </c>
      <c r="F12" s="14"/>
      <c r="G12" s="16">
        <v>76</v>
      </c>
      <c r="H12" s="17" t="str">
        <f t="shared" si="5"/>
        <v>B+</v>
      </c>
      <c r="I12" s="10">
        <f t="shared" si="0"/>
        <v>3.5</v>
      </c>
      <c r="J12" s="17">
        <v>3</v>
      </c>
      <c r="K12" s="10">
        <f t="shared" si="6"/>
        <v>10.5</v>
      </c>
      <c r="L12" s="27">
        <v>81.86</v>
      </c>
      <c r="M12" s="17" t="str">
        <f t="shared" si="7"/>
        <v>A</v>
      </c>
      <c r="N12" s="10">
        <f t="shared" si="1"/>
        <v>4</v>
      </c>
      <c r="O12" s="17">
        <v>4</v>
      </c>
      <c r="P12" s="10">
        <f t="shared" si="8"/>
        <v>16</v>
      </c>
      <c r="Q12" s="19">
        <v>75.5</v>
      </c>
      <c r="R12" s="17" t="str">
        <f t="shared" si="9"/>
        <v>B+</v>
      </c>
      <c r="S12" s="10">
        <f t="shared" si="10"/>
        <v>3.5</v>
      </c>
      <c r="T12" s="17">
        <v>4</v>
      </c>
      <c r="U12" s="10">
        <f t="shared" si="11"/>
        <v>14</v>
      </c>
      <c r="V12" s="20">
        <v>69.800000000000011</v>
      </c>
      <c r="W12" s="17" t="str">
        <f t="shared" si="12"/>
        <v>C+</v>
      </c>
      <c r="X12" s="10">
        <f t="shared" si="2"/>
        <v>2.5</v>
      </c>
      <c r="Y12" s="17">
        <v>2</v>
      </c>
      <c r="Z12" s="10">
        <f t="shared" si="13"/>
        <v>5</v>
      </c>
      <c r="AA12" s="21">
        <v>70.533333333333331</v>
      </c>
      <c r="AB12" s="17" t="str">
        <f t="shared" si="14"/>
        <v>B</v>
      </c>
      <c r="AC12" s="10">
        <f t="shared" si="3"/>
        <v>3</v>
      </c>
      <c r="AD12" s="17">
        <v>3</v>
      </c>
      <c r="AE12" s="10">
        <f t="shared" si="15"/>
        <v>9</v>
      </c>
      <c r="AF12" s="22">
        <v>68.174999999999997</v>
      </c>
      <c r="AG12" s="17" t="str">
        <f t="shared" si="16"/>
        <v>C+</v>
      </c>
      <c r="AH12" s="10">
        <f t="shared" si="4"/>
        <v>2.5</v>
      </c>
      <c r="AI12" s="17">
        <v>3</v>
      </c>
      <c r="AJ12" s="10">
        <f t="shared" si="17"/>
        <v>7.5</v>
      </c>
      <c r="AK12" s="17">
        <v>79.599999999999994</v>
      </c>
      <c r="AL12" s="17" t="str">
        <f t="shared" si="18"/>
        <v>B+</v>
      </c>
      <c r="AM12" s="10">
        <f t="shared" si="19"/>
        <v>3.5</v>
      </c>
      <c r="AN12" s="17">
        <v>4</v>
      </c>
      <c r="AO12" s="10">
        <f t="shared" si="20"/>
        <v>14</v>
      </c>
      <c r="AP12" s="27">
        <v>79.95</v>
      </c>
      <c r="AQ12" s="17" t="str">
        <f t="shared" si="21"/>
        <v>B+</v>
      </c>
      <c r="AR12" s="10">
        <f t="shared" si="22"/>
        <v>3.5</v>
      </c>
      <c r="AS12" s="17">
        <v>2</v>
      </c>
      <c r="AT12" s="10">
        <f t="shared" si="23"/>
        <v>7</v>
      </c>
      <c r="AU12" s="19">
        <v>79</v>
      </c>
      <c r="AV12" s="17" t="str">
        <f t="shared" si="24"/>
        <v>B+</v>
      </c>
      <c r="AW12" s="10">
        <f t="shared" si="25"/>
        <v>3.5</v>
      </c>
      <c r="AX12" s="17">
        <v>3</v>
      </c>
      <c r="AY12" s="10">
        <f t="shared" si="26"/>
        <v>10.5</v>
      </c>
      <c r="AZ12" s="20">
        <v>79.599999999999994</v>
      </c>
      <c r="BA12" s="17" t="str">
        <f t="shared" si="27"/>
        <v>B+</v>
      </c>
      <c r="BB12" s="10">
        <f t="shared" si="28"/>
        <v>3.5</v>
      </c>
      <c r="BC12" s="17">
        <v>2</v>
      </c>
      <c r="BD12" s="10">
        <f t="shared" si="29"/>
        <v>7</v>
      </c>
      <c r="BE12" s="21">
        <v>77.08</v>
      </c>
      <c r="BF12" s="17" t="str">
        <f t="shared" si="30"/>
        <v>B+</v>
      </c>
      <c r="BG12" s="10">
        <f t="shared" si="31"/>
        <v>3.5</v>
      </c>
      <c r="BH12" s="17">
        <v>2</v>
      </c>
      <c r="BI12" s="10">
        <f t="shared" si="32"/>
        <v>7</v>
      </c>
      <c r="BJ12" s="17">
        <v>77.599999999999994</v>
      </c>
      <c r="BK12" s="17" t="str">
        <f t="shared" si="33"/>
        <v>B+</v>
      </c>
      <c r="BL12" s="10">
        <f t="shared" si="34"/>
        <v>3.5</v>
      </c>
      <c r="BM12" s="17">
        <v>4</v>
      </c>
      <c r="BN12" s="10">
        <f t="shared" si="35"/>
        <v>14</v>
      </c>
      <c r="BO12" s="17">
        <v>80.3</v>
      </c>
      <c r="BP12" s="17" t="str">
        <f t="shared" si="36"/>
        <v>A</v>
      </c>
      <c r="BQ12" s="10">
        <f t="shared" si="37"/>
        <v>4</v>
      </c>
      <c r="BR12" s="17">
        <v>4</v>
      </c>
      <c r="BS12" s="10">
        <f t="shared" si="38"/>
        <v>16</v>
      </c>
      <c r="BT12" s="12">
        <v>70</v>
      </c>
      <c r="BU12" s="12">
        <v>22</v>
      </c>
      <c r="BV12" s="12">
        <v>63.5</v>
      </c>
      <c r="BW12" s="12">
        <v>19</v>
      </c>
      <c r="BX12" s="12">
        <v>72</v>
      </c>
      <c r="BY12" s="12">
        <v>21</v>
      </c>
      <c r="BZ12" s="12">
        <v>75</v>
      </c>
      <c r="CA12" s="12">
        <v>21</v>
      </c>
      <c r="CB12" s="12">
        <v>72.5</v>
      </c>
      <c r="CC12" s="12">
        <v>21</v>
      </c>
      <c r="CD12" s="12">
        <v>62</v>
      </c>
      <c r="CE12" s="12">
        <v>19</v>
      </c>
      <c r="CF12" s="12">
        <v>59.5</v>
      </c>
      <c r="CG12" s="12">
        <v>17</v>
      </c>
      <c r="CH12" s="12">
        <v>16</v>
      </c>
      <c r="CI12" s="12">
        <v>4</v>
      </c>
      <c r="CJ12" s="12">
        <f>BT12+BV12+BX12+BZ12+CB12+CD12+CF12+CH12</f>
        <v>490.5</v>
      </c>
      <c r="CK12" s="12">
        <f>BU12+BW12+BY12+CA12+CC12+CE12+CG12+CI12</f>
        <v>144</v>
      </c>
      <c r="CL12" s="23">
        <f t="shared" si="39"/>
        <v>3.40625</v>
      </c>
      <c r="CM12" s="12" t="str">
        <f t="shared" si="40"/>
        <v>Sangat Memuaskan</v>
      </c>
      <c r="CN12" s="38" t="str">
        <f t="shared" si="41"/>
        <v>Highly Satisfactory</v>
      </c>
      <c r="CO12" s="24"/>
    </row>
    <row r="13" spans="1:93" x14ac:dyDescent="0.25">
      <c r="A13" s="12">
        <v>11</v>
      </c>
      <c r="B13" s="26" t="s">
        <v>75</v>
      </c>
      <c r="C13" s="14">
        <v>152111017</v>
      </c>
      <c r="D13" s="14" t="s">
        <v>76</v>
      </c>
      <c r="E13" s="15" t="s">
        <v>77</v>
      </c>
      <c r="F13" s="14"/>
      <c r="G13" s="16">
        <v>74</v>
      </c>
      <c r="H13" s="17" t="str">
        <f t="shared" si="5"/>
        <v>B</v>
      </c>
      <c r="I13" s="10">
        <f t="shared" si="0"/>
        <v>3</v>
      </c>
      <c r="J13" s="17">
        <v>3</v>
      </c>
      <c r="K13" s="10">
        <f t="shared" si="6"/>
        <v>9</v>
      </c>
      <c r="L13" s="27">
        <v>78.88000000000001</v>
      </c>
      <c r="M13" s="17" t="str">
        <f t="shared" si="7"/>
        <v>B+</v>
      </c>
      <c r="N13" s="10">
        <f t="shared" si="1"/>
        <v>3.5</v>
      </c>
      <c r="O13" s="17">
        <v>4</v>
      </c>
      <c r="P13" s="10">
        <f t="shared" si="8"/>
        <v>14</v>
      </c>
      <c r="Q13" s="19">
        <v>74.25</v>
      </c>
      <c r="R13" s="17" t="str">
        <f t="shared" si="9"/>
        <v>B</v>
      </c>
      <c r="S13" s="10">
        <f t="shared" si="10"/>
        <v>3</v>
      </c>
      <c r="T13" s="17">
        <v>4</v>
      </c>
      <c r="U13" s="10">
        <f t="shared" si="11"/>
        <v>12</v>
      </c>
      <c r="V13" s="20">
        <v>73.478571428571428</v>
      </c>
      <c r="W13" s="17" t="str">
        <f t="shared" si="12"/>
        <v>B</v>
      </c>
      <c r="X13" s="10">
        <f t="shared" si="2"/>
        <v>3</v>
      </c>
      <c r="Y13" s="17">
        <v>2</v>
      </c>
      <c r="Z13" s="10">
        <f t="shared" si="13"/>
        <v>6</v>
      </c>
      <c r="AA13" s="21">
        <v>77.000000000000014</v>
      </c>
      <c r="AB13" s="17" t="str">
        <f t="shared" si="14"/>
        <v>B+</v>
      </c>
      <c r="AC13" s="10">
        <f t="shared" si="3"/>
        <v>3.5</v>
      </c>
      <c r="AD13" s="17">
        <v>3</v>
      </c>
      <c r="AE13" s="10">
        <f t="shared" si="15"/>
        <v>10.5</v>
      </c>
      <c r="AF13" s="22">
        <v>80.375</v>
      </c>
      <c r="AG13" s="17" t="str">
        <f t="shared" si="16"/>
        <v>A</v>
      </c>
      <c r="AH13" s="10">
        <f t="shared" si="4"/>
        <v>4</v>
      </c>
      <c r="AI13" s="17">
        <v>3</v>
      </c>
      <c r="AJ13" s="10">
        <f t="shared" si="17"/>
        <v>12</v>
      </c>
      <c r="AK13" s="17">
        <v>78</v>
      </c>
      <c r="AL13" s="17" t="str">
        <f t="shared" si="18"/>
        <v>B+</v>
      </c>
      <c r="AM13" s="10">
        <f t="shared" si="19"/>
        <v>3.5</v>
      </c>
      <c r="AN13" s="17">
        <v>4</v>
      </c>
      <c r="AO13" s="10">
        <f t="shared" si="20"/>
        <v>14</v>
      </c>
      <c r="AP13" s="27">
        <v>77.75</v>
      </c>
      <c r="AQ13" s="17" t="str">
        <f t="shared" si="21"/>
        <v>B+</v>
      </c>
      <c r="AR13" s="10">
        <f t="shared" si="22"/>
        <v>3.5</v>
      </c>
      <c r="AS13" s="17">
        <v>2</v>
      </c>
      <c r="AT13" s="10">
        <f t="shared" si="23"/>
        <v>7</v>
      </c>
      <c r="AU13" s="19">
        <v>79</v>
      </c>
      <c r="AV13" s="17" t="str">
        <f t="shared" si="24"/>
        <v>B+</v>
      </c>
      <c r="AW13" s="10">
        <f t="shared" si="25"/>
        <v>3.5</v>
      </c>
      <c r="AX13" s="17">
        <v>3</v>
      </c>
      <c r="AY13" s="10">
        <f t="shared" si="26"/>
        <v>10.5</v>
      </c>
      <c r="AZ13" s="20">
        <v>78</v>
      </c>
      <c r="BA13" s="17" t="str">
        <f t="shared" si="27"/>
        <v>B+</v>
      </c>
      <c r="BB13" s="10">
        <f t="shared" si="28"/>
        <v>3.5</v>
      </c>
      <c r="BC13" s="17">
        <v>2</v>
      </c>
      <c r="BD13" s="10">
        <f t="shared" si="29"/>
        <v>7</v>
      </c>
      <c r="BE13" s="21">
        <v>73.48</v>
      </c>
      <c r="BF13" s="17" t="str">
        <f t="shared" si="30"/>
        <v>B</v>
      </c>
      <c r="BG13" s="10">
        <f t="shared" si="31"/>
        <v>3</v>
      </c>
      <c r="BH13" s="17">
        <v>2</v>
      </c>
      <c r="BI13" s="10">
        <f t="shared" si="32"/>
        <v>6</v>
      </c>
      <c r="BJ13" s="17">
        <v>77.599999999999994</v>
      </c>
      <c r="BK13" s="17" t="str">
        <f t="shared" si="33"/>
        <v>B+</v>
      </c>
      <c r="BL13" s="10">
        <f t="shared" si="34"/>
        <v>3.5</v>
      </c>
      <c r="BM13" s="17">
        <v>4</v>
      </c>
      <c r="BN13" s="10">
        <f t="shared" si="35"/>
        <v>14</v>
      </c>
      <c r="BO13" s="17">
        <v>80</v>
      </c>
      <c r="BP13" s="17" t="str">
        <f t="shared" si="36"/>
        <v>A</v>
      </c>
      <c r="BQ13" s="10">
        <f t="shared" si="37"/>
        <v>4</v>
      </c>
      <c r="BR13" s="17">
        <v>4</v>
      </c>
      <c r="BS13" s="10">
        <f t="shared" si="38"/>
        <v>16</v>
      </c>
      <c r="BT13" s="12">
        <v>69</v>
      </c>
      <c r="BU13" s="12">
        <v>22</v>
      </c>
      <c r="BV13" s="12">
        <v>56.5</v>
      </c>
      <c r="BW13" s="12">
        <v>19</v>
      </c>
      <c r="BX13" s="12">
        <v>73.5</v>
      </c>
      <c r="BY13" s="12">
        <v>21</v>
      </c>
      <c r="BZ13" s="12">
        <v>76</v>
      </c>
      <c r="CA13" s="12">
        <v>21</v>
      </c>
      <c r="CB13" s="12">
        <v>71</v>
      </c>
      <c r="CC13" s="12">
        <v>21</v>
      </c>
      <c r="CD13" s="12">
        <v>63.5</v>
      </c>
      <c r="CE13" s="12">
        <v>19</v>
      </c>
      <c r="CF13" s="12">
        <v>58.5</v>
      </c>
      <c r="CG13" s="12">
        <v>17</v>
      </c>
      <c r="CH13" s="12">
        <v>16</v>
      </c>
      <c r="CI13" s="12">
        <v>4</v>
      </c>
      <c r="CJ13" s="12">
        <f>BT13+BV13+BX13+BZ13+CB13+CD13+CF13+CH13</f>
        <v>484</v>
      </c>
      <c r="CK13" s="12">
        <f>BU13+BW13+BY13+CA13+CC13+CE13+CG13+CI13</f>
        <v>144</v>
      </c>
      <c r="CL13" s="23">
        <f t="shared" si="39"/>
        <v>3.3611111111111112</v>
      </c>
      <c r="CM13" s="12" t="str">
        <f t="shared" si="40"/>
        <v>Sangat Memuaskan</v>
      </c>
      <c r="CN13" s="38" t="str">
        <f t="shared" si="41"/>
        <v>Highly Satisfactory</v>
      </c>
      <c r="CO13" s="24"/>
    </row>
    <row r="14" spans="1:93" x14ac:dyDescent="0.25">
      <c r="A14" s="12">
        <v>12</v>
      </c>
      <c r="B14" s="26" t="s">
        <v>78</v>
      </c>
      <c r="C14" s="14">
        <v>152111018</v>
      </c>
      <c r="D14" s="14" t="s">
        <v>79</v>
      </c>
      <c r="E14" s="15" t="s">
        <v>80</v>
      </c>
      <c r="F14" s="14"/>
      <c r="G14" s="16">
        <v>76.599999999999994</v>
      </c>
      <c r="H14" s="17" t="str">
        <f t="shared" si="5"/>
        <v>B+</v>
      </c>
      <c r="I14" s="10">
        <f t="shared" si="0"/>
        <v>3.5</v>
      </c>
      <c r="J14" s="17">
        <v>3</v>
      </c>
      <c r="K14" s="10">
        <f t="shared" si="6"/>
        <v>10.5</v>
      </c>
      <c r="L14" s="27">
        <v>76.800000000000011</v>
      </c>
      <c r="M14" s="17" t="str">
        <f t="shared" si="7"/>
        <v>B+</v>
      </c>
      <c r="N14" s="10">
        <f t="shared" si="1"/>
        <v>3.5</v>
      </c>
      <c r="O14" s="17">
        <v>4</v>
      </c>
      <c r="P14" s="10">
        <f t="shared" si="8"/>
        <v>14</v>
      </c>
      <c r="Q14" s="19">
        <v>74.25</v>
      </c>
      <c r="R14" s="17" t="str">
        <f t="shared" si="9"/>
        <v>B</v>
      </c>
      <c r="S14" s="10">
        <f t="shared" si="10"/>
        <v>3</v>
      </c>
      <c r="T14" s="17">
        <v>4</v>
      </c>
      <c r="U14" s="10">
        <f t="shared" si="11"/>
        <v>12</v>
      </c>
      <c r="V14" s="20">
        <v>72.800000000000011</v>
      </c>
      <c r="W14" s="17" t="str">
        <f t="shared" si="12"/>
        <v>B</v>
      </c>
      <c r="X14" s="10">
        <f t="shared" si="2"/>
        <v>3</v>
      </c>
      <c r="Y14" s="17">
        <v>2</v>
      </c>
      <c r="Z14" s="10">
        <f t="shared" si="13"/>
        <v>6</v>
      </c>
      <c r="AA14" s="21">
        <v>74.866666666666674</v>
      </c>
      <c r="AB14" s="17" t="str">
        <f t="shared" si="14"/>
        <v>B</v>
      </c>
      <c r="AC14" s="10">
        <f t="shared" si="3"/>
        <v>3</v>
      </c>
      <c r="AD14" s="17">
        <v>3</v>
      </c>
      <c r="AE14" s="10">
        <f t="shared" si="15"/>
        <v>9</v>
      </c>
      <c r="AF14" s="22">
        <v>80.825000000000003</v>
      </c>
      <c r="AG14" s="17" t="str">
        <f t="shared" si="16"/>
        <v>A</v>
      </c>
      <c r="AH14" s="10">
        <f t="shared" si="4"/>
        <v>4</v>
      </c>
      <c r="AI14" s="17">
        <v>3</v>
      </c>
      <c r="AJ14" s="10">
        <f t="shared" si="17"/>
        <v>12</v>
      </c>
      <c r="AK14" s="17">
        <v>78.599999999999994</v>
      </c>
      <c r="AL14" s="17" t="str">
        <f t="shared" si="18"/>
        <v>B+</v>
      </c>
      <c r="AM14" s="10">
        <f t="shared" si="19"/>
        <v>3.5</v>
      </c>
      <c r="AN14" s="17">
        <v>4</v>
      </c>
      <c r="AO14" s="10">
        <f t="shared" si="20"/>
        <v>14</v>
      </c>
      <c r="AP14" s="27">
        <v>80.349999999999994</v>
      </c>
      <c r="AQ14" s="17" t="str">
        <f t="shared" si="21"/>
        <v>A</v>
      </c>
      <c r="AR14" s="10">
        <f t="shared" si="22"/>
        <v>4</v>
      </c>
      <c r="AS14" s="17">
        <v>2</v>
      </c>
      <c r="AT14" s="10">
        <f t="shared" si="23"/>
        <v>8</v>
      </c>
      <c r="AU14" s="19">
        <v>78</v>
      </c>
      <c r="AV14" s="17" t="str">
        <f t="shared" si="24"/>
        <v>B+</v>
      </c>
      <c r="AW14" s="10">
        <f t="shared" si="25"/>
        <v>3.5</v>
      </c>
      <c r="AX14" s="17">
        <v>3</v>
      </c>
      <c r="AY14" s="10">
        <f t="shared" si="26"/>
        <v>10.5</v>
      </c>
      <c r="AZ14" s="20">
        <v>78.599999999999994</v>
      </c>
      <c r="BA14" s="17" t="str">
        <f t="shared" si="27"/>
        <v>B+</v>
      </c>
      <c r="BB14" s="10">
        <f t="shared" si="28"/>
        <v>3.5</v>
      </c>
      <c r="BC14" s="17">
        <v>2</v>
      </c>
      <c r="BD14" s="10">
        <f t="shared" si="29"/>
        <v>7</v>
      </c>
      <c r="BE14" s="21">
        <v>74.680000000000007</v>
      </c>
      <c r="BF14" s="17" t="str">
        <f t="shared" si="30"/>
        <v>B</v>
      </c>
      <c r="BG14" s="10">
        <f t="shared" si="31"/>
        <v>3</v>
      </c>
      <c r="BH14" s="17">
        <v>2</v>
      </c>
      <c r="BI14" s="10">
        <f t="shared" si="32"/>
        <v>6</v>
      </c>
      <c r="BJ14" s="17">
        <v>77.8</v>
      </c>
      <c r="BK14" s="17" t="str">
        <f t="shared" si="33"/>
        <v>B+</v>
      </c>
      <c r="BL14" s="10">
        <f t="shared" si="34"/>
        <v>3.5</v>
      </c>
      <c r="BM14" s="17">
        <v>4</v>
      </c>
      <c r="BN14" s="10">
        <f t="shared" si="35"/>
        <v>14</v>
      </c>
      <c r="BO14" s="17">
        <v>79</v>
      </c>
      <c r="BP14" s="17" t="str">
        <f t="shared" si="36"/>
        <v>B+</v>
      </c>
      <c r="BQ14" s="10">
        <f t="shared" si="37"/>
        <v>3.5</v>
      </c>
      <c r="BR14" s="17">
        <v>4</v>
      </c>
      <c r="BS14" s="10">
        <f t="shared" si="38"/>
        <v>14</v>
      </c>
      <c r="BT14" s="12">
        <v>69.5</v>
      </c>
      <c r="BU14" s="12">
        <v>22</v>
      </c>
      <c r="BV14" s="12">
        <v>63.5</v>
      </c>
      <c r="BW14" s="12">
        <v>19</v>
      </c>
      <c r="BX14" s="12">
        <v>71.5</v>
      </c>
      <c r="BY14" s="12">
        <v>21</v>
      </c>
      <c r="BZ14" s="12">
        <v>71.5</v>
      </c>
      <c r="CA14" s="12">
        <v>21</v>
      </c>
      <c r="CB14" s="12">
        <v>72</v>
      </c>
      <c r="CC14" s="12">
        <v>21</v>
      </c>
      <c r="CD14" s="12">
        <v>63.5</v>
      </c>
      <c r="CE14" s="12">
        <v>19</v>
      </c>
      <c r="CF14" s="12">
        <v>59.5</v>
      </c>
      <c r="CG14" s="12">
        <v>17</v>
      </c>
      <c r="CH14" s="12">
        <v>14</v>
      </c>
      <c r="CI14" s="12">
        <v>4</v>
      </c>
      <c r="CJ14" s="12">
        <f>BT14+BV14+BX14+BZ14+CB14+CD14+CF14+CH14</f>
        <v>485</v>
      </c>
      <c r="CK14" s="12">
        <f>BU14+BW14+BY14+CA14+CC14+CE14+CG14+CI14</f>
        <v>144</v>
      </c>
      <c r="CL14" s="23">
        <f t="shared" si="39"/>
        <v>3.3680555555555554</v>
      </c>
      <c r="CM14" s="12" t="str">
        <f t="shared" si="40"/>
        <v>Sangat Memuaskan</v>
      </c>
      <c r="CN14" s="38" t="str">
        <f t="shared" si="41"/>
        <v>Highly Satisfactory</v>
      </c>
      <c r="CO14" s="24"/>
    </row>
    <row r="15" spans="1:93" x14ac:dyDescent="0.25">
      <c r="A15" s="12">
        <v>13</v>
      </c>
      <c r="B15" s="25" t="s">
        <v>81</v>
      </c>
      <c r="C15" s="14">
        <v>152111019</v>
      </c>
      <c r="D15" s="14"/>
      <c r="E15" s="15"/>
      <c r="F15" s="14"/>
      <c r="G15" s="16">
        <v>78.2</v>
      </c>
      <c r="H15" s="17" t="str">
        <f t="shared" si="5"/>
        <v>B+</v>
      </c>
      <c r="I15" s="10">
        <f t="shared" si="0"/>
        <v>3.5</v>
      </c>
      <c r="J15" s="17">
        <v>3</v>
      </c>
      <c r="K15" s="10">
        <f t="shared" si="6"/>
        <v>10.5</v>
      </c>
      <c r="L15" s="27">
        <v>73.14</v>
      </c>
      <c r="M15" s="17" t="str">
        <f t="shared" si="7"/>
        <v>B</v>
      </c>
      <c r="N15" s="10">
        <f t="shared" si="1"/>
        <v>3</v>
      </c>
      <c r="O15" s="17">
        <v>4</v>
      </c>
      <c r="P15" s="10">
        <f t="shared" si="8"/>
        <v>12</v>
      </c>
      <c r="Q15" s="19">
        <v>74.25</v>
      </c>
      <c r="R15" s="17" t="str">
        <f t="shared" si="9"/>
        <v>B</v>
      </c>
      <c r="S15" s="10">
        <f t="shared" si="10"/>
        <v>3</v>
      </c>
      <c r="T15" s="17">
        <v>4</v>
      </c>
      <c r="U15" s="10">
        <f t="shared" si="11"/>
        <v>12</v>
      </c>
      <c r="V15" s="20">
        <v>70.599999999999994</v>
      </c>
      <c r="W15" s="17" t="str">
        <f t="shared" si="12"/>
        <v>B</v>
      </c>
      <c r="X15" s="10">
        <f t="shared" si="2"/>
        <v>3</v>
      </c>
      <c r="Y15" s="17">
        <v>2</v>
      </c>
      <c r="Z15" s="10">
        <f t="shared" si="13"/>
        <v>6</v>
      </c>
      <c r="AA15" s="21">
        <v>74.733333333333334</v>
      </c>
      <c r="AB15" s="17" t="str">
        <f t="shared" si="14"/>
        <v>B</v>
      </c>
      <c r="AC15" s="10">
        <f t="shared" si="3"/>
        <v>3</v>
      </c>
      <c r="AD15" s="17">
        <v>3</v>
      </c>
      <c r="AE15" s="10">
        <f t="shared" si="15"/>
        <v>9</v>
      </c>
      <c r="AF15" s="22">
        <v>77.775000000000006</v>
      </c>
      <c r="AG15" s="17" t="str">
        <f t="shared" si="16"/>
        <v>B+</v>
      </c>
      <c r="AH15" s="10">
        <f t="shared" si="4"/>
        <v>3.5</v>
      </c>
      <c r="AI15" s="17">
        <v>3</v>
      </c>
      <c r="AJ15" s="10">
        <f t="shared" si="17"/>
        <v>10.5</v>
      </c>
      <c r="AK15" s="17">
        <v>80.599999999999994</v>
      </c>
      <c r="AL15" s="17" t="str">
        <f t="shared" si="18"/>
        <v>A</v>
      </c>
      <c r="AM15" s="10">
        <f t="shared" si="19"/>
        <v>4</v>
      </c>
      <c r="AN15" s="17">
        <v>4</v>
      </c>
      <c r="AO15" s="10">
        <f t="shared" si="20"/>
        <v>16</v>
      </c>
      <c r="AP15" s="27">
        <v>76.55</v>
      </c>
      <c r="AQ15" s="17" t="str">
        <f t="shared" si="21"/>
        <v>B+</v>
      </c>
      <c r="AR15" s="10">
        <f t="shared" si="22"/>
        <v>3.5</v>
      </c>
      <c r="AS15" s="17">
        <v>2</v>
      </c>
      <c r="AT15" s="10">
        <f t="shared" si="23"/>
        <v>7</v>
      </c>
      <c r="AU15" s="19">
        <v>79.849999999999994</v>
      </c>
      <c r="AV15" s="17" t="str">
        <f t="shared" si="24"/>
        <v>B+</v>
      </c>
      <c r="AW15" s="10">
        <f t="shared" si="25"/>
        <v>3.5</v>
      </c>
      <c r="AX15" s="17">
        <v>3</v>
      </c>
      <c r="AY15" s="10">
        <f t="shared" si="26"/>
        <v>10.5</v>
      </c>
      <c r="AZ15" s="20">
        <v>80.599999999999994</v>
      </c>
      <c r="BA15" s="17" t="str">
        <f t="shared" si="27"/>
        <v>A</v>
      </c>
      <c r="BB15" s="10">
        <f t="shared" si="28"/>
        <v>4</v>
      </c>
      <c r="BC15" s="17">
        <v>2</v>
      </c>
      <c r="BD15" s="10">
        <f t="shared" si="29"/>
        <v>8</v>
      </c>
      <c r="BE15" s="21">
        <v>75.05</v>
      </c>
      <c r="BF15" s="17" t="str">
        <f t="shared" si="30"/>
        <v>B+</v>
      </c>
      <c r="BG15" s="10">
        <f t="shared" si="31"/>
        <v>3.5</v>
      </c>
      <c r="BH15" s="17">
        <v>2</v>
      </c>
      <c r="BI15" s="10">
        <f t="shared" si="32"/>
        <v>7</v>
      </c>
      <c r="BJ15" s="17">
        <v>76.599999999999994</v>
      </c>
      <c r="BK15" s="17" t="str">
        <f t="shared" si="33"/>
        <v>B+</v>
      </c>
      <c r="BL15" s="10">
        <f t="shared" si="34"/>
        <v>3.5</v>
      </c>
      <c r="BM15" s="17">
        <v>4</v>
      </c>
      <c r="BN15" s="10">
        <f t="shared" si="35"/>
        <v>14</v>
      </c>
      <c r="BO15" s="17">
        <v>80.2</v>
      </c>
      <c r="BP15" s="17" t="str">
        <f t="shared" si="36"/>
        <v>A</v>
      </c>
      <c r="BQ15" s="10">
        <f t="shared" si="37"/>
        <v>4</v>
      </c>
      <c r="BR15" s="17">
        <v>4</v>
      </c>
      <c r="BS15" s="10">
        <f t="shared" si="38"/>
        <v>16</v>
      </c>
      <c r="BT15" s="12">
        <v>75</v>
      </c>
      <c r="BU15" s="12">
        <v>22</v>
      </c>
      <c r="BV15" s="12">
        <v>65.5</v>
      </c>
      <c r="BW15" s="12">
        <v>19</v>
      </c>
      <c r="BX15" s="12">
        <v>76.5</v>
      </c>
      <c r="BY15" s="12">
        <v>21</v>
      </c>
      <c r="BZ15" s="12">
        <v>78.5</v>
      </c>
      <c r="CA15" s="12">
        <v>21</v>
      </c>
      <c r="CB15" s="12">
        <v>76.5</v>
      </c>
      <c r="CC15" s="12">
        <v>21</v>
      </c>
      <c r="CD15" s="12">
        <v>60</v>
      </c>
      <c r="CE15" s="12">
        <v>19</v>
      </c>
      <c r="CF15" s="12">
        <v>62.5</v>
      </c>
      <c r="CG15" s="12">
        <v>17</v>
      </c>
      <c r="CH15" s="12">
        <v>16</v>
      </c>
      <c r="CI15" s="12">
        <v>4</v>
      </c>
      <c r="CJ15" s="12">
        <f>BT15+BV15+BX15+BZ15+CB15+CD15+CF15+CH15</f>
        <v>510.5</v>
      </c>
      <c r="CK15" s="12">
        <f>BU15+BW15+BY15+CA15+CC15+CE15+CG15+CI15</f>
        <v>144</v>
      </c>
      <c r="CL15" s="23">
        <f t="shared" si="39"/>
        <v>3.5451388888888888</v>
      </c>
      <c r="CM15" s="12" t="str">
        <f t="shared" si="40"/>
        <v>Cum Laude</v>
      </c>
      <c r="CN15" s="38" t="str">
        <f t="shared" si="41"/>
        <v>Excellent</v>
      </c>
      <c r="CO15" s="24"/>
    </row>
    <row r="16" spans="1:93" x14ac:dyDescent="0.25">
      <c r="A16" s="12">
        <v>14</v>
      </c>
      <c r="B16" s="25" t="s">
        <v>82</v>
      </c>
      <c r="C16" s="14">
        <v>152111020</v>
      </c>
      <c r="D16" s="24" t="s">
        <v>83</v>
      </c>
      <c r="E16" s="15" t="s">
        <v>84</v>
      </c>
      <c r="F16" s="14"/>
      <c r="G16" s="16">
        <v>74.2</v>
      </c>
      <c r="H16" s="17" t="str">
        <f t="shared" si="5"/>
        <v>B</v>
      </c>
      <c r="I16" s="10">
        <f t="shared" si="0"/>
        <v>3</v>
      </c>
      <c r="J16" s="17">
        <v>3</v>
      </c>
      <c r="K16" s="10">
        <f t="shared" si="6"/>
        <v>9</v>
      </c>
      <c r="L16" s="27">
        <v>78.66</v>
      </c>
      <c r="M16" s="17" t="str">
        <f t="shared" si="7"/>
        <v>B+</v>
      </c>
      <c r="N16" s="10">
        <f t="shared" si="1"/>
        <v>3.5</v>
      </c>
      <c r="O16" s="17">
        <v>4</v>
      </c>
      <c r="P16" s="10">
        <f t="shared" si="8"/>
        <v>14</v>
      </c>
      <c r="Q16" s="19">
        <v>74.25</v>
      </c>
      <c r="R16" s="17" t="str">
        <f t="shared" si="9"/>
        <v>B</v>
      </c>
      <c r="S16" s="10">
        <f t="shared" si="10"/>
        <v>3</v>
      </c>
      <c r="T16" s="17">
        <v>4</v>
      </c>
      <c r="U16" s="10">
        <f t="shared" si="11"/>
        <v>12</v>
      </c>
      <c r="V16" s="20">
        <v>77.275000000000006</v>
      </c>
      <c r="W16" s="17" t="str">
        <f t="shared" si="12"/>
        <v>B+</v>
      </c>
      <c r="X16" s="10">
        <f t="shared" si="2"/>
        <v>3.5</v>
      </c>
      <c r="Y16" s="17">
        <v>2</v>
      </c>
      <c r="Z16" s="10">
        <f t="shared" si="13"/>
        <v>7</v>
      </c>
      <c r="AA16" s="21">
        <v>73.45</v>
      </c>
      <c r="AB16" s="17" t="str">
        <f t="shared" si="14"/>
        <v>B</v>
      </c>
      <c r="AC16" s="10">
        <f t="shared" si="3"/>
        <v>3</v>
      </c>
      <c r="AD16" s="17">
        <v>3</v>
      </c>
      <c r="AE16" s="10">
        <f t="shared" si="15"/>
        <v>9</v>
      </c>
      <c r="AF16" s="22">
        <v>71.174999999999997</v>
      </c>
      <c r="AG16" s="17" t="str">
        <f t="shared" si="16"/>
        <v>B</v>
      </c>
      <c r="AH16" s="10">
        <f t="shared" si="4"/>
        <v>3</v>
      </c>
      <c r="AI16" s="17">
        <v>3</v>
      </c>
      <c r="AJ16" s="10">
        <f t="shared" si="17"/>
        <v>9</v>
      </c>
      <c r="AK16" s="17">
        <v>78.8</v>
      </c>
      <c r="AL16" s="17" t="str">
        <f t="shared" si="18"/>
        <v>B+</v>
      </c>
      <c r="AM16" s="10">
        <f t="shared" si="19"/>
        <v>3.5</v>
      </c>
      <c r="AN16" s="17">
        <v>4</v>
      </c>
      <c r="AO16" s="10">
        <f t="shared" si="20"/>
        <v>14</v>
      </c>
      <c r="AP16" s="27">
        <v>77.150000000000006</v>
      </c>
      <c r="AQ16" s="17" t="str">
        <f t="shared" si="21"/>
        <v>B+</v>
      </c>
      <c r="AR16" s="10">
        <f t="shared" si="22"/>
        <v>3.5</v>
      </c>
      <c r="AS16" s="17">
        <v>2</v>
      </c>
      <c r="AT16" s="10">
        <f t="shared" si="23"/>
        <v>7</v>
      </c>
      <c r="AU16" s="19">
        <v>78</v>
      </c>
      <c r="AV16" s="17" t="str">
        <f t="shared" si="24"/>
        <v>B+</v>
      </c>
      <c r="AW16" s="10">
        <f t="shared" si="25"/>
        <v>3.5</v>
      </c>
      <c r="AX16" s="17">
        <v>3</v>
      </c>
      <c r="AY16" s="10">
        <f t="shared" si="26"/>
        <v>10.5</v>
      </c>
      <c r="AZ16" s="20">
        <v>78.8</v>
      </c>
      <c r="BA16" s="17" t="str">
        <f t="shared" si="27"/>
        <v>B+</v>
      </c>
      <c r="BB16" s="10">
        <f t="shared" si="28"/>
        <v>3.5</v>
      </c>
      <c r="BC16" s="17">
        <v>2</v>
      </c>
      <c r="BD16" s="10">
        <f t="shared" si="29"/>
        <v>7</v>
      </c>
      <c r="BE16" s="21">
        <v>78.2</v>
      </c>
      <c r="BF16" s="17" t="str">
        <f t="shared" si="30"/>
        <v>B+</v>
      </c>
      <c r="BG16" s="10">
        <f t="shared" si="31"/>
        <v>3.5</v>
      </c>
      <c r="BH16" s="17">
        <v>2</v>
      </c>
      <c r="BI16" s="10">
        <f t="shared" si="32"/>
        <v>7</v>
      </c>
      <c r="BJ16" s="17">
        <v>78</v>
      </c>
      <c r="BK16" s="17" t="str">
        <f t="shared" si="33"/>
        <v>B+</v>
      </c>
      <c r="BL16" s="10">
        <f t="shared" si="34"/>
        <v>3.5</v>
      </c>
      <c r="BM16" s="17">
        <v>4</v>
      </c>
      <c r="BN16" s="10">
        <f t="shared" si="35"/>
        <v>14</v>
      </c>
      <c r="BO16" s="17">
        <v>80.5</v>
      </c>
      <c r="BP16" s="17" t="str">
        <f t="shared" si="36"/>
        <v>A</v>
      </c>
      <c r="BQ16" s="10">
        <f t="shared" si="37"/>
        <v>4</v>
      </c>
      <c r="BR16" s="17">
        <v>4</v>
      </c>
      <c r="BS16" s="10">
        <f t="shared" si="38"/>
        <v>16</v>
      </c>
      <c r="BT16" s="12">
        <v>75</v>
      </c>
      <c r="BU16" s="12">
        <v>22</v>
      </c>
      <c r="BV16" s="12">
        <v>62</v>
      </c>
      <c r="BW16" s="12">
        <v>19</v>
      </c>
      <c r="BX16" s="12">
        <v>76.5</v>
      </c>
      <c r="BY16" s="12">
        <v>21</v>
      </c>
      <c r="BZ16" s="12">
        <v>76.5</v>
      </c>
      <c r="CA16" s="12">
        <v>21</v>
      </c>
      <c r="CB16" s="12">
        <v>69.5</v>
      </c>
      <c r="CC16" s="12">
        <v>21</v>
      </c>
      <c r="CD16" s="12">
        <v>60</v>
      </c>
      <c r="CE16" s="12">
        <v>19</v>
      </c>
      <c r="CF16" s="12">
        <v>59.5</v>
      </c>
      <c r="CG16" s="12">
        <v>17</v>
      </c>
      <c r="CH16" s="12">
        <v>16</v>
      </c>
      <c r="CI16" s="12">
        <v>4</v>
      </c>
      <c r="CJ16" s="12">
        <f>BT16+BV16+BX16+BZ16+CB16+CD16+CF16+CH16</f>
        <v>495</v>
      </c>
      <c r="CK16" s="12">
        <f>BU16+BW16+BY16+CA16+CC16+CE16+CG16+CI16</f>
        <v>144</v>
      </c>
      <c r="CL16" s="23">
        <f t="shared" si="39"/>
        <v>3.4375</v>
      </c>
      <c r="CM16" s="12" t="str">
        <f t="shared" si="40"/>
        <v>Sangat Memuaskan</v>
      </c>
      <c r="CN16" s="38" t="str">
        <f t="shared" si="41"/>
        <v>Highly Satisfactory</v>
      </c>
      <c r="CO16" s="24"/>
    </row>
    <row r="17" spans="1:93" x14ac:dyDescent="0.25">
      <c r="A17" s="12">
        <v>15</v>
      </c>
      <c r="B17" s="25" t="s">
        <v>85</v>
      </c>
      <c r="C17" s="14">
        <v>152111021</v>
      </c>
      <c r="D17" s="14" t="s">
        <v>58</v>
      </c>
      <c r="E17" s="15" t="s">
        <v>86</v>
      </c>
      <c r="F17" s="14"/>
      <c r="G17" s="16">
        <v>77.599999999999994</v>
      </c>
      <c r="H17" s="17" t="str">
        <f t="shared" si="5"/>
        <v>B+</v>
      </c>
      <c r="I17" s="10">
        <f t="shared" si="0"/>
        <v>3.5</v>
      </c>
      <c r="J17" s="17">
        <v>3</v>
      </c>
      <c r="K17" s="10">
        <f t="shared" si="6"/>
        <v>10.5</v>
      </c>
      <c r="L17" s="27">
        <v>76.7</v>
      </c>
      <c r="M17" s="17" t="str">
        <f t="shared" si="7"/>
        <v>B+</v>
      </c>
      <c r="N17" s="10">
        <f t="shared" si="1"/>
        <v>3.5</v>
      </c>
      <c r="O17" s="17">
        <v>4</v>
      </c>
      <c r="P17" s="10">
        <f t="shared" si="8"/>
        <v>14</v>
      </c>
      <c r="Q17" s="19">
        <v>74.25</v>
      </c>
      <c r="R17" s="17" t="str">
        <f t="shared" si="9"/>
        <v>B</v>
      </c>
      <c r="S17" s="10">
        <f t="shared" si="10"/>
        <v>3</v>
      </c>
      <c r="T17" s="17">
        <v>4</v>
      </c>
      <c r="U17" s="10">
        <f t="shared" si="11"/>
        <v>12</v>
      </c>
      <c r="V17" s="20">
        <v>75.75</v>
      </c>
      <c r="W17" s="17" t="str">
        <f t="shared" si="12"/>
        <v>B+</v>
      </c>
      <c r="X17" s="10">
        <f t="shared" si="2"/>
        <v>3.5</v>
      </c>
      <c r="Y17" s="17">
        <v>2</v>
      </c>
      <c r="Z17" s="10">
        <f t="shared" si="13"/>
        <v>7</v>
      </c>
      <c r="AA17" s="21">
        <v>75.783333333333331</v>
      </c>
      <c r="AB17" s="17" t="str">
        <f t="shared" si="14"/>
        <v>B+</v>
      </c>
      <c r="AC17" s="10">
        <f t="shared" si="3"/>
        <v>3.5</v>
      </c>
      <c r="AD17" s="17">
        <v>3</v>
      </c>
      <c r="AE17" s="10">
        <f t="shared" si="15"/>
        <v>10.5</v>
      </c>
      <c r="AF17" s="22">
        <v>78.775000000000006</v>
      </c>
      <c r="AG17" s="17" t="str">
        <f t="shared" si="16"/>
        <v>B+</v>
      </c>
      <c r="AH17" s="10">
        <f t="shared" si="4"/>
        <v>3.5</v>
      </c>
      <c r="AI17" s="17">
        <v>3</v>
      </c>
      <c r="AJ17" s="10">
        <f t="shared" si="17"/>
        <v>10.5</v>
      </c>
      <c r="AK17" s="17">
        <v>81.8</v>
      </c>
      <c r="AL17" s="17" t="str">
        <f t="shared" si="18"/>
        <v>A</v>
      </c>
      <c r="AM17" s="10">
        <f t="shared" si="19"/>
        <v>4</v>
      </c>
      <c r="AN17" s="17">
        <v>4</v>
      </c>
      <c r="AO17" s="10">
        <f t="shared" si="20"/>
        <v>16</v>
      </c>
      <c r="AP17" s="27">
        <v>81.150000000000006</v>
      </c>
      <c r="AQ17" s="17" t="str">
        <f t="shared" si="21"/>
        <v>A</v>
      </c>
      <c r="AR17" s="10">
        <f t="shared" si="22"/>
        <v>4</v>
      </c>
      <c r="AS17" s="17">
        <v>2</v>
      </c>
      <c r="AT17" s="10">
        <f t="shared" si="23"/>
        <v>8</v>
      </c>
      <c r="AU17" s="19">
        <v>76.45</v>
      </c>
      <c r="AV17" s="17" t="str">
        <f t="shared" si="24"/>
        <v>B+</v>
      </c>
      <c r="AW17" s="10">
        <f t="shared" si="25"/>
        <v>3.5</v>
      </c>
      <c r="AX17" s="17">
        <v>3</v>
      </c>
      <c r="AY17" s="10">
        <f t="shared" si="26"/>
        <v>10.5</v>
      </c>
      <c r="AZ17" s="20">
        <v>81.8</v>
      </c>
      <c r="BA17" s="17" t="str">
        <f t="shared" si="27"/>
        <v>A</v>
      </c>
      <c r="BB17" s="10">
        <f t="shared" si="28"/>
        <v>4</v>
      </c>
      <c r="BC17" s="17">
        <v>2</v>
      </c>
      <c r="BD17" s="10">
        <f t="shared" si="29"/>
        <v>8</v>
      </c>
      <c r="BE17" s="21">
        <v>72.33</v>
      </c>
      <c r="BF17" s="17" t="str">
        <f t="shared" si="30"/>
        <v>B</v>
      </c>
      <c r="BG17" s="10">
        <f t="shared" si="31"/>
        <v>3</v>
      </c>
      <c r="BH17" s="17">
        <v>2</v>
      </c>
      <c r="BI17" s="10">
        <f t="shared" si="32"/>
        <v>6</v>
      </c>
      <c r="BJ17" s="17">
        <v>75</v>
      </c>
      <c r="BK17" s="17" t="str">
        <f t="shared" si="33"/>
        <v>B+</v>
      </c>
      <c r="BL17" s="10">
        <f t="shared" si="34"/>
        <v>3.5</v>
      </c>
      <c r="BM17" s="17">
        <v>4</v>
      </c>
      <c r="BN17" s="10">
        <f t="shared" si="35"/>
        <v>14</v>
      </c>
      <c r="BO17" s="17">
        <v>80.3</v>
      </c>
      <c r="BP17" s="17" t="str">
        <f t="shared" si="36"/>
        <v>A</v>
      </c>
      <c r="BQ17" s="10">
        <f t="shared" si="37"/>
        <v>4</v>
      </c>
      <c r="BR17" s="17">
        <v>4</v>
      </c>
      <c r="BS17" s="10">
        <f t="shared" si="38"/>
        <v>16</v>
      </c>
      <c r="BT17" s="12">
        <v>65</v>
      </c>
      <c r="BU17" s="12">
        <v>22</v>
      </c>
      <c r="BV17" s="12">
        <v>60</v>
      </c>
      <c r="BW17" s="12">
        <v>19</v>
      </c>
      <c r="BX17" s="12">
        <v>76.5</v>
      </c>
      <c r="BY17" s="12">
        <v>21</v>
      </c>
      <c r="BZ17" s="12">
        <v>74.5</v>
      </c>
      <c r="CA17" s="12">
        <v>21</v>
      </c>
      <c r="CB17" s="12">
        <v>73.5</v>
      </c>
      <c r="CC17" s="12">
        <v>21</v>
      </c>
      <c r="CD17" s="12">
        <v>64.5</v>
      </c>
      <c r="CE17" s="12">
        <v>19</v>
      </c>
      <c r="CF17" s="12">
        <v>62.5</v>
      </c>
      <c r="CG17" s="12">
        <v>17</v>
      </c>
      <c r="CH17" s="12">
        <v>16</v>
      </c>
      <c r="CI17" s="12">
        <v>4</v>
      </c>
      <c r="CJ17" s="12">
        <f>BT17+BV17+BX17+BZ17+CB17+CD17+CF17+CH17</f>
        <v>492.5</v>
      </c>
      <c r="CK17" s="12">
        <f>BU17+BW17+BY17+CA17+CC17+CE17+CG17+CI17</f>
        <v>144</v>
      </c>
      <c r="CL17" s="23">
        <f t="shared" si="39"/>
        <v>3.4201388888888888</v>
      </c>
      <c r="CM17" s="12" t="str">
        <f t="shared" si="40"/>
        <v>Sangat Memuaskan</v>
      </c>
      <c r="CN17" s="38" t="str">
        <f t="shared" si="41"/>
        <v>Highly Satisfactory</v>
      </c>
      <c r="CO17" s="24"/>
    </row>
    <row r="18" spans="1:93" x14ac:dyDescent="0.25">
      <c r="A18" s="12">
        <v>16</v>
      </c>
      <c r="B18" s="25" t="s">
        <v>87</v>
      </c>
      <c r="C18" s="14">
        <v>152111022</v>
      </c>
      <c r="D18" s="14" t="s">
        <v>88</v>
      </c>
      <c r="E18" s="15" t="s">
        <v>89</v>
      </c>
      <c r="F18" s="14"/>
      <c r="G18" s="16">
        <v>81</v>
      </c>
      <c r="H18" s="17" t="str">
        <f t="shared" si="5"/>
        <v>A</v>
      </c>
      <c r="I18" s="10">
        <f t="shared" si="0"/>
        <v>4</v>
      </c>
      <c r="J18" s="17">
        <v>3</v>
      </c>
      <c r="K18" s="10">
        <f t="shared" si="6"/>
        <v>12</v>
      </c>
      <c r="L18" s="16">
        <v>82.440000000000012</v>
      </c>
      <c r="M18" s="17" t="str">
        <f t="shared" si="7"/>
        <v>A</v>
      </c>
      <c r="N18" s="10">
        <f t="shared" si="1"/>
        <v>4</v>
      </c>
      <c r="O18" s="17">
        <v>4</v>
      </c>
      <c r="P18" s="10">
        <f t="shared" si="8"/>
        <v>16</v>
      </c>
      <c r="Q18" s="19">
        <v>75.5</v>
      </c>
      <c r="R18" s="17" t="str">
        <f t="shared" si="9"/>
        <v>B+</v>
      </c>
      <c r="S18" s="10">
        <f t="shared" si="10"/>
        <v>3.5</v>
      </c>
      <c r="T18" s="17">
        <v>4</v>
      </c>
      <c r="U18" s="10">
        <f t="shared" si="11"/>
        <v>14</v>
      </c>
      <c r="V18" s="20">
        <v>83.15</v>
      </c>
      <c r="W18" s="17" t="str">
        <f t="shared" si="12"/>
        <v>A</v>
      </c>
      <c r="X18" s="10">
        <f t="shared" si="2"/>
        <v>4</v>
      </c>
      <c r="Y18" s="17">
        <v>2</v>
      </c>
      <c r="Z18" s="10">
        <f t="shared" si="13"/>
        <v>8</v>
      </c>
      <c r="AA18" s="21">
        <v>81.75</v>
      </c>
      <c r="AB18" s="17" t="str">
        <f t="shared" si="14"/>
        <v>A</v>
      </c>
      <c r="AC18" s="10">
        <f t="shared" si="3"/>
        <v>4</v>
      </c>
      <c r="AD18" s="17">
        <v>3</v>
      </c>
      <c r="AE18" s="10">
        <f t="shared" si="15"/>
        <v>12</v>
      </c>
      <c r="AF18" s="22">
        <v>81.674999999999997</v>
      </c>
      <c r="AG18" s="17" t="str">
        <f t="shared" si="16"/>
        <v>A</v>
      </c>
      <c r="AH18" s="10">
        <f t="shared" si="4"/>
        <v>4</v>
      </c>
      <c r="AI18" s="17">
        <v>3</v>
      </c>
      <c r="AJ18" s="10">
        <f t="shared" si="17"/>
        <v>12</v>
      </c>
      <c r="AK18" s="17">
        <v>86.2</v>
      </c>
      <c r="AL18" s="17" t="str">
        <f t="shared" si="18"/>
        <v>A</v>
      </c>
      <c r="AM18" s="10">
        <f t="shared" si="19"/>
        <v>4</v>
      </c>
      <c r="AN18" s="17">
        <v>4</v>
      </c>
      <c r="AO18" s="10">
        <f t="shared" si="20"/>
        <v>16</v>
      </c>
      <c r="AP18" s="16">
        <v>81.95</v>
      </c>
      <c r="AQ18" s="17" t="str">
        <f t="shared" si="21"/>
        <v>A</v>
      </c>
      <c r="AR18" s="10">
        <f t="shared" si="22"/>
        <v>4</v>
      </c>
      <c r="AS18" s="17">
        <v>2</v>
      </c>
      <c r="AT18" s="10">
        <f t="shared" si="23"/>
        <v>8</v>
      </c>
      <c r="AU18" s="19">
        <v>80.2</v>
      </c>
      <c r="AV18" s="17" t="str">
        <f t="shared" si="24"/>
        <v>A</v>
      </c>
      <c r="AW18" s="10">
        <f t="shared" si="25"/>
        <v>4</v>
      </c>
      <c r="AX18" s="17">
        <v>3</v>
      </c>
      <c r="AY18" s="10">
        <f t="shared" si="26"/>
        <v>12</v>
      </c>
      <c r="AZ18" s="20">
        <v>86.2</v>
      </c>
      <c r="BA18" s="17" t="str">
        <f t="shared" si="27"/>
        <v>A</v>
      </c>
      <c r="BB18" s="10">
        <f t="shared" si="28"/>
        <v>4</v>
      </c>
      <c r="BC18" s="17">
        <v>2</v>
      </c>
      <c r="BD18" s="10">
        <f t="shared" si="29"/>
        <v>8</v>
      </c>
      <c r="BE18" s="21">
        <v>76.430000000000007</v>
      </c>
      <c r="BF18" s="17" t="str">
        <f t="shared" si="30"/>
        <v>B+</v>
      </c>
      <c r="BG18" s="10">
        <f t="shared" si="31"/>
        <v>3.5</v>
      </c>
      <c r="BH18" s="17">
        <v>2</v>
      </c>
      <c r="BI18" s="10">
        <f t="shared" si="32"/>
        <v>7</v>
      </c>
      <c r="BJ18" s="17">
        <v>80.2</v>
      </c>
      <c r="BK18" s="17" t="str">
        <f t="shared" si="33"/>
        <v>A</v>
      </c>
      <c r="BL18" s="10">
        <f t="shared" si="34"/>
        <v>4</v>
      </c>
      <c r="BM18" s="17">
        <v>4</v>
      </c>
      <c r="BN18" s="10">
        <f t="shared" si="35"/>
        <v>16</v>
      </c>
      <c r="BO18" s="17">
        <v>81</v>
      </c>
      <c r="BP18" s="17" t="str">
        <f t="shared" si="36"/>
        <v>A</v>
      </c>
      <c r="BQ18" s="10">
        <f t="shared" si="37"/>
        <v>4</v>
      </c>
      <c r="BR18" s="17">
        <v>4</v>
      </c>
      <c r="BS18" s="10">
        <f t="shared" si="38"/>
        <v>16</v>
      </c>
      <c r="BT18" s="12">
        <v>84.5</v>
      </c>
      <c r="BU18" s="12">
        <v>22</v>
      </c>
      <c r="BV18" s="12">
        <v>71</v>
      </c>
      <c r="BW18" s="12">
        <v>19</v>
      </c>
      <c r="BX18" s="12">
        <v>79.5</v>
      </c>
      <c r="BY18" s="12">
        <v>21</v>
      </c>
      <c r="BZ18" s="12">
        <v>84</v>
      </c>
      <c r="CA18" s="12">
        <v>21</v>
      </c>
      <c r="CB18" s="12">
        <v>81.5</v>
      </c>
      <c r="CC18" s="12">
        <v>21</v>
      </c>
      <c r="CD18" s="12">
        <v>74</v>
      </c>
      <c r="CE18" s="12">
        <v>19</v>
      </c>
      <c r="CF18" s="12">
        <v>67</v>
      </c>
      <c r="CG18" s="12">
        <v>17</v>
      </c>
      <c r="CH18" s="12">
        <v>16</v>
      </c>
      <c r="CI18" s="12">
        <v>4</v>
      </c>
      <c r="CJ18" s="12">
        <f>BT18+BV18+BX18+BZ18+CB18+CD18+CF18+CH18</f>
        <v>557.5</v>
      </c>
      <c r="CK18" s="12">
        <f>BU18+BW18+BY18+CA18+CC18+CE18+CG18+CI18</f>
        <v>144</v>
      </c>
      <c r="CL18" s="23">
        <f t="shared" si="39"/>
        <v>3.8715277777777777</v>
      </c>
      <c r="CM18" s="12" t="str">
        <f t="shared" si="40"/>
        <v>Cum Laude</v>
      </c>
      <c r="CN18" s="38" t="str">
        <f t="shared" si="41"/>
        <v>Excellent</v>
      </c>
      <c r="CO18" s="24"/>
    </row>
    <row r="19" spans="1:93" x14ac:dyDescent="0.25">
      <c r="A19" s="12">
        <v>17</v>
      </c>
      <c r="B19" s="25" t="s">
        <v>90</v>
      </c>
      <c r="C19" s="14">
        <v>152111025</v>
      </c>
      <c r="D19" s="14" t="s">
        <v>61</v>
      </c>
      <c r="E19" s="15" t="s">
        <v>91</v>
      </c>
      <c r="F19" s="14"/>
      <c r="G19" s="16">
        <v>80.2</v>
      </c>
      <c r="H19" s="17" t="str">
        <f t="shared" si="5"/>
        <v>A</v>
      </c>
      <c r="I19" s="10">
        <f t="shared" si="0"/>
        <v>4</v>
      </c>
      <c r="J19" s="17">
        <v>3</v>
      </c>
      <c r="K19" s="10">
        <f t="shared" si="6"/>
        <v>12</v>
      </c>
      <c r="L19" s="16">
        <v>77.16</v>
      </c>
      <c r="M19" s="17" t="str">
        <f t="shared" si="7"/>
        <v>B+</v>
      </c>
      <c r="N19" s="10">
        <f t="shared" si="1"/>
        <v>3.5</v>
      </c>
      <c r="O19" s="17">
        <v>4</v>
      </c>
      <c r="P19" s="10">
        <f t="shared" si="8"/>
        <v>14</v>
      </c>
      <c r="Q19" s="19">
        <v>74.25</v>
      </c>
      <c r="R19" s="17" t="str">
        <f t="shared" si="9"/>
        <v>B</v>
      </c>
      <c r="S19" s="10">
        <f t="shared" si="10"/>
        <v>3</v>
      </c>
      <c r="T19" s="17">
        <v>4</v>
      </c>
      <c r="U19" s="10">
        <f t="shared" si="11"/>
        <v>12</v>
      </c>
      <c r="V19" s="20">
        <v>83.474999999999994</v>
      </c>
      <c r="W19" s="17" t="str">
        <f t="shared" si="12"/>
        <v>A</v>
      </c>
      <c r="X19" s="10">
        <f t="shared" si="2"/>
        <v>4</v>
      </c>
      <c r="Y19" s="17">
        <v>2</v>
      </c>
      <c r="Z19" s="10">
        <f t="shared" si="13"/>
        <v>8</v>
      </c>
      <c r="AA19" s="21">
        <v>78.052380952380958</v>
      </c>
      <c r="AB19" s="17" t="str">
        <f t="shared" si="14"/>
        <v>B+</v>
      </c>
      <c r="AC19" s="10">
        <f t="shared" si="3"/>
        <v>3.5</v>
      </c>
      <c r="AD19" s="17">
        <v>3</v>
      </c>
      <c r="AE19" s="10">
        <f t="shared" si="15"/>
        <v>10.5</v>
      </c>
      <c r="AF19" s="22">
        <v>77.674999999999997</v>
      </c>
      <c r="AG19" s="17" t="str">
        <f t="shared" si="16"/>
        <v>B+</v>
      </c>
      <c r="AH19" s="10">
        <f t="shared" si="4"/>
        <v>3.5</v>
      </c>
      <c r="AI19" s="17">
        <v>3</v>
      </c>
      <c r="AJ19" s="10">
        <f t="shared" si="17"/>
        <v>10.5</v>
      </c>
      <c r="AK19" s="17">
        <v>82.2</v>
      </c>
      <c r="AL19" s="17" t="str">
        <f t="shared" si="18"/>
        <v>A</v>
      </c>
      <c r="AM19" s="10">
        <f t="shared" si="19"/>
        <v>4</v>
      </c>
      <c r="AN19" s="17">
        <v>4</v>
      </c>
      <c r="AO19" s="10">
        <f t="shared" si="20"/>
        <v>16</v>
      </c>
      <c r="AP19" s="16">
        <v>84.35</v>
      </c>
      <c r="AQ19" s="17" t="str">
        <f t="shared" si="21"/>
        <v>A</v>
      </c>
      <c r="AR19" s="10">
        <f t="shared" si="22"/>
        <v>4</v>
      </c>
      <c r="AS19" s="17">
        <v>2</v>
      </c>
      <c r="AT19" s="10">
        <f t="shared" si="23"/>
        <v>8</v>
      </c>
      <c r="AU19" s="19">
        <v>80</v>
      </c>
      <c r="AV19" s="17" t="str">
        <f t="shared" si="24"/>
        <v>A</v>
      </c>
      <c r="AW19" s="10">
        <f t="shared" si="25"/>
        <v>4</v>
      </c>
      <c r="AX19" s="17">
        <v>3</v>
      </c>
      <c r="AY19" s="10">
        <f t="shared" si="26"/>
        <v>12</v>
      </c>
      <c r="AZ19" s="20">
        <v>82.2</v>
      </c>
      <c r="BA19" s="17" t="str">
        <f t="shared" si="27"/>
        <v>A</v>
      </c>
      <c r="BB19" s="10">
        <f t="shared" si="28"/>
        <v>4</v>
      </c>
      <c r="BC19" s="17">
        <v>2</v>
      </c>
      <c r="BD19" s="10">
        <f t="shared" si="29"/>
        <v>8</v>
      </c>
      <c r="BE19" s="21">
        <v>78.3</v>
      </c>
      <c r="BF19" s="17" t="str">
        <f t="shared" si="30"/>
        <v>B+</v>
      </c>
      <c r="BG19" s="10">
        <f t="shared" si="31"/>
        <v>3.5</v>
      </c>
      <c r="BH19" s="17">
        <v>2</v>
      </c>
      <c r="BI19" s="10">
        <f t="shared" si="32"/>
        <v>7</v>
      </c>
      <c r="BJ19" s="17">
        <v>76</v>
      </c>
      <c r="BK19" s="17" t="str">
        <f t="shared" si="33"/>
        <v>B+</v>
      </c>
      <c r="BL19" s="10">
        <f t="shared" si="34"/>
        <v>3.5</v>
      </c>
      <c r="BM19" s="17">
        <v>4</v>
      </c>
      <c r="BN19" s="10">
        <f t="shared" si="35"/>
        <v>14</v>
      </c>
      <c r="BO19" s="17">
        <v>87</v>
      </c>
      <c r="BP19" s="17" t="str">
        <f t="shared" si="36"/>
        <v>A</v>
      </c>
      <c r="BQ19" s="10">
        <f t="shared" si="37"/>
        <v>4</v>
      </c>
      <c r="BR19" s="17">
        <v>4</v>
      </c>
      <c r="BS19" s="10">
        <f t="shared" si="38"/>
        <v>16</v>
      </c>
      <c r="BT19" s="12">
        <v>73</v>
      </c>
      <c r="BU19" s="12">
        <v>22</v>
      </c>
      <c r="BV19" s="12">
        <v>69</v>
      </c>
      <c r="BW19" s="12">
        <v>19</v>
      </c>
      <c r="BX19" s="12">
        <v>78.5</v>
      </c>
      <c r="BY19" s="12">
        <v>21</v>
      </c>
      <c r="BZ19" s="12">
        <v>80</v>
      </c>
      <c r="CA19" s="12">
        <v>21</v>
      </c>
      <c r="CB19" s="12">
        <v>76.5</v>
      </c>
      <c r="CC19" s="12">
        <v>21</v>
      </c>
      <c r="CD19" s="12">
        <v>67</v>
      </c>
      <c r="CE19" s="12">
        <v>19</v>
      </c>
      <c r="CF19" s="12">
        <v>65</v>
      </c>
      <c r="CG19" s="12">
        <v>17</v>
      </c>
      <c r="CH19" s="12">
        <v>16</v>
      </c>
      <c r="CI19" s="12">
        <v>4</v>
      </c>
      <c r="CJ19" s="12">
        <f>BT19+BV19+BX19+BZ19+CB19+CD19+CF19+CH19</f>
        <v>525</v>
      </c>
      <c r="CK19" s="12">
        <f>BU19+BW19+BY19+CA19+CC19+CE19+CG19+CI19</f>
        <v>144</v>
      </c>
      <c r="CL19" s="23">
        <f t="shared" si="39"/>
        <v>3.6458333333333335</v>
      </c>
      <c r="CM19" s="12" t="str">
        <f t="shared" si="40"/>
        <v>Cum Laude</v>
      </c>
      <c r="CN19" s="38" t="str">
        <f t="shared" si="41"/>
        <v>Excellent</v>
      </c>
      <c r="CO19" s="24"/>
    </row>
    <row r="20" spans="1:93" x14ac:dyDescent="0.25">
      <c r="A20" s="12">
        <v>18</v>
      </c>
      <c r="B20" s="25" t="s">
        <v>92</v>
      </c>
      <c r="C20" s="14">
        <v>152111027</v>
      </c>
      <c r="D20" s="12" t="s">
        <v>93</v>
      </c>
      <c r="E20" s="28" t="s">
        <v>77</v>
      </c>
      <c r="F20" s="14"/>
      <c r="G20" s="16">
        <v>80.400000000000006</v>
      </c>
      <c r="H20" s="17" t="str">
        <f t="shared" si="5"/>
        <v>A</v>
      </c>
      <c r="I20" s="10">
        <f t="shared" si="0"/>
        <v>4</v>
      </c>
      <c r="J20" s="17">
        <v>3</v>
      </c>
      <c r="K20" s="10">
        <f t="shared" si="6"/>
        <v>12</v>
      </c>
      <c r="L20" s="16">
        <v>74.52</v>
      </c>
      <c r="M20" s="17" t="str">
        <f t="shared" si="7"/>
        <v>B</v>
      </c>
      <c r="N20" s="10">
        <f t="shared" si="1"/>
        <v>3</v>
      </c>
      <c r="O20" s="17">
        <v>4</v>
      </c>
      <c r="P20" s="10">
        <f t="shared" si="8"/>
        <v>12</v>
      </c>
      <c r="Q20" s="19">
        <v>75.5</v>
      </c>
      <c r="R20" s="17" t="str">
        <f t="shared" si="9"/>
        <v>B+</v>
      </c>
      <c r="S20" s="10">
        <f t="shared" si="10"/>
        <v>3.5</v>
      </c>
      <c r="T20" s="17">
        <v>4</v>
      </c>
      <c r="U20" s="10">
        <f t="shared" si="11"/>
        <v>14</v>
      </c>
      <c r="V20" s="20">
        <v>76.150000000000006</v>
      </c>
      <c r="W20" s="17" t="str">
        <f t="shared" si="12"/>
        <v>B+</v>
      </c>
      <c r="X20" s="10">
        <f t="shared" si="2"/>
        <v>3.5</v>
      </c>
      <c r="Y20" s="17">
        <v>2</v>
      </c>
      <c r="Z20" s="10">
        <f t="shared" si="13"/>
        <v>7</v>
      </c>
      <c r="AA20" s="21">
        <v>75.433333333333337</v>
      </c>
      <c r="AB20" s="17" t="str">
        <f t="shared" si="14"/>
        <v>B+</v>
      </c>
      <c r="AC20" s="10">
        <f t="shared" si="3"/>
        <v>3.5</v>
      </c>
      <c r="AD20" s="17">
        <v>3</v>
      </c>
      <c r="AE20" s="10">
        <f t="shared" si="15"/>
        <v>10.5</v>
      </c>
      <c r="AF20" s="22">
        <v>74.775000000000006</v>
      </c>
      <c r="AG20" s="17" t="str">
        <f t="shared" si="16"/>
        <v>B</v>
      </c>
      <c r="AH20" s="10">
        <f t="shared" si="4"/>
        <v>3</v>
      </c>
      <c r="AI20" s="17">
        <v>3</v>
      </c>
      <c r="AJ20" s="10">
        <f t="shared" si="17"/>
        <v>9</v>
      </c>
      <c r="AK20" s="17">
        <v>77</v>
      </c>
      <c r="AL20" s="17" t="str">
        <f t="shared" si="18"/>
        <v>B+</v>
      </c>
      <c r="AM20" s="10">
        <f t="shared" si="19"/>
        <v>3.5</v>
      </c>
      <c r="AN20" s="17">
        <v>4</v>
      </c>
      <c r="AO20" s="10">
        <f t="shared" si="20"/>
        <v>14</v>
      </c>
      <c r="AP20" s="16">
        <v>76.75</v>
      </c>
      <c r="AQ20" s="17" t="str">
        <f t="shared" si="21"/>
        <v>B+</v>
      </c>
      <c r="AR20" s="10">
        <f t="shared" si="22"/>
        <v>3.5</v>
      </c>
      <c r="AS20" s="17">
        <v>2</v>
      </c>
      <c r="AT20" s="10">
        <f t="shared" si="23"/>
        <v>7</v>
      </c>
      <c r="AU20" s="19">
        <v>77.95</v>
      </c>
      <c r="AV20" s="17" t="str">
        <f t="shared" si="24"/>
        <v>B+</v>
      </c>
      <c r="AW20" s="10">
        <f t="shared" si="25"/>
        <v>3.5</v>
      </c>
      <c r="AX20" s="17">
        <v>3</v>
      </c>
      <c r="AY20" s="10">
        <f t="shared" si="26"/>
        <v>10.5</v>
      </c>
      <c r="AZ20" s="20">
        <v>77</v>
      </c>
      <c r="BA20" s="17" t="str">
        <f t="shared" si="27"/>
        <v>B+</v>
      </c>
      <c r="BB20" s="10">
        <f t="shared" si="28"/>
        <v>3.5</v>
      </c>
      <c r="BC20" s="17">
        <v>2</v>
      </c>
      <c r="BD20" s="10">
        <f t="shared" si="29"/>
        <v>7</v>
      </c>
      <c r="BE20" s="21">
        <v>75.28</v>
      </c>
      <c r="BF20" s="17" t="str">
        <f t="shared" si="30"/>
        <v>B+</v>
      </c>
      <c r="BG20" s="10">
        <f t="shared" si="31"/>
        <v>3.5</v>
      </c>
      <c r="BH20" s="17">
        <v>2</v>
      </c>
      <c r="BI20" s="10">
        <f t="shared" si="32"/>
        <v>7</v>
      </c>
      <c r="BJ20" s="17">
        <v>79</v>
      </c>
      <c r="BK20" s="17" t="str">
        <f t="shared" si="33"/>
        <v>B+</v>
      </c>
      <c r="BL20" s="10">
        <f t="shared" si="34"/>
        <v>3.5</v>
      </c>
      <c r="BM20" s="17">
        <v>4</v>
      </c>
      <c r="BN20" s="10">
        <f t="shared" si="35"/>
        <v>14</v>
      </c>
      <c r="BO20" s="17">
        <v>80.5</v>
      </c>
      <c r="BP20" s="17" t="str">
        <f t="shared" si="36"/>
        <v>A</v>
      </c>
      <c r="BQ20" s="10">
        <f t="shared" si="37"/>
        <v>4</v>
      </c>
      <c r="BR20" s="17">
        <v>4</v>
      </c>
      <c r="BS20" s="10">
        <f t="shared" si="38"/>
        <v>16</v>
      </c>
      <c r="BT20" s="12">
        <v>76.5</v>
      </c>
      <c r="BU20" s="12">
        <v>22</v>
      </c>
      <c r="BV20" s="12">
        <v>65.5</v>
      </c>
      <c r="BW20" s="12">
        <v>19</v>
      </c>
      <c r="BX20" s="12">
        <v>84</v>
      </c>
      <c r="BY20" s="12">
        <v>21</v>
      </c>
      <c r="BZ20" s="12">
        <v>74.5</v>
      </c>
      <c r="CA20" s="12">
        <v>21</v>
      </c>
      <c r="CB20" s="12">
        <v>75.5</v>
      </c>
      <c r="CC20" s="12">
        <v>21</v>
      </c>
      <c r="CD20" s="12">
        <v>64.5</v>
      </c>
      <c r="CE20" s="12">
        <v>19</v>
      </c>
      <c r="CF20" s="12">
        <v>59.5</v>
      </c>
      <c r="CG20" s="12">
        <v>17</v>
      </c>
      <c r="CH20" s="12">
        <v>16</v>
      </c>
      <c r="CI20" s="12">
        <v>4</v>
      </c>
      <c r="CJ20" s="12">
        <f>BT20+BV20+BX20+BZ20+CB20+CD20+CF20+CH20</f>
        <v>516</v>
      </c>
      <c r="CK20" s="12">
        <f>BU20+BW20+BY20+CA20+CC20+CE20+CG20+CI20</f>
        <v>144</v>
      </c>
      <c r="CL20" s="23">
        <f t="shared" si="39"/>
        <v>3.5833333333333335</v>
      </c>
      <c r="CM20" s="12" t="str">
        <f t="shared" si="40"/>
        <v>Cum Laude</v>
      </c>
      <c r="CN20" s="38" t="str">
        <f t="shared" si="41"/>
        <v>Excellent</v>
      </c>
      <c r="CO20" s="24"/>
    </row>
    <row r="21" spans="1:93" x14ac:dyDescent="0.25">
      <c r="A21" s="12">
        <v>19</v>
      </c>
      <c r="B21" s="24" t="s">
        <v>94</v>
      </c>
      <c r="C21" s="12">
        <v>152111029</v>
      </c>
      <c r="D21" s="14" t="s">
        <v>61</v>
      </c>
      <c r="E21" s="15" t="s">
        <v>95</v>
      </c>
      <c r="F21" s="12"/>
      <c r="G21" s="16">
        <v>76.599999999999994</v>
      </c>
      <c r="H21" s="17" t="str">
        <f t="shared" si="5"/>
        <v>B+</v>
      </c>
      <c r="I21" s="10">
        <f t="shared" si="0"/>
        <v>3.5</v>
      </c>
      <c r="J21" s="17">
        <v>3</v>
      </c>
      <c r="K21" s="10">
        <f t="shared" si="6"/>
        <v>10.5</v>
      </c>
      <c r="L21" s="16">
        <v>77.28</v>
      </c>
      <c r="M21" s="17" t="str">
        <f t="shared" si="7"/>
        <v>B+</v>
      </c>
      <c r="N21" s="10">
        <f t="shared" si="1"/>
        <v>3.5</v>
      </c>
      <c r="O21" s="17">
        <v>4</v>
      </c>
      <c r="P21" s="10">
        <f t="shared" si="8"/>
        <v>14</v>
      </c>
      <c r="Q21" s="19">
        <v>75.5</v>
      </c>
      <c r="R21" s="17" t="str">
        <f t="shared" si="9"/>
        <v>B+</v>
      </c>
      <c r="S21" s="10">
        <f t="shared" si="10"/>
        <v>3.5</v>
      </c>
      <c r="T21" s="17">
        <v>4</v>
      </c>
      <c r="U21" s="10">
        <f t="shared" si="11"/>
        <v>14</v>
      </c>
      <c r="V21" s="20">
        <v>80.25</v>
      </c>
      <c r="W21" s="17" t="str">
        <f t="shared" si="12"/>
        <v>A</v>
      </c>
      <c r="X21" s="10">
        <f t="shared" si="2"/>
        <v>4</v>
      </c>
      <c r="Y21" s="17">
        <v>2</v>
      </c>
      <c r="Z21" s="10">
        <f t="shared" si="13"/>
        <v>8</v>
      </c>
      <c r="AA21" s="21">
        <v>77.033333333333331</v>
      </c>
      <c r="AB21" s="17" t="str">
        <f t="shared" si="14"/>
        <v>B+</v>
      </c>
      <c r="AC21" s="10">
        <f t="shared" si="3"/>
        <v>3.5</v>
      </c>
      <c r="AD21" s="17">
        <v>3</v>
      </c>
      <c r="AE21" s="10">
        <f t="shared" si="15"/>
        <v>10.5</v>
      </c>
      <c r="AF21" s="22">
        <v>80.075000000000003</v>
      </c>
      <c r="AG21" s="17" t="str">
        <f t="shared" si="16"/>
        <v>A</v>
      </c>
      <c r="AH21" s="10">
        <f t="shared" si="4"/>
        <v>4</v>
      </c>
      <c r="AI21" s="17">
        <v>3</v>
      </c>
      <c r="AJ21" s="10">
        <f t="shared" si="17"/>
        <v>12</v>
      </c>
      <c r="AK21" s="17">
        <v>84</v>
      </c>
      <c r="AL21" s="17" t="str">
        <f t="shared" si="18"/>
        <v>A</v>
      </c>
      <c r="AM21" s="10">
        <f t="shared" si="19"/>
        <v>4</v>
      </c>
      <c r="AN21" s="17">
        <v>4</v>
      </c>
      <c r="AO21" s="10">
        <f t="shared" si="20"/>
        <v>16</v>
      </c>
      <c r="AP21" s="16">
        <v>81.75</v>
      </c>
      <c r="AQ21" s="17" t="str">
        <f t="shared" si="21"/>
        <v>A</v>
      </c>
      <c r="AR21" s="10">
        <f t="shared" si="22"/>
        <v>4</v>
      </c>
      <c r="AS21" s="17">
        <v>2</v>
      </c>
      <c r="AT21" s="10">
        <f t="shared" si="23"/>
        <v>8</v>
      </c>
      <c r="AU21" s="19">
        <v>80.08</v>
      </c>
      <c r="AV21" s="17" t="str">
        <f t="shared" si="24"/>
        <v>A</v>
      </c>
      <c r="AW21" s="10">
        <f t="shared" si="25"/>
        <v>4</v>
      </c>
      <c r="AX21" s="17">
        <v>3</v>
      </c>
      <c r="AY21" s="10">
        <f t="shared" si="26"/>
        <v>12</v>
      </c>
      <c r="AZ21" s="20">
        <v>84</v>
      </c>
      <c r="BA21" s="17" t="str">
        <f t="shared" si="27"/>
        <v>A</v>
      </c>
      <c r="BB21" s="10">
        <f t="shared" si="28"/>
        <v>4</v>
      </c>
      <c r="BC21" s="17">
        <v>2</v>
      </c>
      <c r="BD21" s="10">
        <f t="shared" si="29"/>
        <v>8</v>
      </c>
      <c r="BE21" s="21">
        <v>75.45</v>
      </c>
      <c r="BF21" s="17" t="str">
        <f t="shared" si="30"/>
        <v>B+</v>
      </c>
      <c r="BG21" s="10">
        <f t="shared" si="31"/>
        <v>3.5</v>
      </c>
      <c r="BH21" s="17">
        <v>2</v>
      </c>
      <c r="BI21" s="10">
        <f t="shared" si="32"/>
        <v>7</v>
      </c>
      <c r="BJ21" s="17">
        <v>76.599999999999994</v>
      </c>
      <c r="BK21" s="17" t="str">
        <f t="shared" si="33"/>
        <v>B+</v>
      </c>
      <c r="BL21" s="10">
        <f t="shared" si="34"/>
        <v>3.5</v>
      </c>
      <c r="BM21" s="17">
        <v>4</v>
      </c>
      <c r="BN21" s="10">
        <f t="shared" si="35"/>
        <v>14</v>
      </c>
      <c r="BO21" s="17">
        <v>80.5</v>
      </c>
      <c r="BP21" s="17" t="str">
        <f t="shared" si="36"/>
        <v>A</v>
      </c>
      <c r="BQ21" s="10">
        <f t="shared" si="37"/>
        <v>4</v>
      </c>
      <c r="BR21" s="17">
        <v>4</v>
      </c>
      <c r="BS21" s="10">
        <f t="shared" si="38"/>
        <v>16</v>
      </c>
      <c r="BT21" s="12">
        <v>82.5</v>
      </c>
      <c r="BU21" s="12">
        <v>22</v>
      </c>
      <c r="BV21" s="12">
        <v>70</v>
      </c>
      <c r="BW21" s="12">
        <v>19</v>
      </c>
      <c r="BX21" s="12">
        <v>77.5</v>
      </c>
      <c r="BY21" s="12">
        <v>21</v>
      </c>
      <c r="BZ21" s="12">
        <v>82.5</v>
      </c>
      <c r="CA21" s="12">
        <v>21</v>
      </c>
      <c r="CB21" s="12">
        <v>77.5</v>
      </c>
      <c r="CC21" s="12">
        <v>21</v>
      </c>
      <c r="CD21" s="12">
        <v>69</v>
      </c>
      <c r="CE21" s="12">
        <v>19</v>
      </c>
      <c r="CF21" s="12">
        <v>65</v>
      </c>
      <c r="CG21" s="12">
        <v>17</v>
      </c>
      <c r="CH21" s="12">
        <v>16</v>
      </c>
      <c r="CI21" s="12">
        <v>4</v>
      </c>
      <c r="CJ21" s="12">
        <f>BT21+BV21+BX21+BZ21+CB21+CD21+CF21+CH21</f>
        <v>540</v>
      </c>
      <c r="CK21" s="12">
        <f>BU21+BW21+BY21+CA21+CC21+CE21+CG21+CI21</f>
        <v>144</v>
      </c>
      <c r="CL21" s="23">
        <f t="shared" si="39"/>
        <v>3.75</v>
      </c>
      <c r="CM21" s="12" t="str">
        <f t="shared" si="40"/>
        <v>Cum Laude</v>
      </c>
      <c r="CN21" s="38" t="str">
        <f t="shared" si="41"/>
        <v>Excellent</v>
      </c>
      <c r="CO21" s="24"/>
    </row>
    <row r="22" spans="1:93" x14ac:dyDescent="0.25">
      <c r="A22" s="12">
        <v>20</v>
      </c>
      <c r="B22" s="24" t="s">
        <v>96</v>
      </c>
      <c r="C22" s="12">
        <v>152111030</v>
      </c>
      <c r="D22" s="17"/>
      <c r="E22" s="28"/>
      <c r="F22" s="12"/>
      <c r="G22" s="16">
        <v>76.599999999999994</v>
      </c>
      <c r="H22" s="17" t="str">
        <f t="shared" si="5"/>
        <v>B+</v>
      </c>
      <c r="I22" s="10">
        <f t="shared" si="0"/>
        <v>3.5</v>
      </c>
      <c r="J22" s="17">
        <v>3</v>
      </c>
      <c r="K22" s="10">
        <f t="shared" si="6"/>
        <v>10.5</v>
      </c>
      <c r="L22" s="16">
        <v>76.599999999999994</v>
      </c>
      <c r="M22" s="17" t="str">
        <f t="shared" si="7"/>
        <v>B+</v>
      </c>
      <c r="N22" s="10">
        <f t="shared" si="1"/>
        <v>3.5</v>
      </c>
      <c r="O22" s="17">
        <v>4</v>
      </c>
      <c r="P22" s="10">
        <f t="shared" si="8"/>
        <v>14</v>
      </c>
      <c r="Q22" s="19">
        <v>74.25</v>
      </c>
      <c r="R22" s="17" t="str">
        <f t="shared" si="9"/>
        <v>B</v>
      </c>
      <c r="S22" s="10">
        <f t="shared" si="10"/>
        <v>3</v>
      </c>
      <c r="T22" s="17">
        <v>4</v>
      </c>
      <c r="U22" s="10">
        <f t="shared" si="11"/>
        <v>12</v>
      </c>
      <c r="V22" s="20">
        <v>70.599999999999994</v>
      </c>
      <c r="W22" s="17" t="str">
        <f t="shared" si="12"/>
        <v>B</v>
      </c>
      <c r="X22" s="10">
        <f t="shared" si="2"/>
        <v>3</v>
      </c>
      <c r="Y22" s="17">
        <v>2</v>
      </c>
      <c r="Z22" s="10">
        <f t="shared" si="13"/>
        <v>6</v>
      </c>
      <c r="AA22" s="21">
        <v>73.866666666666674</v>
      </c>
      <c r="AB22" s="17" t="str">
        <f t="shared" si="14"/>
        <v>B</v>
      </c>
      <c r="AC22" s="10">
        <f t="shared" si="3"/>
        <v>3</v>
      </c>
      <c r="AD22" s="17">
        <v>3</v>
      </c>
      <c r="AE22" s="10">
        <f t="shared" si="15"/>
        <v>9</v>
      </c>
      <c r="AF22" s="22">
        <v>69.174999999999997</v>
      </c>
      <c r="AG22" s="17" t="str">
        <f t="shared" si="16"/>
        <v>C+</v>
      </c>
      <c r="AH22" s="10">
        <f t="shared" si="4"/>
        <v>2.5</v>
      </c>
      <c r="AI22" s="17">
        <v>3</v>
      </c>
      <c r="AJ22" s="10">
        <f t="shared" si="17"/>
        <v>7.5</v>
      </c>
      <c r="AK22" s="17">
        <v>80.400000000000006</v>
      </c>
      <c r="AL22" s="17" t="str">
        <f t="shared" si="18"/>
        <v>A</v>
      </c>
      <c r="AM22" s="10">
        <f t="shared" si="19"/>
        <v>4</v>
      </c>
      <c r="AN22" s="17">
        <v>4</v>
      </c>
      <c r="AO22" s="10">
        <f t="shared" si="20"/>
        <v>16</v>
      </c>
      <c r="AP22" s="16">
        <v>76.75</v>
      </c>
      <c r="AQ22" s="17" t="str">
        <f t="shared" si="21"/>
        <v>B+</v>
      </c>
      <c r="AR22" s="10">
        <f t="shared" si="22"/>
        <v>3.5</v>
      </c>
      <c r="AS22" s="17">
        <v>2</v>
      </c>
      <c r="AT22" s="10">
        <f t="shared" si="23"/>
        <v>7</v>
      </c>
      <c r="AU22" s="19">
        <v>76.849999999999994</v>
      </c>
      <c r="AV22" s="17" t="str">
        <f t="shared" si="24"/>
        <v>B+</v>
      </c>
      <c r="AW22" s="10">
        <f t="shared" si="25"/>
        <v>3.5</v>
      </c>
      <c r="AX22" s="17">
        <v>3</v>
      </c>
      <c r="AY22" s="10">
        <f t="shared" si="26"/>
        <v>10.5</v>
      </c>
      <c r="AZ22" s="20">
        <v>80.400000000000006</v>
      </c>
      <c r="BA22" s="17" t="str">
        <f t="shared" si="27"/>
        <v>A</v>
      </c>
      <c r="BB22" s="10">
        <f t="shared" si="28"/>
        <v>4</v>
      </c>
      <c r="BC22" s="17">
        <v>2</v>
      </c>
      <c r="BD22" s="10">
        <f t="shared" si="29"/>
        <v>8</v>
      </c>
      <c r="BE22" s="21">
        <v>75.13</v>
      </c>
      <c r="BF22" s="17" t="str">
        <f t="shared" si="30"/>
        <v>B+</v>
      </c>
      <c r="BG22" s="10">
        <f t="shared" si="31"/>
        <v>3.5</v>
      </c>
      <c r="BH22" s="17">
        <v>2</v>
      </c>
      <c r="BI22" s="10">
        <f t="shared" si="32"/>
        <v>7</v>
      </c>
      <c r="BJ22" s="17">
        <v>74.900000000000006</v>
      </c>
      <c r="BK22" s="17" t="str">
        <f t="shared" si="33"/>
        <v>B</v>
      </c>
      <c r="BL22" s="10">
        <f t="shared" si="34"/>
        <v>3</v>
      </c>
      <c r="BM22" s="17">
        <v>4</v>
      </c>
      <c r="BN22" s="10">
        <f t="shared" si="35"/>
        <v>12</v>
      </c>
      <c r="BO22" s="17">
        <v>82.9</v>
      </c>
      <c r="BP22" s="17" t="str">
        <f t="shared" si="36"/>
        <v>A</v>
      </c>
      <c r="BQ22" s="10">
        <f t="shared" si="37"/>
        <v>4</v>
      </c>
      <c r="BR22" s="17">
        <v>4</v>
      </c>
      <c r="BS22" s="10">
        <f t="shared" si="38"/>
        <v>16</v>
      </c>
      <c r="BT22" s="12">
        <v>73</v>
      </c>
      <c r="BU22" s="12">
        <v>22</v>
      </c>
      <c r="BV22" s="12">
        <v>64.5</v>
      </c>
      <c r="BW22" s="12">
        <v>19</v>
      </c>
      <c r="BX22" s="12">
        <v>73.5</v>
      </c>
      <c r="BY22" s="12">
        <v>21</v>
      </c>
      <c r="BZ22" s="12">
        <v>72</v>
      </c>
      <c r="CA22" s="12">
        <v>21</v>
      </c>
      <c r="CB22" s="12">
        <v>68.5</v>
      </c>
      <c r="CC22" s="12">
        <v>21</v>
      </c>
      <c r="CD22" s="12">
        <v>59</v>
      </c>
      <c r="CE22" s="12">
        <v>19</v>
      </c>
      <c r="CF22" s="12">
        <v>60.5</v>
      </c>
      <c r="CG22" s="12">
        <v>17</v>
      </c>
      <c r="CH22" s="12">
        <v>16</v>
      </c>
      <c r="CI22" s="12">
        <v>4</v>
      </c>
      <c r="CJ22" s="12">
        <f>BT22+BV22+BX22+BZ22+CB22+CD22+CF22+CH22</f>
        <v>487</v>
      </c>
      <c r="CK22" s="12">
        <f>BU22+BW22+BY22+CA22+CC22+CE22+CG22+CI22</f>
        <v>144</v>
      </c>
      <c r="CL22" s="23">
        <f t="shared" si="39"/>
        <v>3.3819444444444446</v>
      </c>
      <c r="CM22" s="12" t="str">
        <f t="shared" si="40"/>
        <v>Sangat Memuaskan</v>
      </c>
      <c r="CN22" s="38" t="str">
        <f t="shared" si="41"/>
        <v>Highly Satisfactory</v>
      </c>
      <c r="CO22" s="24"/>
    </row>
    <row r="23" spans="1:93" x14ac:dyDescent="0.25">
      <c r="A23" s="12">
        <v>21</v>
      </c>
      <c r="B23" s="24" t="s">
        <v>97</v>
      </c>
      <c r="C23" s="12">
        <v>152111031</v>
      </c>
      <c r="D23" s="17" t="s">
        <v>61</v>
      </c>
      <c r="E23" s="28" t="s">
        <v>98</v>
      </c>
      <c r="F23" s="12"/>
      <c r="G23" s="16">
        <v>72</v>
      </c>
      <c r="H23" s="17" t="str">
        <f t="shared" si="5"/>
        <v>B</v>
      </c>
      <c r="I23" s="10">
        <f t="shared" si="0"/>
        <v>3</v>
      </c>
      <c r="J23" s="17">
        <v>3</v>
      </c>
      <c r="K23" s="10">
        <f t="shared" si="6"/>
        <v>9</v>
      </c>
      <c r="L23" s="16">
        <v>73.14</v>
      </c>
      <c r="M23" s="17" t="str">
        <f t="shared" si="7"/>
        <v>B</v>
      </c>
      <c r="N23" s="10">
        <f t="shared" si="1"/>
        <v>3</v>
      </c>
      <c r="O23" s="17">
        <v>4</v>
      </c>
      <c r="P23" s="10">
        <f t="shared" si="8"/>
        <v>12</v>
      </c>
      <c r="Q23" s="19">
        <v>74.25</v>
      </c>
      <c r="R23" s="17" t="str">
        <f t="shared" si="9"/>
        <v>B</v>
      </c>
      <c r="S23" s="10">
        <f t="shared" si="10"/>
        <v>3</v>
      </c>
      <c r="T23" s="17">
        <v>4</v>
      </c>
      <c r="U23" s="10">
        <f t="shared" si="11"/>
        <v>12</v>
      </c>
      <c r="V23" s="20">
        <v>73.400000000000006</v>
      </c>
      <c r="W23" s="17" t="str">
        <f t="shared" si="12"/>
        <v>B</v>
      </c>
      <c r="X23" s="10">
        <f t="shared" si="2"/>
        <v>3</v>
      </c>
      <c r="Y23" s="17">
        <v>2</v>
      </c>
      <c r="Z23" s="10">
        <f t="shared" si="13"/>
        <v>6</v>
      </c>
      <c r="AA23" s="21">
        <v>70.071428571428569</v>
      </c>
      <c r="AB23" s="17" t="str">
        <f t="shared" si="14"/>
        <v>B</v>
      </c>
      <c r="AC23" s="10">
        <f t="shared" si="3"/>
        <v>3</v>
      </c>
      <c r="AD23" s="17">
        <v>3</v>
      </c>
      <c r="AE23" s="10">
        <f t="shared" si="15"/>
        <v>9</v>
      </c>
      <c r="AF23" s="22">
        <v>70.174999999999997</v>
      </c>
      <c r="AG23" s="17" t="str">
        <f t="shared" si="16"/>
        <v>B</v>
      </c>
      <c r="AH23" s="10">
        <f t="shared" si="4"/>
        <v>3</v>
      </c>
      <c r="AI23" s="17">
        <v>3</v>
      </c>
      <c r="AJ23" s="10">
        <f t="shared" si="17"/>
        <v>9</v>
      </c>
      <c r="AK23" s="17">
        <v>77.599999999999994</v>
      </c>
      <c r="AL23" s="17" t="str">
        <f t="shared" si="18"/>
        <v>B+</v>
      </c>
      <c r="AM23" s="10">
        <f t="shared" si="19"/>
        <v>3.5</v>
      </c>
      <c r="AN23" s="17">
        <v>4</v>
      </c>
      <c r="AO23" s="10">
        <f t="shared" si="20"/>
        <v>14</v>
      </c>
      <c r="AP23" s="16">
        <v>78.95</v>
      </c>
      <c r="AQ23" s="17" t="str">
        <f t="shared" si="21"/>
        <v>B+</v>
      </c>
      <c r="AR23" s="10">
        <f t="shared" si="22"/>
        <v>3.5</v>
      </c>
      <c r="AS23" s="17">
        <v>2</v>
      </c>
      <c r="AT23" s="10">
        <f t="shared" si="23"/>
        <v>7</v>
      </c>
      <c r="AU23" s="19">
        <v>74.599999999999994</v>
      </c>
      <c r="AV23" s="17" t="str">
        <f t="shared" si="24"/>
        <v>B</v>
      </c>
      <c r="AW23" s="10">
        <f t="shared" si="25"/>
        <v>3</v>
      </c>
      <c r="AX23" s="17">
        <v>3</v>
      </c>
      <c r="AY23" s="10">
        <f t="shared" si="26"/>
        <v>9</v>
      </c>
      <c r="AZ23" s="20">
        <v>77.599999999999994</v>
      </c>
      <c r="BA23" s="17" t="str">
        <f t="shared" si="27"/>
        <v>B+</v>
      </c>
      <c r="BB23" s="10">
        <f t="shared" si="28"/>
        <v>3.5</v>
      </c>
      <c r="BC23" s="17">
        <v>2</v>
      </c>
      <c r="BD23" s="10">
        <f t="shared" si="29"/>
        <v>7</v>
      </c>
      <c r="BE23" s="21">
        <v>57.63</v>
      </c>
      <c r="BF23" s="17" t="str">
        <f t="shared" si="30"/>
        <v>D</v>
      </c>
      <c r="BG23" s="10">
        <f t="shared" si="31"/>
        <v>1</v>
      </c>
      <c r="BH23" s="17">
        <v>2</v>
      </c>
      <c r="BI23" s="10">
        <f t="shared" si="32"/>
        <v>2</v>
      </c>
      <c r="BJ23" s="17">
        <v>74</v>
      </c>
      <c r="BK23" s="17" t="str">
        <f t="shared" si="33"/>
        <v>B</v>
      </c>
      <c r="BL23" s="10">
        <f t="shared" si="34"/>
        <v>3</v>
      </c>
      <c r="BM23" s="17">
        <v>4</v>
      </c>
      <c r="BN23" s="10">
        <f t="shared" si="35"/>
        <v>12</v>
      </c>
      <c r="BO23" s="17">
        <v>80</v>
      </c>
      <c r="BP23" s="17" t="str">
        <f t="shared" si="36"/>
        <v>A</v>
      </c>
      <c r="BQ23" s="10">
        <f t="shared" si="37"/>
        <v>4</v>
      </c>
      <c r="BR23" s="17">
        <v>4</v>
      </c>
      <c r="BS23" s="10">
        <f t="shared" si="38"/>
        <v>16</v>
      </c>
      <c r="BT23" s="12">
        <v>72</v>
      </c>
      <c r="BU23" s="12">
        <v>22</v>
      </c>
      <c r="BV23" s="12">
        <v>62.5</v>
      </c>
      <c r="BW23" s="12">
        <v>19</v>
      </c>
      <c r="BX23" s="12">
        <v>75.5</v>
      </c>
      <c r="BY23" s="12">
        <v>21</v>
      </c>
      <c r="BZ23" s="12">
        <v>68.5</v>
      </c>
      <c r="CA23" s="12">
        <v>21</v>
      </c>
      <c r="CB23" s="12">
        <v>67.5</v>
      </c>
      <c r="CC23" s="12">
        <v>21</v>
      </c>
      <c r="CD23" s="12">
        <v>57</v>
      </c>
      <c r="CE23" s="12">
        <v>19</v>
      </c>
      <c r="CF23" s="12">
        <v>51</v>
      </c>
      <c r="CG23" s="12">
        <v>17</v>
      </c>
      <c r="CH23" s="12">
        <v>16</v>
      </c>
      <c r="CI23" s="12">
        <v>4</v>
      </c>
      <c r="CJ23" s="12">
        <f>BT23+BV23+BX23+BZ23+CB23+CD23+CF23+CH23</f>
        <v>470</v>
      </c>
      <c r="CK23" s="12">
        <f>BU23+BW23+BY23+CA23+CC23+CE23+CG23+CI23</f>
        <v>144</v>
      </c>
      <c r="CL23" s="23">
        <f t="shared" si="39"/>
        <v>3.2638888888888888</v>
      </c>
      <c r="CM23" s="12" t="str">
        <f t="shared" si="40"/>
        <v>Sangat Memuaskan</v>
      </c>
      <c r="CN23" s="38" t="str">
        <f t="shared" si="41"/>
        <v>Highly Satisfactory</v>
      </c>
      <c r="CO23" s="24"/>
    </row>
    <row r="24" spans="1:93" x14ac:dyDescent="0.25">
      <c r="A24" s="12">
        <v>22</v>
      </c>
      <c r="B24" s="25" t="s">
        <v>99</v>
      </c>
      <c r="C24" s="12">
        <v>152111032</v>
      </c>
      <c r="D24" s="17" t="s">
        <v>100</v>
      </c>
      <c r="E24" s="28" t="s">
        <v>101</v>
      </c>
      <c r="F24" s="12"/>
      <c r="G24" s="16">
        <v>76.2</v>
      </c>
      <c r="H24" s="17" t="str">
        <f t="shared" si="5"/>
        <v>B+</v>
      </c>
      <c r="I24" s="10">
        <f t="shared" si="0"/>
        <v>3.5</v>
      </c>
      <c r="J24" s="17">
        <v>3</v>
      </c>
      <c r="K24" s="10">
        <f t="shared" si="6"/>
        <v>10.5</v>
      </c>
      <c r="L24" s="16">
        <v>75.320000000000007</v>
      </c>
      <c r="M24" s="17" t="str">
        <f t="shared" si="7"/>
        <v>B+</v>
      </c>
      <c r="N24" s="10">
        <f t="shared" si="1"/>
        <v>3.5</v>
      </c>
      <c r="O24" s="17">
        <v>4</v>
      </c>
      <c r="P24" s="10">
        <f t="shared" si="8"/>
        <v>14</v>
      </c>
      <c r="Q24" s="19">
        <v>74.25</v>
      </c>
      <c r="R24" s="17" t="str">
        <f t="shared" si="9"/>
        <v>B</v>
      </c>
      <c r="S24" s="10">
        <f t="shared" si="10"/>
        <v>3</v>
      </c>
      <c r="T24" s="17">
        <v>4</v>
      </c>
      <c r="U24" s="10">
        <f t="shared" si="11"/>
        <v>12</v>
      </c>
      <c r="V24" s="20">
        <v>71.900000000000006</v>
      </c>
      <c r="W24" s="17" t="str">
        <f t="shared" si="12"/>
        <v>B</v>
      </c>
      <c r="X24" s="10">
        <f t="shared" si="2"/>
        <v>3</v>
      </c>
      <c r="Y24" s="17">
        <v>2</v>
      </c>
      <c r="Z24" s="10">
        <f t="shared" si="13"/>
        <v>6</v>
      </c>
      <c r="AA24" s="21">
        <v>74.7</v>
      </c>
      <c r="AB24" s="17" t="str">
        <f t="shared" si="14"/>
        <v>B</v>
      </c>
      <c r="AC24" s="10">
        <f t="shared" si="3"/>
        <v>3</v>
      </c>
      <c r="AD24" s="17">
        <v>3</v>
      </c>
      <c r="AE24" s="10">
        <f t="shared" si="15"/>
        <v>9</v>
      </c>
      <c r="AF24" s="22">
        <v>80.625</v>
      </c>
      <c r="AG24" s="17" t="str">
        <f t="shared" si="16"/>
        <v>A</v>
      </c>
      <c r="AH24" s="10">
        <f t="shared" si="4"/>
        <v>4</v>
      </c>
      <c r="AI24" s="17">
        <v>3</v>
      </c>
      <c r="AJ24" s="10">
        <f t="shared" si="17"/>
        <v>12</v>
      </c>
      <c r="AK24" s="17">
        <v>80</v>
      </c>
      <c r="AL24" s="17" t="str">
        <f t="shared" si="18"/>
        <v>A</v>
      </c>
      <c r="AM24" s="10">
        <f t="shared" si="19"/>
        <v>4</v>
      </c>
      <c r="AN24" s="17">
        <v>4</v>
      </c>
      <c r="AO24" s="10">
        <f t="shared" si="20"/>
        <v>16</v>
      </c>
      <c r="AP24" s="16">
        <v>76.75</v>
      </c>
      <c r="AQ24" s="17" t="str">
        <f t="shared" si="21"/>
        <v>B+</v>
      </c>
      <c r="AR24" s="10">
        <f t="shared" si="22"/>
        <v>3.5</v>
      </c>
      <c r="AS24" s="17">
        <v>2</v>
      </c>
      <c r="AT24" s="10">
        <f t="shared" si="23"/>
        <v>7</v>
      </c>
      <c r="AU24" s="19">
        <v>75.849999999999994</v>
      </c>
      <c r="AV24" s="17" t="str">
        <f t="shared" si="24"/>
        <v>B+</v>
      </c>
      <c r="AW24" s="10">
        <f t="shared" si="25"/>
        <v>3.5</v>
      </c>
      <c r="AX24" s="17">
        <v>3</v>
      </c>
      <c r="AY24" s="10">
        <f t="shared" si="26"/>
        <v>10.5</v>
      </c>
      <c r="AZ24" s="20">
        <v>80</v>
      </c>
      <c r="BA24" s="17" t="str">
        <f t="shared" si="27"/>
        <v>A</v>
      </c>
      <c r="BB24" s="10">
        <f t="shared" si="28"/>
        <v>4</v>
      </c>
      <c r="BC24" s="17">
        <v>2</v>
      </c>
      <c r="BD24" s="10">
        <f t="shared" si="29"/>
        <v>8</v>
      </c>
      <c r="BE24" s="21">
        <v>75.63</v>
      </c>
      <c r="BF24" s="17" t="str">
        <f t="shared" si="30"/>
        <v>B+</v>
      </c>
      <c r="BG24" s="10">
        <f t="shared" si="31"/>
        <v>3.5</v>
      </c>
      <c r="BH24" s="17">
        <v>2</v>
      </c>
      <c r="BI24" s="10">
        <f t="shared" si="32"/>
        <v>7</v>
      </c>
      <c r="BJ24" s="17">
        <v>79</v>
      </c>
      <c r="BK24" s="17" t="str">
        <f t="shared" si="33"/>
        <v>B+</v>
      </c>
      <c r="BL24" s="10">
        <f t="shared" si="34"/>
        <v>3.5</v>
      </c>
      <c r="BM24" s="17">
        <v>4</v>
      </c>
      <c r="BN24" s="10">
        <f t="shared" si="35"/>
        <v>14</v>
      </c>
      <c r="BO24" s="17">
        <v>80</v>
      </c>
      <c r="BP24" s="17" t="str">
        <f t="shared" si="36"/>
        <v>A</v>
      </c>
      <c r="BQ24" s="10">
        <f t="shared" si="37"/>
        <v>4</v>
      </c>
      <c r="BR24" s="17">
        <v>4</v>
      </c>
      <c r="BS24" s="10">
        <f t="shared" si="38"/>
        <v>16</v>
      </c>
      <c r="BT24" s="12">
        <v>81</v>
      </c>
      <c r="BU24" s="12">
        <v>22</v>
      </c>
      <c r="BV24" s="12">
        <v>61</v>
      </c>
      <c r="BW24" s="12">
        <v>19</v>
      </c>
      <c r="BX24" s="12">
        <v>77.5</v>
      </c>
      <c r="BY24" s="12">
        <v>21</v>
      </c>
      <c r="BZ24" s="12">
        <v>77</v>
      </c>
      <c r="CA24" s="12">
        <v>21</v>
      </c>
      <c r="CB24" s="12">
        <v>72.5</v>
      </c>
      <c r="CC24" s="12">
        <v>21</v>
      </c>
      <c r="CD24" s="12">
        <v>63.5</v>
      </c>
      <c r="CE24" s="12">
        <v>19</v>
      </c>
      <c r="CF24" s="12">
        <v>62.5</v>
      </c>
      <c r="CG24" s="12">
        <v>17</v>
      </c>
      <c r="CH24" s="12">
        <v>16</v>
      </c>
      <c r="CI24" s="12">
        <v>4</v>
      </c>
      <c r="CJ24" s="12">
        <f>BT24+BV24+BX24+BZ24+CB24+CD24+CF24+CH24</f>
        <v>511</v>
      </c>
      <c r="CK24" s="12">
        <f>BU24+BW24+BY24+CA24+CC24+CE24+CG24+CI24</f>
        <v>144</v>
      </c>
      <c r="CL24" s="23">
        <f t="shared" si="39"/>
        <v>3.5486111111111112</v>
      </c>
      <c r="CM24" s="12" t="str">
        <f t="shared" si="40"/>
        <v>Cum Laude</v>
      </c>
      <c r="CN24" s="38" t="str">
        <f t="shared" si="41"/>
        <v>Excellent</v>
      </c>
      <c r="CO24" s="24"/>
    </row>
    <row r="25" spans="1:93" x14ac:dyDescent="0.25">
      <c r="A25" s="12">
        <v>23</v>
      </c>
      <c r="B25" s="25" t="s">
        <v>102</v>
      </c>
      <c r="C25" s="12">
        <v>152111033</v>
      </c>
      <c r="D25" s="17" t="s">
        <v>103</v>
      </c>
      <c r="E25" s="28" t="s">
        <v>104</v>
      </c>
      <c r="F25" s="12"/>
      <c r="G25" s="16">
        <v>76</v>
      </c>
      <c r="H25" s="17" t="str">
        <f t="shared" si="5"/>
        <v>B+</v>
      </c>
      <c r="I25" s="10">
        <f t="shared" si="0"/>
        <v>3.5</v>
      </c>
      <c r="J25" s="17">
        <v>3</v>
      </c>
      <c r="K25" s="10">
        <f t="shared" si="6"/>
        <v>10.5</v>
      </c>
      <c r="L25" s="16">
        <v>77.62</v>
      </c>
      <c r="M25" s="17" t="str">
        <f t="shared" si="7"/>
        <v>B+</v>
      </c>
      <c r="N25" s="10">
        <f t="shared" si="1"/>
        <v>3.5</v>
      </c>
      <c r="O25" s="17">
        <v>4</v>
      </c>
      <c r="P25" s="10">
        <f t="shared" si="8"/>
        <v>14</v>
      </c>
      <c r="Q25" s="19">
        <v>74.25</v>
      </c>
      <c r="R25" s="17" t="str">
        <f t="shared" si="9"/>
        <v>B</v>
      </c>
      <c r="S25" s="10">
        <f t="shared" si="10"/>
        <v>3</v>
      </c>
      <c r="T25" s="17">
        <v>4</v>
      </c>
      <c r="U25" s="10">
        <f t="shared" si="11"/>
        <v>12</v>
      </c>
      <c r="V25" s="20">
        <v>77.650000000000006</v>
      </c>
      <c r="W25" s="17" t="str">
        <f t="shared" si="12"/>
        <v>B+</v>
      </c>
      <c r="X25" s="10">
        <f t="shared" si="2"/>
        <v>3.5</v>
      </c>
      <c r="Y25" s="17">
        <v>2</v>
      </c>
      <c r="Z25" s="10">
        <f t="shared" si="13"/>
        <v>7</v>
      </c>
      <c r="AA25" s="21">
        <v>77.400000000000006</v>
      </c>
      <c r="AB25" s="17" t="str">
        <f t="shared" si="14"/>
        <v>B+</v>
      </c>
      <c r="AC25" s="10">
        <f t="shared" si="3"/>
        <v>3.5</v>
      </c>
      <c r="AD25" s="17">
        <v>3</v>
      </c>
      <c r="AE25" s="10">
        <f t="shared" si="15"/>
        <v>10.5</v>
      </c>
      <c r="AF25" s="22">
        <v>74.174999999999997</v>
      </c>
      <c r="AG25" s="17" t="str">
        <f t="shared" si="16"/>
        <v>B</v>
      </c>
      <c r="AH25" s="10">
        <f t="shared" si="4"/>
        <v>3</v>
      </c>
      <c r="AI25" s="17">
        <v>3</v>
      </c>
      <c r="AJ25" s="10">
        <f t="shared" si="17"/>
        <v>9</v>
      </c>
      <c r="AK25" s="17">
        <v>80.599999999999994</v>
      </c>
      <c r="AL25" s="17" t="str">
        <f t="shared" si="18"/>
        <v>A</v>
      </c>
      <c r="AM25" s="10">
        <f t="shared" si="19"/>
        <v>4</v>
      </c>
      <c r="AN25" s="17">
        <v>4</v>
      </c>
      <c r="AO25" s="10">
        <f t="shared" si="20"/>
        <v>16</v>
      </c>
      <c r="AP25" s="16">
        <v>76.349999999999994</v>
      </c>
      <c r="AQ25" s="17" t="str">
        <f t="shared" si="21"/>
        <v>B+</v>
      </c>
      <c r="AR25" s="10">
        <f t="shared" si="22"/>
        <v>3.5</v>
      </c>
      <c r="AS25" s="17">
        <v>2</v>
      </c>
      <c r="AT25" s="10">
        <f t="shared" si="23"/>
        <v>7</v>
      </c>
      <c r="AU25" s="19">
        <v>79</v>
      </c>
      <c r="AV25" s="17" t="str">
        <f t="shared" si="24"/>
        <v>B+</v>
      </c>
      <c r="AW25" s="10">
        <f t="shared" si="25"/>
        <v>3.5</v>
      </c>
      <c r="AX25" s="17">
        <v>3</v>
      </c>
      <c r="AY25" s="10">
        <f t="shared" si="26"/>
        <v>10.5</v>
      </c>
      <c r="AZ25" s="20">
        <v>80.599999999999994</v>
      </c>
      <c r="BA25" s="17" t="str">
        <f t="shared" si="27"/>
        <v>A</v>
      </c>
      <c r="BB25" s="10">
        <f t="shared" si="28"/>
        <v>4</v>
      </c>
      <c r="BC25" s="17">
        <v>2</v>
      </c>
      <c r="BD25" s="10">
        <f t="shared" si="29"/>
        <v>8</v>
      </c>
      <c r="BE25" s="21">
        <v>72.28</v>
      </c>
      <c r="BF25" s="17" t="str">
        <f t="shared" si="30"/>
        <v>B</v>
      </c>
      <c r="BG25" s="10">
        <f t="shared" si="31"/>
        <v>3</v>
      </c>
      <c r="BH25" s="17">
        <v>2</v>
      </c>
      <c r="BI25" s="10">
        <f t="shared" si="32"/>
        <v>6</v>
      </c>
      <c r="BJ25" s="17">
        <v>76.599999999999994</v>
      </c>
      <c r="BK25" s="17" t="str">
        <f t="shared" si="33"/>
        <v>B+</v>
      </c>
      <c r="BL25" s="10">
        <f t="shared" si="34"/>
        <v>3.5</v>
      </c>
      <c r="BM25" s="17">
        <v>4</v>
      </c>
      <c r="BN25" s="10">
        <f t="shared" si="35"/>
        <v>14</v>
      </c>
      <c r="BO25" s="17">
        <v>82</v>
      </c>
      <c r="BP25" s="17" t="str">
        <f t="shared" si="36"/>
        <v>A</v>
      </c>
      <c r="BQ25" s="10">
        <f t="shared" si="37"/>
        <v>4</v>
      </c>
      <c r="BR25" s="17">
        <v>4</v>
      </c>
      <c r="BS25" s="10">
        <f t="shared" si="38"/>
        <v>16</v>
      </c>
      <c r="BT25" s="12">
        <v>72.5</v>
      </c>
      <c r="BU25" s="12">
        <v>22</v>
      </c>
      <c r="BV25" s="12">
        <v>62</v>
      </c>
      <c r="BW25" s="12">
        <v>19</v>
      </c>
      <c r="BX25" s="12">
        <v>74.5</v>
      </c>
      <c r="BY25" s="12">
        <v>21</v>
      </c>
      <c r="BZ25" s="12">
        <v>78.5</v>
      </c>
      <c r="CA25" s="12">
        <v>21</v>
      </c>
      <c r="CB25" s="12">
        <v>72.5</v>
      </c>
      <c r="CC25" s="12">
        <v>21</v>
      </c>
      <c r="CD25" s="12">
        <v>63</v>
      </c>
      <c r="CE25" s="12">
        <v>19</v>
      </c>
      <c r="CF25" s="12">
        <v>61.5</v>
      </c>
      <c r="CG25" s="12">
        <v>17</v>
      </c>
      <c r="CH25" s="12">
        <v>16</v>
      </c>
      <c r="CI25" s="12">
        <v>4</v>
      </c>
      <c r="CJ25" s="12">
        <f>BT25+BV25+BX25+BZ25+CB25+CD25+CF25+CH25</f>
        <v>500.5</v>
      </c>
      <c r="CK25" s="12">
        <f>BU25+BW25+BY25+CA25+CC25+CE25+CG25+CI25</f>
        <v>144</v>
      </c>
      <c r="CL25" s="23">
        <f t="shared" si="39"/>
        <v>3.4756944444444446</v>
      </c>
      <c r="CM25" s="12" t="str">
        <f t="shared" si="40"/>
        <v>Sangat Memuaskan</v>
      </c>
      <c r="CN25" s="38" t="str">
        <f t="shared" si="41"/>
        <v>Highly Satisfactory</v>
      </c>
      <c r="CO25" s="24"/>
    </row>
    <row r="26" spans="1:93" x14ac:dyDescent="0.25">
      <c r="A26" s="12">
        <v>24</v>
      </c>
      <c r="B26" s="24" t="s">
        <v>105</v>
      </c>
      <c r="C26" s="12">
        <v>152111034</v>
      </c>
      <c r="D26" s="17"/>
      <c r="E26" s="28"/>
      <c r="F26" s="12"/>
      <c r="G26" s="16">
        <v>75</v>
      </c>
      <c r="H26" s="17" t="str">
        <f t="shared" si="5"/>
        <v>B+</v>
      </c>
      <c r="I26" s="10">
        <f t="shared" si="0"/>
        <v>3.5</v>
      </c>
      <c r="J26" s="17">
        <v>3</v>
      </c>
      <c r="K26" s="10">
        <f t="shared" si="6"/>
        <v>10.5</v>
      </c>
      <c r="L26" s="16">
        <v>76</v>
      </c>
      <c r="M26" s="17" t="str">
        <f t="shared" si="7"/>
        <v>B+</v>
      </c>
      <c r="N26" s="10">
        <f t="shared" si="1"/>
        <v>3.5</v>
      </c>
      <c r="O26" s="17">
        <v>4</v>
      </c>
      <c r="P26" s="10">
        <f t="shared" si="8"/>
        <v>14</v>
      </c>
      <c r="Q26" s="19">
        <v>74.25</v>
      </c>
      <c r="R26" s="17" t="str">
        <f t="shared" si="9"/>
        <v>B</v>
      </c>
      <c r="S26" s="10">
        <f t="shared" si="10"/>
        <v>3</v>
      </c>
      <c r="T26" s="17">
        <v>4</v>
      </c>
      <c r="U26" s="10">
        <f t="shared" si="11"/>
        <v>12</v>
      </c>
      <c r="V26" s="20">
        <v>77.900000000000006</v>
      </c>
      <c r="W26" s="17" t="str">
        <f t="shared" si="12"/>
        <v>B+</v>
      </c>
      <c r="X26" s="10">
        <f t="shared" si="2"/>
        <v>3.5</v>
      </c>
      <c r="Y26" s="17">
        <v>2</v>
      </c>
      <c r="Z26" s="10">
        <f t="shared" si="13"/>
        <v>7</v>
      </c>
      <c r="AA26" s="21">
        <v>77.55</v>
      </c>
      <c r="AB26" s="17" t="str">
        <f t="shared" si="14"/>
        <v>B+</v>
      </c>
      <c r="AC26" s="10">
        <f t="shared" si="3"/>
        <v>3.5</v>
      </c>
      <c r="AD26" s="17">
        <v>3</v>
      </c>
      <c r="AE26" s="10">
        <f t="shared" si="15"/>
        <v>10.5</v>
      </c>
      <c r="AF26" s="22">
        <v>73.174999999999997</v>
      </c>
      <c r="AG26" s="17" t="str">
        <f t="shared" si="16"/>
        <v>B</v>
      </c>
      <c r="AH26" s="10">
        <f t="shared" si="4"/>
        <v>3</v>
      </c>
      <c r="AI26" s="17">
        <v>3</v>
      </c>
      <c r="AJ26" s="10">
        <f t="shared" si="17"/>
        <v>9</v>
      </c>
      <c r="AK26" s="17">
        <v>77.599999999999994</v>
      </c>
      <c r="AL26" s="17" t="str">
        <f t="shared" si="18"/>
        <v>B+</v>
      </c>
      <c r="AM26" s="10">
        <f t="shared" si="19"/>
        <v>3.5</v>
      </c>
      <c r="AN26" s="17">
        <v>4</v>
      </c>
      <c r="AO26" s="10">
        <f t="shared" si="20"/>
        <v>14</v>
      </c>
      <c r="AP26" s="16">
        <v>73.150000000000006</v>
      </c>
      <c r="AQ26" s="17" t="str">
        <f t="shared" si="21"/>
        <v>B</v>
      </c>
      <c r="AR26" s="10">
        <f t="shared" si="22"/>
        <v>3</v>
      </c>
      <c r="AS26" s="17">
        <v>2</v>
      </c>
      <c r="AT26" s="10">
        <f t="shared" si="23"/>
        <v>6</v>
      </c>
      <c r="AU26" s="19">
        <v>73.98</v>
      </c>
      <c r="AV26" s="17" t="str">
        <f t="shared" si="24"/>
        <v>B</v>
      </c>
      <c r="AW26" s="10">
        <f t="shared" si="25"/>
        <v>3</v>
      </c>
      <c r="AX26" s="17">
        <v>3</v>
      </c>
      <c r="AY26" s="10">
        <f t="shared" si="26"/>
        <v>9</v>
      </c>
      <c r="AZ26" s="20">
        <v>77.599999999999994</v>
      </c>
      <c r="BA26" s="17" t="str">
        <f t="shared" si="27"/>
        <v>B+</v>
      </c>
      <c r="BB26" s="10">
        <f t="shared" si="28"/>
        <v>3.5</v>
      </c>
      <c r="BC26" s="17">
        <v>2</v>
      </c>
      <c r="BD26" s="10">
        <f t="shared" si="29"/>
        <v>7</v>
      </c>
      <c r="BE26" s="21">
        <v>74.55</v>
      </c>
      <c r="BF26" s="17" t="str">
        <f t="shared" si="30"/>
        <v>B</v>
      </c>
      <c r="BG26" s="10">
        <f t="shared" si="31"/>
        <v>3</v>
      </c>
      <c r="BH26" s="17">
        <v>2</v>
      </c>
      <c r="BI26" s="10">
        <f t="shared" si="32"/>
        <v>6</v>
      </c>
      <c r="BJ26" s="17">
        <v>78.349999999999994</v>
      </c>
      <c r="BK26" s="17" t="str">
        <f t="shared" si="33"/>
        <v>B+</v>
      </c>
      <c r="BL26" s="10">
        <f t="shared" si="34"/>
        <v>3.5</v>
      </c>
      <c r="BM26" s="17">
        <v>4</v>
      </c>
      <c r="BN26" s="10">
        <f t="shared" si="35"/>
        <v>14</v>
      </c>
      <c r="BO26" s="17">
        <v>80.5</v>
      </c>
      <c r="BP26" s="17" t="str">
        <f t="shared" si="36"/>
        <v>A</v>
      </c>
      <c r="BQ26" s="10">
        <f t="shared" si="37"/>
        <v>4</v>
      </c>
      <c r="BR26" s="17">
        <v>4</v>
      </c>
      <c r="BS26" s="10">
        <f t="shared" si="38"/>
        <v>16</v>
      </c>
      <c r="BT26" s="12">
        <v>68.5</v>
      </c>
      <c r="BU26" s="12">
        <v>22</v>
      </c>
      <c r="BV26" s="12">
        <v>62.5</v>
      </c>
      <c r="BW26" s="12">
        <v>19</v>
      </c>
      <c r="BX26" s="12">
        <v>73.5</v>
      </c>
      <c r="BY26" s="12">
        <v>21</v>
      </c>
      <c r="BZ26" s="12">
        <v>74.5</v>
      </c>
      <c r="CA26" s="12">
        <v>21</v>
      </c>
      <c r="CB26" s="12">
        <v>68.5</v>
      </c>
      <c r="CC26" s="12">
        <v>21</v>
      </c>
      <c r="CD26" s="12">
        <v>63</v>
      </c>
      <c r="CE26" s="12">
        <v>19</v>
      </c>
      <c r="CF26" s="12">
        <v>56</v>
      </c>
      <c r="CG26" s="12">
        <v>17</v>
      </c>
      <c r="CH26" s="12">
        <v>16</v>
      </c>
      <c r="CI26" s="12">
        <v>4</v>
      </c>
      <c r="CJ26" s="12">
        <f>BT26+BV26+BX26+BZ26+CB26+CD26+CF26+CH26</f>
        <v>482.5</v>
      </c>
      <c r="CK26" s="12">
        <f>BU26+BW26+BY26+CA26+CC26+CE26+CG26+CI26</f>
        <v>144</v>
      </c>
      <c r="CL26" s="23">
        <f t="shared" si="39"/>
        <v>3.3506944444444446</v>
      </c>
      <c r="CM26" s="12" t="str">
        <f t="shared" si="40"/>
        <v>Sangat Memuaskan</v>
      </c>
      <c r="CN26" s="38" t="str">
        <f t="shared" si="41"/>
        <v>Highly Satisfactory</v>
      </c>
      <c r="CO26" s="24"/>
    </row>
    <row r="27" spans="1:93" x14ac:dyDescent="0.25">
      <c r="A27" s="12">
        <v>25</v>
      </c>
      <c r="B27" s="24" t="s">
        <v>106</v>
      </c>
      <c r="C27" s="12">
        <v>152111035</v>
      </c>
      <c r="D27" s="17"/>
      <c r="E27" s="28"/>
      <c r="F27" s="12"/>
      <c r="G27" s="16">
        <v>73</v>
      </c>
      <c r="H27" s="17" t="str">
        <f t="shared" si="5"/>
        <v>B</v>
      </c>
      <c r="I27" s="10">
        <f t="shared" si="0"/>
        <v>3</v>
      </c>
      <c r="J27" s="17">
        <v>3</v>
      </c>
      <c r="K27" s="10">
        <f t="shared" si="6"/>
        <v>9</v>
      </c>
      <c r="L27" s="16">
        <v>75.320000000000007</v>
      </c>
      <c r="M27" s="17" t="str">
        <f t="shared" si="7"/>
        <v>B+</v>
      </c>
      <c r="N27" s="10">
        <f t="shared" si="1"/>
        <v>3.5</v>
      </c>
      <c r="O27" s="17">
        <v>4</v>
      </c>
      <c r="P27" s="10">
        <f t="shared" si="8"/>
        <v>14</v>
      </c>
      <c r="Q27" s="19">
        <v>74.25</v>
      </c>
      <c r="R27" s="17" t="str">
        <f t="shared" si="9"/>
        <v>B</v>
      </c>
      <c r="S27" s="10">
        <f t="shared" si="10"/>
        <v>3</v>
      </c>
      <c r="T27" s="17">
        <v>4</v>
      </c>
      <c r="U27" s="10">
        <f t="shared" si="11"/>
        <v>12</v>
      </c>
      <c r="V27" s="20">
        <v>69.25</v>
      </c>
      <c r="W27" s="17" t="str">
        <f t="shared" si="12"/>
        <v>C+</v>
      </c>
      <c r="X27" s="10">
        <f t="shared" si="2"/>
        <v>2.5</v>
      </c>
      <c r="Y27" s="17">
        <v>2</v>
      </c>
      <c r="Z27" s="10">
        <f t="shared" si="13"/>
        <v>5</v>
      </c>
      <c r="AA27" s="21">
        <v>71.11666666666666</v>
      </c>
      <c r="AB27" s="17" t="str">
        <f t="shared" si="14"/>
        <v>B</v>
      </c>
      <c r="AC27" s="10">
        <f t="shared" si="3"/>
        <v>3</v>
      </c>
      <c r="AD27" s="17">
        <v>3</v>
      </c>
      <c r="AE27" s="10">
        <f t="shared" si="15"/>
        <v>9</v>
      </c>
      <c r="AF27" s="22">
        <v>75.224999999999994</v>
      </c>
      <c r="AG27" s="17" t="str">
        <f t="shared" si="16"/>
        <v>B+</v>
      </c>
      <c r="AH27" s="10">
        <f t="shared" si="4"/>
        <v>3.5</v>
      </c>
      <c r="AI27" s="17">
        <v>3</v>
      </c>
      <c r="AJ27" s="10">
        <f t="shared" si="17"/>
        <v>10.5</v>
      </c>
      <c r="AK27" s="17">
        <v>80.8</v>
      </c>
      <c r="AL27" s="17" t="str">
        <f t="shared" si="18"/>
        <v>A</v>
      </c>
      <c r="AM27" s="10">
        <f t="shared" si="19"/>
        <v>4</v>
      </c>
      <c r="AN27" s="17">
        <v>4</v>
      </c>
      <c r="AO27" s="10">
        <f t="shared" si="20"/>
        <v>16</v>
      </c>
      <c r="AP27" s="16">
        <v>76.75</v>
      </c>
      <c r="AQ27" s="17" t="str">
        <f t="shared" si="21"/>
        <v>B+</v>
      </c>
      <c r="AR27" s="10">
        <f t="shared" si="22"/>
        <v>3.5</v>
      </c>
      <c r="AS27" s="17">
        <v>2</v>
      </c>
      <c r="AT27" s="10">
        <f t="shared" si="23"/>
        <v>7</v>
      </c>
      <c r="AU27" s="19">
        <v>75.08</v>
      </c>
      <c r="AV27" s="17" t="str">
        <f t="shared" si="24"/>
        <v>B+</v>
      </c>
      <c r="AW27" s="10">
        <f t="shared" si="25"/>
        <v>3.5</v>
      </c>
      <c r="AX27" s="17">
        <v>3</v>
      </c>
      <c r="AY27" s="10">
        <f t="shared" si="26"/>
        <v>10.5</v>
      </c>
      <c r="AZ27" s="20">
        <v>80.8</v>
      </c>
      <c r="BA27" s="17" t="str">
        <f t="shared" si="27"/>
        <v>A</v>
      </c>
      <c r="BB27" s="10">
        <f t="shared" si="28"/>
        <v>4</v>
      </c>
      <c r="BC27" s="17">
        <v>2</v>
      </c>
      <c r="BD27" s="10">
        <f t="shared" si="29"/>
        <v>8</v>
      </c>
      <c r="BE27" s="21">
        <v>67.849999999999994</v>
      </c>
      <c r="BF27" s="17" t="str">
        <f t="shared" si="30"/>
        <v>C+</v>
      </c>
      <c r="BG27" s="10">
        <f t="shared" si="31"/>
        <v>2.5</v>
      </c>
      <c r="BH27" s="17">
        <v>2</v>
      </c>
      <c r="BI27" s="10">
        <f t="shared" si="32"/>
        <v>5</v>
      </c>
      <c r="BJ27" s="17">
        <v>73.75</v>
      </c>
      <c r="BK27" s="17" t="str">
        <f t="shared" si="33"/>
        <v>B</v>
      </c>
      <c r="BL27" s="10">
        <f t="shared" si="34"/>
        <v>3</v>
      </c>
      <c r="BM27" s="17">
        <v>4</v>
      </c>
      <c r="BN27" s="10">
        <f t="shared" si="35"/>
        <v>12</v>
      </c>
      <c r="BO27" s="17">
        <v>39.299999999999997</v>
      </c>
      <c r="BP27" s="17" t="str">
        <f t="shared" si="36"/>
        <v>E</v>
      </c>
      <c r="BQ27" s="10">
        <f t="shared" si="37"/>
        <v>0</v>
      </c>
      <c r="BR27" s="17">
        <v>4</v>
      </c>
      <c r="BS27" s="10">
        <f t="shared" si="38"/>
        <v>0</v>
      </c>
      <c r="BT27" s="12">
        <v>65.5</v>
      </c>
      <c r="BU27" s="12">
        <v>22</v>
      </c>
      <c r="BV27" s="12">
        <v>64.5</v>
      </c>
      <c r="BW27" s="12">
        <v>19</v>
      </c>
      <c r="BX27" s="12">
        <v>73.5</v>
      </c>
      <c r="BY27" s="12">
        <v>21</v>
      </c>
      <c r="BZ27" s="12">
        <v>75</v>
      </c>
      <c r="CA27" s="12">
        <v>21</v>
      </c>
      <c r="CB27" s="12">
        <v>71</v>
      </c>
      <c r="CC27" s="12">
        <v>21</v>
      </c>
      <c r="CD27" s="12">
        <v>59.5</v>
      </c>
      <c r="CE27" s="12">
        <v>19</v>
      </c>
      <c r="CF27" s="12">
        <v>58.5</v>
      </c>
      <c r="CG27" s="12">
        <v>17</v>
      </c>
      <c r="CH27" s="12">
        <v>0</v>
      </c>
      <c r="CI27" s="12">
        <v>4</v>
      </c>
      <c r="CJ27" s="12">
        <f>BT27+BV27+BX27+BZ27+CB27+CD27+CF27+CH27</f>
        <v>467.5</v>
      </c>
      <c r="CK27" s="12">
        <f>BU27+BW27+BY27+CA27+CC27+CE27+CG27+CI27</f>
        <v>144</v>
      </c>
      <c r="CL27" s="23">
        <f t="shared" si="39"/>
        <v>3.2465277777777777</v>
      </c>
      <c r="CM27" s="12" t="str">
        <f t="shared" si="40"/>
        <v>Sangat Memuaskan</v>
      </c>
      <c r="CN27" s="38" t="str">
        <f t="shared" si="41"/>
        <v>Highly Satisfactory</v>
      </c>
      <c r="CO27" s="24"/>
    </row>
    <row r="28" spans="1:93" x14ac:dyDescent="0.25">
      <c r="A28" s="12">
        <v>26</v>
      </c>
      <c r="B28" s="24" t="s">
        <v>107</v>
      </c>
      <c r="C28" s="12">
        <v>152111036</v>
      </c>
      <c r="D28" s="17" t="s">
        <v>61</v>
      </c>
      <c r="E28" s="28" t="s">
        <v>108</v>
      </c>
      <c r="F28" s="12"/>
      <c r="G28" s="16">
        <v>77.8</v>
      </c>
      <c r="H28" s="17" t="str">
        <f t="shared" si="5"/>
        <v>B+</v>
      </c>
      <c r="I28" s="10">
        <f t="shared" si="0"/>
        <v>3.5</v>
      </c>
      <c r="J28" s="17">
        <v>3</v>
      </c>
      <c r="K28" s="10">
        <f t="shared" si="6"/>
        <v>10.5</v>
      </c>
      <c r="L28" s="16">
        <v>77.16</v>
      </c>
      <c r="M28" s="17" t="str">
        <f t="shared" si="7"/>
        <v>B+</v>
      </c>
      <c r="N28" s="10">
        <f t="shared" si="1"/>
        <v>3.5</v>
      </c>
      <c r="O28" s="17">
        <v>4</v>
      </c>
      <c r="P28" s="10">
        <f t="shared" si="8"/>
        <v>14</v>
      </c>
      <c r="Q28" s="19">
        <v>74.25</v>
      </c>
      <c r="R28" s="17" t="str">
        <f t="shared" si="9"/>
        <v>B</v>
      </c>
      <c r="S28" s="10">
        <f t="shared" si="10"/>
        <v>3</v>
      </c>
      <c r="T28" s="17">
        <v>4</v>
      </c>
      <c r="U28" s="10">
        <f t="shared" si="11"/>
        <v>12</v>
      </c>
      <c r="V28" s="20">
        <v>73.699999999999989</v>
      </c>
      <c r="W28" s="17" t="str">
        <f t="shared" si="12"/>
        <v>B</v>
      </c>
      <c r="X28" s="10">
        <f t="shared" si="2"/>
        <v>3</v>
      </c>
      <c r="Y28" s="17">
        <v>2</v>
      </c>
      <c r="Z28" s="10">
        <f t="shared" si="13"/>
        <v>6</v>
      </c>
      <c r="AA28" s="21">
        <v>75.069047619047623</v>
      </c>
      <c r="AB28" s="17" t="str">
        <f t="shared" si="14"/>
        <v>B+</v>
      </c>
      <c r="AC28" s="10">
        <f t="shared" si="3"/>
        <v>3.5</v>
      </c>
      <c r="AD28" s="17">
        <v>3</v>
      </c>
      <c r="AE28" s="10">
        <f t="shared" si="15"/>
        <v>10.5</v>
      </c>
      <c r="AF28" s="22">
        <v>75.025000000000006</v>
      </c>
      <c r="AG28" s="17" t="str">
        <f t="shared" si="16"/>
        <v>B+</v>
      </c>
      <c r="AH28" s="10">
        <f t="shared" si="4"/>
        <v>3.5</v>
      </c>
      <c r="AI28" s="17">
        <v>3</v>
      </c>
      <c r="AJ28" s="10">
        <f t="shared" si="17"/>
        <v>10.5</v>
      </c>
      <c r="AK28" s="17">
        <v>82.4</v>
      </c>
      <c r="AL28" s="17" t="str">
        <f t="shared" si="18"/>
        <v>A</v>
      </c>
      <c r="AM28" s="10">
        <f t="shared" si="19"/>
        <v>4</v>
      </c>
      <c r="AN28" s="17">
        <v>4</v>
      </c>
      <c r="AO28" s="10">
        <f t="shared" si="20"/>
        <v>16</v>
      </c>
      <c r="AP28" s="16">
        <v>81.150000000000006</v>
      </c>
      <c r="AQ28" s="17" t="str">
        <f t="shared" si="21"/>
        <v>A</v>
      </c>
      <c r="AR28" s="10">
        <f t="shared" si="22"/>
        <v>4</v>
      </c>
      <c r="AS28" s="17">
        <v>2</v>
      </c>
      <c r="AT28" s="10">
        <f t="shared" si="23"/>
        <v>8</v>
      </c>
      <c r="AU28" s="19">
        <v>80</v>
      </c>
      <c r="AV28" s="17" t="str">
        <f t="shared" si="24"/>
        <v>A</v>
      </c>
      <c r="AW28" s="10">
        <f t="shared" si="25"/>
        <v>4</v>
      </c>
      <c r="AX28" s="17">
        <v>3</v>
      </c>
      <c r="AY28" s="10">
        <f t="shared" si="26"/>
        <v>12</v>
      </c>
      <c r="AZ28" s="20">
        <v>82.4</v>
      </c>
      <c r="BA28" s="17" t="str">
        <f t="shared" si="27"/>
        <v>A</v>
      </c>
      <c r="BB28" s="10">
        <f t="shared" si="28"/>
        <v>4</v>
      </c>
      <c r="BC28" s="17">
        <v>2</v>
      </c>
      <c r="BD28" s="10">
        <f t="shared" si="29"/>
        <v>8</v>
      </c>
      <c r="BE28" s="21">
        <v>74.930000000000007</v>
      </c>
      <c r="BF28" s="17" t="str">
        <f t="shared" si="30"/>
        <v>B</v>
      </c>
      <c r="BG28" s="10">
        <f t="shared" si="31"/>
        <v>3</v>
      </c>
      <c r="BH28" s="17">
        <v>2</v>
      </c>
      <c r="BI28" s="10">
        <f t="shared" si="32"/>
        <v>6</v>
      </c>
      <c r="BJ28" s="17">
        <v>77.8</v>
      </c>
      <c r="BK28" s="17" t="str">
        <f t="shared" si="33"/>
        <v>B+</v>
      </c>
      <c r="BL28" s="10">
        <f t="shared" si="34"/>
        <v>3.5</v>
      </c>
      <c r="BM28" s="17">
        <v>4</v>
      </c>
      <c r="BN28" s="10">
        <f t="shared" si="35"/>
        <v>14</v>
      </c>
      <c r="BO28" s="17">
        <v>39</v>
      </c>
      <c r="BP28" s="17" t="str">
        <f t="shared" si="36"/>
        <v>E</v>
      </c>
      <c r="BQ28" s="10">
        <f t="shared" si="37"/>
        <v>0</v>
      </c>
      <c r="BR28" s="17">
        <v>4</v>
      </c>
      <c r="BS28" s="10">
        <f t="shared" si="38"/>
        <v>0</v>
      </c>
      <c r="BT28" s="12">
        <v>74.5</v>
      </c>
      <c r="BU28" s="12">
        <v>22</v>
      </c>
      <c r="BV28" s="12">
        <v>64.5</v>
      </c>
      <c r="BW28" s="12">
        <v>19</v>
      </c>
      <c r="BX28" s="12">
        <v>76.5</v>
      </c>
      <c r="BY28" s="12">
        <v>21</v>
      </c>
      <c r="BZ28" s="12">
        <v>82.5</v>
      </c>
      <c r="CA28" s="12">
        <v>21</v>
      </c>
      <c r="CB28" s="12">
        <v>75.5</v>
      </c>
      <c r="CC28" s="12">
        <v>21</v>
      </c>
      <c r="CD28" s="12">
        <v>63.5</v>
      </c>
      <c r="CE28" s="12">
        <v>19</v>
      </c>
      <c r="CF28" s="12">
        <v>64</v>
      </c>
      <c r="CG28" s="12">
        <v>17</v>
      </c>
      <c r="CH28" s="12">
        <v>0</v>
      </c>
      <c r="CI28" s="12">
        <v>4</v>
      </c>
      <c r="CJ28" s="12">
        <f>BT28+BV28+BX28+BZ28+CB28+CD28+CF28+CH28</f>
        <v>501</v>
      </c>
      <c r="CK28" s="12">
        <f>BU28+BW28+BY28+CA28+CC28+CE28+CG28+CI28</f>
        <v>144</v>
      </c>
      <c r="CL28" s="23">
        <f t="shared" si="39"/>
        <v>3.4791666666666665</v>
      </c>
      <c r="CM28" s="12" t="str">
        <f t="shared" si="40"/>
        <v>Sangat Memuaskan</v>
      </c>
      <c r="CN28" s="38" t="str">
        <f t="shared" si="41"/>
        <v>Highly Satisfactory</v>
      </c>
      <c r="CO28" s="24"/>
    </row>
    <row r="29" spans="1:93" x14ac:dyDescent="0.25">
      <c r="A29" s="12">
        <v>27</v>
      </c>
      <c r="B29" s="24" t="s">
        <v>109</v>
      </c>
      <c r="C29" s="12">
        <v>152111037</v>
      </c>
      <c r="D29" s="17" t="s">
        <v>61</v>
      </c>
      <c r="E29" s="28" t="s">
        <v>110</v>
      </c>
      <c r="F29" s="12"/>
      <c r="G29" s="16">
        <v>77</v>
      </c>
      <c r="H29" s="17" t="str">
        <f t="shared" si="5"/>
        <v>B+</v>
      </c>
      <c r="I29" s="10">
        <f t="shared" si="0"/>
        <v>3.5</v>
      </c>
      <c r="J29" s="17">
        <v>3</v>
      </c>
      <c r="K29" s="10">
        <f t="shared" si="6"/>
        <v>10.5</v>
      </c>
      <c r="L29" s="16">
        <v>81.86</v>
      </c>
      <c r="M29" s="17" t="str">
        <f t="shared" si="7"/>
        <v>A</v>
      </c>
      <c r="N29" s="10">
        <f t="shared" si="1"/>
        <v>4</v>
      </c>
      <c r="O29" s="17">
        <v>4</v>
      </c>
      <c r="P29" s="10">
        <f t="shared" si="8"/>
        <v>16</v>
      </c>
      <c r="Q29" s="19">
        <v>74.25</v>
      </c>
      <c r="R29" s="17" t="str">
        <f t="shared" si="9"/>
        <v>B</v>
      </c>
      <c r="S29" s="10">
        <f t="shared" si="10"/>
        <v>3</v>
      </c>
      <c r="T29" s="17">
        <v>4</v>
      </c>
      <c r="U29" s="10">
        <f t="shared" si="11"/>
        <v>12</v>
      </c>
      <c r="V29" s="20">
        <v>77.471428571428575</v>
      </c>
      <c r="W29" s="17" t="str">
        <f t="shared" si="12"/>
        <v>B+</v>
      </c>
      <c r="X29" s="10">
        <f t="shared" si="2"/>
        <v>3.5</v>
      </c>
      <c r="Y29" s="17">
        <v>2</v>
      </c>
      <c r="Z29" s="10">
        <f t="shared" si="13"/>
        <v>7</v>
      </c>
      <c r="AA29" s="21">
        <v>78.416666666666671</v>
      </c>
      <c r="AB29" s="17" t="str">
        <f t="shared" si="14"/>
        <v>B+</v>
      </c>
      <c r="AC29" s="10">
        <f t="shared" si="3"/>
        <v>3.5</v>
      </c>
      <c r="AD29" s="17">
        <v>3</v>
      </c>
      <c r="AE29" s="10">
        <f t="shared" si="15"/>
        <v>10.5</v>
      </c>
      <c r="AF29" s="22">
        <v>80.625</v>
      </c>
      <c r="AG29" s="17" t="str">
        <f t="shared" si="16"/>
        <v>A</v>
      </c>
      <c r="AH29" s="10">
        <f t="shared" si="4"/>
        <v>4</v>
      </c>
      <c r="AI29" s="17">
        <v>3</v>
      </c>
      <c r="AJ29" s="10">
        <f t="shared" si="17"/>
        <v>12</v>
      </c>
      <c r="AK29" s="17">
        <v>82.2</v>
      </c>
      <c r="AL29" s="17" t="str">
        <f t="shared" si="18"/>
        <v>A</v>
      </c>
      <c r="AM29" s="10">
        <f t="shared" si="19"/>
        <v>4</v>
      </c>
      <c r="AN29" s="17">
        <v>4</v>
      </c>
      <c r="AO29" s="10">
        <f t="shared" si="20"/>
        <v>16</v>
      </c>
      <c r="AP29" s="16">
        <v>79.150000000000006</v>
      </c>
      <c r="AQ29" s="17" t="str">
        <f t="shared" si="21"/>
        <v>B+</v>
      </c>
      <c r="AR29" s="10">
        <f t="shared" si="22"/>
        <v>3.5</v>
      </c>
      <c r="AS29" s="17">
        <v>2</v>
      </c>
      <c r="AT29" s="10">
        <f t="shared" si="23"/>
        <v>7</v>
      </c>
      <c r="AU29" s="19">
        <v>79</v>
      </c>
      <c r="AV29" s="17" t="str">
        <f t="shared" si="24"/>
        <v>B+</v>
      </c>
      <c r="AW29" s="10">
        <f t="shared" si="25"/>
        <v>3.5</v>
      </c>
      <c r="AX29" s="17">
        <v>3</v>
      </c>
      <c r="AY29" s="10">
        <f t="shared" si="26"/>
        <v>10.5</v>
      </c>
      <c r="AZ29" s="20">
        <v>82.2</v>
      </c>
      <c r="BA29" s="17" t="str">
        <f t="shared" si="27"/>
        <v>A</v>
      </c>
      <c r="BB29" s="10">
        <f t="shared" si="28"/>
        <v>4</v>
      </c>
      <c r="BC29" s="17">
        <v>2</v>
      </c>
      <c r="BD29" s="10">
        <f t="shared" si="29"/>
        <v>8</v>
      </c>
      <c r="BE29" s="21">
        <v>79.48</v>
      </c>
      <c r="BF29" s="17" t="str">
        <f t="shared" si="30"/>
        <v>B+</v>
      </c>
      <c r="BG29" s="10">
        <f t="shared" si="31"/>
        <v>3.5</v>
      </c>
      <c r="BH29" s="17">
        <v>2</v>
      </c>
      <c r="BI29" s="10">
        <f t="shared" si="32"/>
        <v>7</v>
      </c>
      <c r="BJ29" s="17">
        <v>75</v>
      </c>
      <c r="BK29" s="17" t="str">
        <f t="shared" si="33"/>
        <v>B+</v>
      </c>
      <c r="BL29" s="10">
        <f t="shared" si="34"/>
        <v>3.5</v>
      </c>
      <c r="BM29" s="17">
        <v>4</v>
      </c>
      <c r="BN29" s="10">
        <f t="shared" si="35"/>
        <v>14</v>
      </c>
      <c r="BO29" s="17">
        <v>79</v>
      </c>
      <c r="BP29" s="17" t="str">
        <f t="shared" si="36"/>
        <v>B+</v>
      </c>
      <c r="BQ29" s="10">
        <f t="shared" si="37"/>
        <v>3.5</v>
      </c>
      <c r="BR29" s="17">
        <v>4</v>
      </c>
      <c r="BS29" s="10">
        <f t="shared" si="38"/>
        <v>14</v>
      </c>
      <c r="BT29" s="12">
        <v>75</v>
      </c>
      <c r="BU29" s="12">
        <v>22</v>
      </c>
      <c r="BV29" s="12">
        <v>67.5</v>
      </c>
      <c r="BW29" s="12">
        <v>19</v>
      </c>
      <c r="BX29" s="12">
        <v>75.5</v>
      </c>
      <c r="BY29" s="12">
        <v>21</v>
      </c>
      <c r="BZ29" s="12">
        <v>77.5</v>
      </c>
      <c r="CA29" s="12">
        <v>21</v>
      </c>
      <c r="CB29" s="12">
        <v>74</v>
      </c>
      <c r="CC29" s="12">
        <v>21</v>
      </c>
      <c r="CD29" s="12">
        <v>68</v>
      </c>
      <c r="CE29" s="12">
        <v>19</v>
      </c>
      <c r="CF29" s="12">
        <v>62.5</v>
      </c>
      <c r="CG29" s="12">
        <v>17</v>
      </c>
      <c r="CH29" s="12">
        <v>14</v>
      </c>
      <c r="CI29" s="12">
        <v>4</v>
      </c>
      <c r="CJ29" s="12">
        <f>BT29+BV29+BX29+BZ29+CB29+CD29+CF29+CH29</f>
        <v>514</v>
      </c>
      <c r="CK29" s="12">
        <f>BU29+BW29+BY29+CA29+CC29+CE29+CG29+CI29</f>
        <v>144</v>
      </c>
      <c r="CL29" s="23">
        <f t="shared" si="39"/>
        <v>3.5694444444444446</v>
      </c>
      <c r="CM29" s="12" t="str">
        <f t="shared" si="40"/>
        <v>Cum Laude</v>
      </c>
      <c r="CN29" s="38" t="str">
        <f t="shared" si="41"/>
        <v>Excellent</v>
      </c>
      <c r="CO29" s="24"/>
    </row>
    <row r="30" spans="1:93" x14ac:dyDescent="0.25">
      <c r="A30" s="12">
        <v>28</v>
      </c>
      <c r="B30" s="24" t="s">
        <v>111</v>
      </c>
      <c r="C30" s="12">
        <v>152111038</v>
      </c>
      <c r="D30" s="17" t="s">
        <v>112</v>
      </c>
      <c r="E30" s="28" t="s">
        <v>113</v>
      </c>
      <c r="F30" s="12"/>
      <c r="G30" s="16">
        <v>75</v>
      </c>
      <c r="H30" s="17" t="str">
        <f t="shared" si="5"/>
        <v>B+</v>
      </c>
      <c r="I30" s="10">
        <f t="shared" si="0"/>
        <v>3.5</v>
      </c>
      <c r="J30" s="17">
        <v>3</v>
      </c>
      <c r="K30" s="10">
        <f t="shared" si="6"/>
        <v>10.5</v>
      </c>
      <c r="L30" s="16">
        <v>76.12</v>
      </c>
      <c r="M30" s="17" t="str">
        <f t="shared" si="7"/>
        <v>B+</v>
      </c>
      <c r="N30" s="10">
        <f t="shared" si="1"/>
        <v>3.5</v>
      </c>
      <c r="O30" s="17">
        <v>4</v>
      </c>
      <c r="P30" s="10">
        <f t="shared" si="8"/>
        <v>14</v>
      </c>
      <c r="Q30" s="19">
        <v>74.25</v>
      </c>
      <c r="R30" s="17" t="str">
        <f t="shared" si="9"/>
        <v>B</v>
      </c>
      <c r="S30" s="10">
        <f t="shared" si="10"/>
        <v>3</v>
      </c>
      <c r="T30" s="17">
        <v>4</v>
      </c>
      <c r="U30" s="10">
        <f t="shared" si="11"/>
        <v>12</v>
      </c>
      <c r="V30" s="20">
        <v>78.099999999999994</v>
      </c>
      <c r="W30" s="17" t="str">
        <f t="shared" si="12"/>
        <v>B+</v>
      </c>
      <c r="X30" s="10">
        <f t="shared" si="2"/>
        <v>3.5</v>
      </c>
      <c r="Y30" s="17">
        <v>2</v>
      </c>
      <c r="Z30" s="10">
        <f t="shared" si="13"/>
        <v>7</v>
      </c>
      <c r="AA30" s="21">
        <v>71.783333333333331</v>
      </c>
      <c r="AB30" s="17" t="str">
        <f t="shared" si="14"/>
        <v>B</v>
      </c>
      <c r="AC30" s="10">
        <f t="shared" si="3"/>
        <v>3</v>
      </c>
      <c r="AD30" s="17">
        <v>3</v>
      </c>
      <c r="AE30" s="10">
        <f t="shared" si="15"/>
        <v>9</v>
      </c>
      <c r="AF30" s="22">
        <v>80.424999999999997</v>
      </c>
      <c r="AG30" s="17" t="str">
        <f t="shared" si="16"/>
        <v>A</v>
      </c>
      <c r="AH30" s="10">
        <f t="shared" si="4"/>
        <v>4</v>
      </c>
      <c r="AI30" s="17">
        <v>3</v>
      </c>
      <c r="AJ30" s="10">
        <f t="shared" si="17"/>
        <v>12</v>
      </c>
      <c r="AK30" s="17">
        <v>76</v>
      </c>
      <c r="AL30" s="17" t="str">
        <f t="shared" si="18"/>
        <v>B+</v>
      </c>
      <c r="AM30" s="10">
        <f t="shared" si="19"/>
        <v>3.5</v>
      </c>
      <c r="AN30" s="17">
        <v>4</v>
      </c>
      <c r="AO30" s="10">
        <f t="shared" si="20"/>
        <v>14</v>
      </c>
      <c r="AP30" s="16">
        <v>80.349999999999994</v>
      </c>
      <c r="AQ30" s="17" t="str">
        <f t="shared" si="21"/>
        <v>A</v>
      </c>
      <c r="AR30" s="10">
        <f t="shared" si="22"/>
        <v>4</v>
      </c>
      <c r="AS30" s="17">
        <v>2</v>
      </c>
      <c r="AT30" s="10">
        <f t="shared" si="23"/>
        <v>8</v>
      </c>
      <c r="AU30" s="19">
        <v>78.75</v>
      </c>
      <c r="AV30" s="17" t="str">
        <f t="shared" si="24"/>
        <v>B+</v>
      </c>
      <c r="AW30" s="10">
        <f t="shared" si="25"/>
        <v>3.5</v>
      </c>
      <c r="AX30" s="17">
        <v>3</v>
      </c>
      <c r="AY30" s="10">
        <f t="shared" si="26"/>
        <v>10.5</v>
      </c>
      <c r="AZ30" s="20">
        <v>76</v>
      </c>
      <c r="BA30" s="17" t="str">
        <f t="shared" si="27"/>
        <v>B+</v>
      </c>
      <c r="BB30" s="10">
        <f t="shared" si="28"/>
        <v>3.5</v>
      </c>
      <c r="BC30" s="17">
        <v>2</v>
      </c>
      <c r="BD30" s="10">
        <f t="shared" si="29"/>
        <v>7</v>
      </c>
      <c r="BE30" s="21">
        <v>76.38</v>
      </c>
      <c r="BF30" s="17" t="str">
        <f t="shared" si="30"/>
        <v>B+</v>
      </c>
      <c r="BG30" s="10">
        <f t="shared" si="31"/>
        <v>3.5</v>
      </c>
      <c r="BH30" s="17">
        <v>2</v>
      </c>
      <c r="BI30" s="10">
        <f t="shared" si="32"/>
        <v>7</v>
      </c>
      <c r="BJ30" s="17">
        <v>74.599999999999994</v>
      </c>
      <c r="BK30" s="17" t="str">
        <f t="shared" si="33"/>
        <v>B</v>
      </c>
      <c r="BL30" s="10">
        <f t="shared" si="34"/>
        <v>3</v>
      </c>
      <c r="BM30" s="17">
        <v>4</v>
      </c>
      <c r="BN30" s="10">
        <f t="shared" si="35"/>
        <v>12</v>
      </c>
      <c r="BO30" s="17">
        <v>81.7</v>
      </c>
      <c r="BP30" s="17" t="str">
        <f t="shared" si="36"/>
        <v>A</v>
      </c>
      <c r="BQ30" s="10">
        <f t="shared" si="37"/>
        <v>4</v>
      </c>
      <c r="BR30" s="17">
        <v>4</v>
      </c>
      <c r="BS30" s="10">
        <f t="shared" si="38"/>
        <v>16</v>
      </c>
      <c r="BT30" s="12">
        <v>66.5</v>
      </c>
      <c r="BU30" s="12">
        <v>22</v>
      </c>
      <c r="BV30" s="12">
        <v>63.5</v>
      </c>
      <c r="BW30" s="12">
        <v>19</v>
      </c>
      <c r="BX30" s="12">
        <v>74.5</v>
      </c>
      <c r="BY30" s="12">
        <v>21</v>
      </c>
      <c r="BZ30" s="12">
        <v>73.5</v>
      </c>
      <c r="CA30" s="12">
        <v>21</v>
      </c>
      <c r="CB30" s="12">
        <v>74</v>
      </c>
      <c r="CC30" s="12">
        <v>21</v>
      </c>
      <c r="CD30" s="12">
        <v>64.5</v>
      </c>
      <c r="CE30" s="12">
        <v>19</v>
      </c>
      <c r="CF30" s="12">
        <v>58.5</v>
      </c>
      <c r="CG30" s="12">
        <v>17</v>
      </c>
      <c r="CH30" s="12">
        <v>16</v>
      </c>
      <c r="CI30" s="12">
        <v>4</v>
      </c>
      <c r="CJ30" s="12">
        <f>BT30+BV30+BX30+BZ30+CB30+CD30+CF30+CH30</f>
        <v>491</v>
      </c>
      <c r="CK30" s="12">
        <f>BU30+BW30+BY30+CA30+CC30+CE30+CG30+CI30</f>
        <v>144</v>
      </c>
      <c r="CL30" s="23">
        <f t="shared" si="39"/>
        <v>3.4097222222222223</v>
      </c>
      <c r="CM30" s="12" t="str">
        <f t="shared" si="40"/>
        <v>Sangat Memuaskan</v>
      </c>
      <c r="CN30" s="38" t="str">
        <f t="shared" si="41"/>
        <v>Highly Satisfactory</v>
      </c>
      <c r="CO30" s="24"/>
    </row>
    <row r="31" spans="1:93" x14ac:dyDescent="0.25">
      <c r="A31" s="12">
        <v>29</v>
      </c>
      <c r="B31" s="24" t="s">
        <v>114</v>
      </c>
      <c r="C31" s="12">
        <v>152111039</v>
      </c>
      <c r="D31" s="17"/>
      <c r="E31" s="28"/>
      <c r="F31" s="12"/>
      <c r="G31" s="16">
        <v>75.2</v>
      </c>
      <c r="H31" s="17" t="str">
        <f t="shared" si="5"/>
        <v>B+</v>
      </c>
      <c r="I31" s="10">
        <f t="shared" si="0"/>
        <v>3.5</v>
      </c>
      <c r="J31" s="17">
        <v>3</v>
      </c>
      <c r="K31" s="10">
        <f t="shared" si="6"/>
        <v>10.5</v>
      </c>
      <c r="L31" s="16">
        <v>78.180000000000007</v>
      </c>
      <c r="M31" s="17" t="str">
        <f t="shared" si="7"/>
        <v>B+</v>
      </c>
      <c r="N31" s="10">
        <f t="shared" si="1"/>
        <v>3.5</v>
      </c>
      <c r="O31" s="17">
        <v>4</v>
      </c>
      <c r="P31" s="10">
        <f t="shared" si="8"/>
        <v>14</v>
      </c>
      <c r="Q31" s="19">
        <v>74.25</v>
      </c>
      <c r="R31" s="17" t="str">
        <f t="shared" si="9"/>
        <v>B</v>
      </c>
      <c r="S31" s="10">
        <f t="shared" si="10"/>
        <v>3</v>
      </c>
      <c r="T31" s="17">
        <v>4</v>
      </c>
      <c r="U31" s="10">
        <f t="shared" si="11"/>
        <v>12</v>
      </c>
      <c r="V31" s="20">
        <v>74.349999999999994</v>
      </c>
      <c r="W31" s="17" t="str">
        <f t="shared" si="12"/>
        <v>B</v>
      </c>
      <c r="X31" s="10">
        <f t="shared" si="2"/>
        <v>3</v>
      </c>
      <c r="Y31" s="17">
        <v>2</v>
      </c>
      <c r="Z31" s="10">
        <f t="shared" si="13"/>
        <v>6</v>
      </c>
      <c r="AA31" s="21">
        <v>68.783333333333331</v>
      </c>
      <c r="AB31" s="17" t="str">
        <f t="shared" si="14"/>
        <v>C+</v>
      </c>
      <c r="AC31" s="10">
        <f t="shared" si="3"/>
        <v>2.5</v>
      </c>
      <c r="AD31" s="17">
        <v>3</v>
      </c>
      <c r="AE31" s="10">
        <f t="shared" si="15"/>
        <v>7.5</v>
      </c>
      <c r="AF31" s="22">
        <v>70.174999999999997</v>
      </c>
      <c r="AG31" s="17" t="str">
        <f t="shared" si="16"/>
        <v>B</v>
      </c>
      <c r="AH31" s="10">
        <f t="shared" si="4"/>
        <v>3</v>
      </c>
      <c r="AI31" s="17">
        <v>3</v>
      </c>
      <c r="AJ31" s="10">
        <f t="shared" si="17"/>
        <v>9</v>
      </c>
      <c r="AK31" s="17">
        <v>84.8</v>
      </c>
      <c r="AL31" s="17" t="str">
        <f t="shared" si="18"/>
        <v>A</v>
      </c>
      <c r="AM31" s="10">
        <f t="shared" si="19"/>
        <v>4</v>
      </c>
      <c r="AN31" s="17">
        <v>4</v>
      </c>
      <c r="AO31" s="10">
        <f t="shared" si="20"/>
        <v>16</v>
      </c>
      <c r="AP31" s="16">
        <v>75.75</v>
      </c>
      <c r="AQ31" s="17" t="str">
        <f t="shared" si="21"/>
        <v>B+</v>
      </c>
      <c r="AR31" s="10">
        <f t="shared" si="22"/>
        <v>3.5</v>
      </c>
      <c r="AS31" s="17">
        <v>2</v>
      </c>
      <c r="AT31" s="10">
        <f t="shared" si="23"/>
        <v>7</v>
      </c>
      <c r="AU31" s="19">
        <v>74.83</v>
      </c>
      <c r="AV31" s="17" t="str">
        <f t="shared" si="24"/>
        <v>B</v>
      </c>
      <c r="AW31" s="10">
        <f t="shared" si="25"/>
        <v>3</v>
      </c>
      <c r="AX31" s="17">
        <v>3</v>
      </c>
      <c r="AY31" s="10">
        <f t="shared" si="26"/>
        <v>9</v>
      </c>
      <c r="AZ31" s="20">
        <v>84.8</v>
      </c>
      <c r="BA31" s="17" t="str">
        <f t="shared" si="27"/>
        <v>A</v>
      </c>
      <c r="BB31" s="10">
        <f t="shared" si="28"/>
        <v>4</v>
      </c>
      <c r="BC31" s="17">
        <v>2</v>
      </c>
      <c r="BD31" s="10">
        <f t="shared" si="29"/>
        <v>8</v>
      </c>
      <c r="BE31" s="21">
        <v>69.05</v>
      </c>
      <c r="BF31" s="17" t="str">
        <f t="shared" si="30"/>
        <v>C+</v>
      </c>
      <c r="BG31" s="10">
        <f t="shared" si="31"/>
        <v>2.5</v>
      </c>
      <c r="BH31" s="17">
        <v>2</v>
      </c>
      <c r="BI31" s="10">
        <f t="shared" si="32"/>
        <v>5</v>
      </c>
      <c r="BJ31" s="17">
        <v>71.150000000000006</v>
      </c>
      <c r="BK31" s="17" t="str">
        <f t="shared" si="33"/>
        <v>B</v>
      </c>
      <c r="BL31" s="10">
        <f t="shared" si="34"/>
        <v>3</v>
      </c>
      <c r="BM31" s="17">
        <v>4</v>
      </c>
      <c r="BN31" s="10">
        <f t="shared" si="35"/>
        <v>12</v>
      </c>
      <c r="BO31" s="17">
        <v>0</v>
      </c>
      <c r="BP31" s="17" t="str">
        <f t="shared" si="36"/>
        <v>E</v>
      </c>
      <c r="BQ31" s="10">
        <f t="shared" si="37"/>
        <v>0</v>
      </c>
      <c r="BR31" s="17">
        <v>4</v>
      </c>
      <c r="BS31" s="10">
        <f t="shared" si="38"/>
        <v>0</v>
      </c>
      <c r="BT31" s="12">
        <v>70</v>
      </c>
      <c r="BU31" s="12">
        <v>22</v>
      </c>
      <c r="BV31" s="12">
        <v>53.5</v>
      </c>
      <c r="BW31" s="12">
        <v>19</v>
      </c>
      <c r="BX31" s="12">
        <v>74</v>
      </c>
      <c r="BY31" s="12">
        <v>21</v>
      </c>
      <c r="BZ31" s="12">
        <v>75</v>
      </c>
      <c r="CA31" s="12">
        <v>21</v>
      </c>
      <c r="CB31" s="12">
        <v>66</v>
      </c>
      <c r="CC31" s="12">
        <v>21</v>
      </c>
      <c r="CD31" s="12">
        <v>59</v>
      </c>
      <c r="CE31" s="12">
        <v>19</v>
      </c>
      <c r="CF31" s="12">
        <v>57</v>
      </c>
      <c r="CG31" s="12">
        <v>17</v>
      </c>
      <c r="CH31" s="12">
        <v>0</v>
      </c>
      <c r="CI31" s="12">
        <v>4</v>
      </c>
      <c r="CJ31" s="12">
        <f>BT31+BV31+BX31+BZ31+CB31+CD31+CF31+CH31</f>
        <v>454.5</v>
      </c>
      <c r="CK31" s="12">
        <f>BU31+BW31+BY31+CA31+CC31+CE31+CG31+CI31</f>
        <v>144</v>
      </c>
      <c r="CL31" s="23">
        <f t="shared" si="39"/>
        <v>3.15625</v>
      </c>
      <c r="CM31" s="12" t="str">
        <f t="shared" si="40"/>
        <v>Sangat Memuaskan</v>
      </c>
      <c r="CN31" s="38" t="str">
        <f t="shared" si="41"/>
        <v>Highly Satisfactory</v>
      </c>
      <c r="CO31" s="24"/>
    </row>
    <row r="32" spans="1:93" x14ac:dyDescent="0.25">
      <c r="A32" s="12">
        <v>30</v>
      </c>
      <c r="B32" s="24" t="s">
        <v>115</v>
      </c>
      <c r="C32" s="12">
        <v>152111040</v>
      </c>
      <c r="D32" s="17" t="s">
        <v>79</v>
      </c>
      <c r="E32" s="28" t="s">
        <v>116</v>
      </c>
      <c r="F32" s="12"/>
      <c r="G32" s="16">
        <v>75</v>
      </c>
      <c r="H32" s="17" t="str">
        <f t="shared" si="5"/>
        <v>B+</v>
      </c>
      <c r="I32" s="10">
        <f t="shared" si="0"/>
        <v>3.5</v>
      </c>
      <c r="J32" s="17">
        <v>3</v>
      </c>
      <c r="K32" s="10">
        <f t="shared" si="6"/>
        <v>10.5</v>
      </c>
      <c r="L32" s="16">
        <v>73.8</v>
      </c>
      <c r="M32" s="17" t="str">
        <f t="shared" si="7"/>
        <v>B</v>
      </c>
      <c r="N32" s="10">
        <f t="shared" si="1"/>
        <v>3</v>
      </c>
      <c r="O32" s="17">
        <v>4</v>
      </c>
      <c r="P32" s="10">
        <f t="shared" si="8"/>
        <v>12</v>
      </c>
      <c r="Q32" s="19">
        <v>74.25</v>
      </c>
      <c r="R32" s="17" t="str">
        <f t="shared" si="9"/>
        <v>B</v>
      </c>
      <c r="S32" s="10">
        <f t="shared" si="10"/>
        <v>3</v>
      </c>
      <c r="T32" s="17">
        <v>4</v>
      </c>
      <c r="U32" s="10">
        <f t="shared" si="11"/>
        <v>12</v>
      </c>
      <c r="V32" s="29">
        <v>78.800000000000011</v>
      </c>
      <c r="W32" s="17" t="str">
        <f t="shared" si="12"/>
        <v>B+</v>
      </c>
      <c r="X32" s="10">
        <f t="shared" si="2"/>
        <v>3.5</v>
      </c>
      <c r="Y32" s="17">
        <v>2</v>
      </c>
      <c r="Z32" s="10">
        <f t="shared" si="13"/>
        <v>7</v>
      </c>
      <c r="AA32" s="21">
        <v>74.466666666666669</v>
      </c>
      <c r="AB32" s="17" t="str">
        <f t="shared" si="14"/>
        <v>B</v>
      </c>
      <c r="AC32" s="10">
        <f t="shared" si="3"/>
        <v>3</v>
      </c>
      <c r="AD32" s="17">
        <v>3</v>
      </c>
      <c r="AE32" s="10">
        <f t="shared" si="15"/>
        <v>9</v>
      </c>
      <c r="AF32" s="22">
        <v>81.625</v>
      </c>
      <c r="AG32" s="17" t="str">
        <f t="shared" si="16"/>
        <v>A</v>
      </c>
      <c r="AH32" s="10">
        <f t="shared" si="4"/>
        <v>4</v>
      </c>
      <c r="AI32" s="17">
        <v>3</v>
      </c>
      <c r="AJ32" s="10">
        <f t="shared" si="17"/>
        <v>12</v>
      </c>
      <c r="AK32" s="17">
        <v>77</v>
      </c>
      <c r="AL32" s="17" t="str">
        <f t="shared" si="18"/>
        <v>B+</v>
      </c>
      <c r="AM32" s="10">
        <f t="shared" si="19"/>
        <v>3.5</v>
      </c>
      <c r="AN32" s="17">
        <v>4</v>
      </c>
      <c r="AO32" s="10">
        <f t="shared" si="20"/>
        <v>14</v>
      </c>
      <c r="AP32" s="16">
        <v>81.95</v>
      </c>
      <c r="AQ32" s="17" t="str">
        <f t="shared" si="21"/>
        <v>A</v>
      </c>
      <c r="AR32" s="10">
        <f t="shared" si="22"/>
        <v>4</v>
      </c>
      <c r="AS32" s="17">
        <v>2</v>
      </c>
      <c r="AT32" s="10">
        <f t="shared" si="23"/>
        <v>8</v>
      </c>
      <c r="AU32" s="19">
        <v>76.5</v>
      </c>
      <c r="AV32" s="17" t="str">
        <f t="shared" si="24"/>
        <v>B+</v>
      </c>
      <c r="AW32" s="10">
        <f t="shared" si="25"/>
        <v>3.5</v>
      </c>
      <c r="AX32" s="17">
        <v>3</v>
      </c>
      <c r="AY32" s="10">
        <f t="shared" si="26"/>
        <v>10.5</v>
      </c>
      <c r="AZ32" s="29">
        <v>77</v>
      </c>
      <c r="BA32" s="17" t="str">
        <f t="shared" si="27"/>
        <v>B+</v>
      </c>
      <c r="BB32" s="10">
        <f t="shared" si="28"/>
        <v>3.5</v>
      </c>
      <c r="BC32" s="17">
        <v>2</v>
      </c>
      <c r="BD32" s="10">
        <f t="shared" si="29"/>
        <v>7</v>
      </c>
      <c r="BE32" s="21">
        <v>75.88</v>
      </c>
      <c r="BF32" s="17" t="str">
        <f t="shared" si="30"/>
        <v>B+</v>
      </c>
      <c r="BG32" s="10">
        <f t="shared" si="31"/>
        <v>3.5</v>
      </c>
      <c r="BH32" s="17">
        <v>2</v>
      </c>
      <c r="BI32" s="10">
        <f t="shared" si="32"/>
        <v>7</v>
      </c>
      <c r="BJ32" s="17">
        <v>76.400000000000006</v>
      </c>
      <c r="BK32" s="17" t="str">
        <f t="shared" si="33"/>
        <v>B+</v>
      </c>
      <c r="BL32" s="10">
        <f t="shared" si="34"/>
        <v>3.5</v>
      </c>
      <c r="BM32" s="17">
        <v>4</v>
      </c>
      <c r="BN32" s="10">
        <f t="shared" si="35"/>
        <v>14</v>
      </c>
      <c r="BO32" s="17">
        <v>79</v>
      </c>
      <c r="BP32" s="17" t="str">
        <f t="shared" si="36"/>
        <v>B+</v>
      </c>
      <c r="BQ32" s="10">
        <f t="shared" si="37"/>
        <v>3.5</v>
      </c>
      <c r="BR32" s="17">
        <v>4</v>
      </c>
      <c r="BS32" s="10">
        <f t="shared" si="38"/>
        <v>14</v>
      </c>
      <c r="BT32" s="12">
        <v>65.5</v>
      </c>
      <c r="BU32" s="12">
        <v>22</v>
      </c>
      <c r="BV32" s="12">
        <v>61.5</v>
      </c>
      <c r="BW32" s="12">
        <v>19</v>
      </c>
      <c r="BX32" s="12">
        <v>67.5</v>
      </c>
      <c r="BY32" s="12">
        <v>21</v>
      </c>
      <c r="BZ32" s="12">
        <v>73</v>
      </c>
      <c r="CA32" s="12">
        <v>21</v>
      </c>
      <c r="CB32" s="12">
        <v>74</v>
      </c>
      <c r="CC32" s="12">
        <v>21</v>
      </c>
      <c r="CD32" s="12">
        <v>62.5</v>
      </c>
      <c r="CE32" s="12">
        <v>19</v>
      </c>
      <c r="CF32" s="12">
        <v>60.5</v>
      </c>
      <c r="CG32" s="12">
        <v>17</v>
      </c>
      <c r="CH32" s="12">
        <v>14</v>
      </c>
      <c r="CI32" s="12">
        <v>4</v>
      </c>
      <c r="CJ32" s="12">
        <f>BT32+BV32+BX32+BZ32+CB32+CD32+CF32+CH32</f>
        <v>478.5</v>
      </c>
      <c r="CK32" s="12">
        <f>BU32+BW32+BY32+CA32+CC32+CE32+CG32+CI32</f>
        <v>144</v>
      </c>
      <c r="CL32" s="23">
        <f t="shared" si="39"/>
        <v>3.3229166666666665</v>
      </c>
      <c r="CM32" s="12" t="str">
        <f t="shared" si="40"/>
        <v>Sangat Memuaskan</v>
      </c>
      <c r="CN32" s="38" t="str">
        <f t="shared" si="41"/>
        <v>Highly Satisfactory</v>
      </c>
      <c r="CO32" s="24"/>
    </row>
    <row r="33" spans="1:93" x14ac:dyDescent="0.25">
      <c r="A33" s="12">
        <v>31</v>
      </c>
      <c r="B33" s="24" t="s">
        <v>117</v>
      </c>
      <c r="C33" s="12">
        <v>152111042</v>
      </c>
      <c r="D33" s="17" t="s">
        <v>79</v>
      </c>
      <c r="E33" s="28" t="s">
        <v>118</v>
      </c>
      <c r="F33" s="12"/>
      <c r="G33" s="16">
        <v>80.2</v>
      </c>
      <c r="H33" s="17" t="str">
        <f t="shared" si="5"/>
        <v>A</v>
      </c>
      <c r="I33" s="10">
        <f t="shared" si="0"/>
        <v>4</v>
      </c>
      <c r="J33" s="17">
        <v>3</v>
      </c>
      <c r="K33" s="10">
        <f t="shared" si="6"/>
        <v>12</v>
      </c>
      <c r="L33" s="16">
        <v>75.2</v>
      </c>
      <c r="M33" s="17" t="str">
        <f t="shared" si="7"/>
        <v>B+</v>
      </c>
      <c r="N33" s="10">
        <f t="shared" si="1"/>
        <v>3.5</v>
      </c>
      <c r="O33" s="17">
        <v>4</v>
      </c>
      <c r="P33" s="10">
        <f t="shared" si="8"/>
        <v>14</v>
      </c>
      <c r="Q33" s="19">
        <v>75.5</v>
      </c>
      <c r="R33" s="17" t="str">
        <f t="shared" si="9"/>
        <v>B+</v>
      </c>
      <c r="S33" s="10">
        <f t="shared" si="10"/>
        <v>3.5</v>
      </c>
      <c r="T33" s="17">
        <v>4</v>
      </c>
      <c r="U33" s="10">
        <f t="shared" si="11"/>
        <v>14</v>
      </c>
      <c r="V33" s="29">
        <v>73.175000000000011</v>
      </c>
      <c r="W33" s="17" t="str">
        <f t="shared" si="12"/>
        <v>B</v>
      </c>
      <c r="X33" s="10">
        <f t="shared" si="2"/>
        <v>3</v>
      </c>
      <c r="Y33" s="17">
        <v>2</v>
      </c>
      <c r="Z33" s="10">
        <f t="shared" si="13"/>
        <v>6</v>
      </c>
      <c r="AA33" s="21">
        <v>71.45</v>
      </c>
      <c r="AB33" s="17" t="str">
        <f t="shared" si="14"/>
        <v>B</v>
      </c>
      <c r="AC33" s="10">
        <f t="shared" si="3"/>
        <v>3</v>
      </c>
      <c r="AD33" s="17">
        <v>3</v>
      </c>
      <c r="AE33" s="10">
        <f t="shared" si="15"/>
        <v>9</v>
      </c>
      <c r="AF33" s="22">
        <v>79.375</v>
      </c>
      <c r="AG33" s="17" t="str">
        <f t="shared" si="16"/>
        <v>B+</v>
      </c>
      <c r="AH33" s="10">
        <f t="shared" si="4"/>
        <v>3.5</v>
      </c>
      <c r="AI33" s="17">
        <v>3</v>
      </c>
      <c r="AJ33" s="10">
        <f t="shared" si="17"/>
        <v>10.5</v>
      </c>
      <c r="AK33" s="17">
        <v>79</v>
      </c>
      <c r="AL33" s="17" t="str">
        <f t="shared" si="18"/>
        <v>B+</v>
      </c>
      <c r="AM33" s="10">
        <f t="shared" si="19"/>
        <v>3.5</v>
      </c>
      <c r="AN33" s="17">
        <v>4</v>
      </c>
      <c r="AO33" s="10">
        <f t="shared" si="20"/>
        <v>14</v>
      </c>
      <c r="AP33" s="16">
        <v>76.75</v>
      </c>
      <c r="AQ33" s="17" t="str">
        <f t="shared" si="21"/>
        <v>B+</v>
      </c>
      <c r="AR33" s="10">
        <f t="shared" si="22"/>
        <v>3.5</v>
      </c>
      <c r="AS33" s="17">
        <v>2</v>
      </c>
      <c r="AT33" s="10">
        <f t="shared" si="23"/>
        <v>7</v>
      </c>
      <c r="AU33" s="19">
        <v>78.08</v>
      </c>
      <c r="AV33" s="17" t="str">
        <f t="shared" si="24"/>
        <v>B+</v>
      </c>
      <c r="AW33" s="10">
        <f t="shared" si="25"/>
        <v>3.5</v>
      </c>
      <c r="AX33" s="17">
        <v>3</v>
      </c>
      <c r="AY33" s="10">
        <f t="shared" si="26"/>
        <v>10.5</v>
      </c>
      <c r="AZ33" s="29">
        <v>79</v>
      </c>
      <c r="BA33" s="17" t="str">
        <f t="shared" si="27"/>
        <v>B+</v>
      </c>
      <c r="BB33" s="10">
        <f t="shared" si="28"/>
        <v>3.5</v>
      </c>
      <c r="BC33" s="17">
        <v>2</v>
      </c>
      <c r="BD33" s="10">
        <f t="shared" si="29"/>
        <v>7</v>
      </c>
      <c r="BE33" s="21">
        <v>74.099999999999994</v>
      </c>
      <c r="BF33" s="17" t="str">
        <f t="shared" si="30"/>
        <v>B</v>
      </c>
      <c r="BG33" s="10">
        <f t="shared" si="31"/>
        <v>3</v>
      </c>
      <c r="BH33" s="17">
        <v>2</v>
      </c>
      <c r="BI33" s="10">
        <f t="shared" si="32"/>
        <v>6</v>
      </c>
      <c r="BJ33" s="17">
        <v>75.2</v>
      </c>
      <c r="BK33" s="17" t="str">
        <f t="shared" si="33"/>
        <v>B+</v>
      </c>
      <c r="BL33" s="10">
        <f t="shared" si="34"/>
        <v>3.5</v>
      </c>
      <c r="BM33" s="17">
        <v>4</v>
      </c>
      <c r="BN33" s="10">
        <f t="shared" si="35"/>
        <v>14</v>
      </c>
      <c r="BO33" s="17">
        <v>80</v>
      </c>
      <c r="BP33" s="17" t="str">
        <f t="shared" si="36"/>
        <v>A</v>
      </c>
      <c r="BQ33" s="10">
        <f t="shared" si="37"/>
        <v>4</v>
      </c>
      <c r="BR33" s="17">
        <v>4</v>
      </c>
      <c r="BS33" s="10">
        <f t="shared" si="38"/>
        <v>16</v>
      </c>
      <c r="BT33" s="12">
        <v>66.5</v>
      </c>
      <c r="BU33" s="12">
        <v>22</v>
      </c>
      <c r="BV33" s="12">
        <v>65.5</v>
      </c>
      <c r="BW33" s="12">
        <v>19</v>
      </c>
      <c r="BX33" s="12">
        <v>79.5</v>
      </c>
      <c r="BY33" s="12">
        <v>21</v>
      </c>
      <c r="BZ33" s="12">
        <v>75.5</v>
      </c>
      <c r="CA33" s="12">
        <v>21</v>
      </c>
      <c r="CB33" s="12">
        <v>71</v>
      </c>
      <c r="CC33" s="12">
        <v>21</v>
      </c>
      <c r="CD33" s="12">
        <v>65.5</v>
      </c>
      <c r="CE33" s="12">
        <v>19</v>
      </c>
      <c r="CF33" s="12">
        <v>58.5</v>
      </c>
      <c r="CG33" s="12">
        <v>17</v>
      </c>
      <c r="CH33" s="12">
        <v>16</v>
      </c>
      <c r="CI33" s="12">
        <v>4</v>
      </c>
      <c r="CJ33" s="12">
        <f>BT33+BV33+BX33+BZ33+CB33+CD33+CF33+CH33</f>
        <v>498</v>
      </c>
      <c r="CK33" s="12">
        <f>BU33+BW33+BY33+CA33+CC33+CE33+CG33+CI33</f>
        <v>144</v>
      </c>
      <c r="CL33" s="23">
        <f t="shared" si="39"/>
        <v>3.4583333333333335</v>
      </c>
      <c r="CM33" s="12" t="str">
        <f t="shared" si="40"/>
        <v>Sangat Memuaskan</v>
      </c>
      <c r="CN33" s="38" t="str">
        <f t="shared" si="41"/>
        <v>Highly Satisfactory</v>
      </c>
      <c r="CO33" s="24"/>
    </row>
    <row r="34" spans="1:93" x14ac:dyDescent="0.25">
      <c r="A34" s="12">
        <v>32</v>
      </c>
      <c r="B34" s="24" t="s">
        <v>119</v>
      </c>
      <c r="C34" s="12">
        <v>152111043</v>
      </c>
      <c r="D34" s="17" t="s">
        <v>120</v>
      </c>
      <c r="E34" s="28" t="s">
        <v>55</v>
      </c>
      <c r="F34" s="12"/>
      <c r="G34" s="16">
        <v>73</v>
      </c>
      <c r="H34" s="17" t="str">
        <f t="shared" si="5"/>
        <v>B</v>
      </c>
      <c r="I34" s="10">
        <f t="shared" si="0"/>
        <v>3</v>
      </c>
      <c r="J34" s="17">
        <v>3</v>
      </c>
      <c r="K34" s="10">
        <f t="shared" si="6"/>
        <v>9</v>
      </c>
      <c r="L34" s="16">
        <v>75.320000000000007</v>
      </c>
      <c r="M34" s="17" t="str">
        <f t="shared" si="7"/>
        <v>B+</v>
      </c>
      <c r="N34" s="10">
        <f t="shared" si="1"/>
        <v>3.5</v>
      </c>
      <c r="O34" s="17">
        <v>4</v>
      </c>
      <c r="P34" s="10">
        <f t="shared" si="8"/>
        <v>14</v>
      </c>
      <c r="Q34" s="19">
        <v>74.25</v>
      </c>
      <c r="R34" s="17" t="str">
        <f t="shared" si="9"/>
        <v>B</v>
      </c>
      <c r="S34" s="10">
        <f t="shared" si="10"/>
        <v>3</v>
      </c>
      <c r="T34" s="17">
        <v>4</v>
      </c>
      <c r="U34" s="10">
        <f t="shared" si="11"/>
        <v>12</v>
      </c>
      <c r="V34" s="20">
        <v>78.224999999999994</v>
      </c>
      <c r="W34" s="17" t="str">
        <f t="shared" si="12"/>
        <v>B+</v>
      </c>
      <c r="X34" s="10">
        <f t="shared" si="2"/>
        <v>3.5</v>
      </c>
      <c r="Y34" s="17">
        <v>2</v>
      </c>
      <c r="Z34" s="10">
        <f t="shared" si="13"/>
        <v>7</v>
      </c>
      <c r="AA34" s="21">
        <v>78.800000000000011</v>
      </c>
      <c r="AB34" s="17" t="str">
        <f t="shared" si="14"/>
        <v>B+</v>
      </c>
      <c r="AC34" s="10">
        <f t="shared" si="3"/>
        <v>3.5</v>
      </c>
      <c r="AD34" s="17">
        <v>3</v>
      </c>
      <c r="AE34" s="10">
        <f t="shared" si="15"/>
        <v>10.5</v>
      </c>
      <c r="AF34" s="22">
        <v>77.174999999999997</v>
      </c>
      <c r="AG34" s="17" t="str">
        <f t="shared" si="16"/>
        <v>B+</v>
      </c>
      <c r="AH34" s="10">
        <f t="shared" si="4"/>
        <v>3.5</v>
      </c>
      <c r="AI34" s="17">
        <v>3</v>
      </c>
      <c r="AJ34" s="10">
        <f t="shared" si="17"/>
        <v>10.5</v>
      </c>
      <c r="AK34" s="17">
        <v>78.2</v>
      </c>
      <c r="AL34" s="17" t="str">
        <f t="shared" si="18"/>
        <v>B+</v>
      </c>
      <c r="AM34" s="10">
        <f t="shared" si="19"/>
        <v>3.5</v>
      </c>
      <c r="AN34" s="17">
        <v>4</v>
      </c>
      <c r="AO34" s="10">
        <f t="shared" si="20"/>
        <v>14</v>
      </c>
      <c r="AP34" s="16">
        <v>77.75</v>
      </c>
      <c r="AQ34" s="17" t="str">
        <f t="shared" si="21"/>
        <v>B+</v>
      </c>
      <c r="AR34" s="10">
        <f t="shared" si="22"/>
        <v>3.5</v>
      </c>
      <c r="AS34" s="17">
        <v>2</v>
      </c>
      <c r="AT34" s="10">
        <f t="shared" si="23"/>
        <v>7</v>
      </c>
      <c r="AU34" s="19">
        <v>78</v>
      </c>
      <c r="AV34" s="17" t="str">
        <f t="shared" si="24"/>
        <v>B+</v>
      </c>
      <c r="AW34" s="10">
        <f t="shared" si="25"/>
        <v>3.5</v>
      </c>
      <c r="AX34" s="17">
        <v>3</v>
      </c>
      <c r="AY34" s="10">
        <f t="shared" si="26"/>
        <v>10.5</v>
      </c>
      <c r="AZ34" s="20">
        <v>78.2</v>
      </c>
      <c r="BA34" s="17" t="str">
        <f t="shared" si="27"/>
        <v>B+</v>
      </c>
      <c r="BB34" s="10">
        <f t="shared" si="28"/>
        <v>3.5</v>
      </c>
      <c r="BC34" s="17">
        <v>2</v>
      </c>
      <c r="BD34" s="10">
        <f t="shared" si="29"/>
        <v>7</v>
      </c>
      <c r="BE34" s="21">
        <v>74.55</v>
      </c>
      <c r="BF34" s="17" t="str">
        <f t="shared" si="30"/>
        <v>B</v>
      </c>
      <c r="BG34" s="10">
        <f t="shared" si="31"/>
        <v>3</v>
      </c>
      <c r="BH34" s="17">
        <v>2</v>
      </c>
      <c r="BI34" s="10">
        <f t="shared" si="32"/>
        <v>6</v>
      </c>
      <c r="BJ34" s="17">
        <v>76.2</v>
      </c>
      <c r="BK34" s="17" t="str">
        <f t="shared" si="33"/>
        <v>B+</v>
      </c>
      <c r="BL34" s="10">
        <f t="shared" si="34"/>
        <v>3.5</v>
      </c>
      <c r="BM34" s="17">
        <v>4</v>
      </c>
      <c r="BN34" s="10">
        <f t="shared" si="35"/>
        <v>14</v>
      </c>
      <c r="BO34" s="17">
        <v>79</v>
      </c>
      <c r="BP34" s="17" t="str">
        <f t="shared" si="36"/>
        <v>B+</v>
      </c>
      <c r="BQ34" s="10">
        <f t="shared" si="37"/>
        <v>3.5</v>
      </c>
      <c r="BR34" s="17">
        <v>4</v>
      </c>
      <c r="BS34" s="10">
        <f t="shared" si="38"/>
        <v>14</v>
      </c>
      <c r="BT34" s="12">
        <v>74</v>
      </c>
      <c r="BU34" s="12">
        <v>22</v>
      </c>
      <c r="BV34" s="12">
        <v>68</v>
      </c>
      <c r="BW34" s="12">
        <v>19</v>
      </c>
      <c r="BX34" s="12">
        <v>76.5</v>
      </c>
      <c r="BY34" s="12">
        <v>21</v>
      </c>
      <c r="BZ34" s="12">
        <v>75.5</v>
      </c>
      <c r="CA34" s="12">
        <v>21</v>
      </c>
      <c r="CB34" s="12">
        <v>71.5</v>
      </c>
      <c r="CC34" s="12">
        <v>21</v>
      </c>
      <c r="CD34" s="12">
        <v>63</v>
      </c>
      <c r="CE34" s="12">
        <v>19</v>
      </c>
      <c r="CF34" s="12">
        <v>58.5</v>
      </c>
      <c r="CG34" s="12">
        <v>17</v>
      </c>
      <c r="CH34" s="12">
        <v>14</v>
      </c>
      <c r="CI34" s="12">
        <v>4</v>
      </c>
      <c r="CJ34" s="12">
        <f>BT34+BV34+BX34+BZ34+CB34+CD34+CF34+CH34</f>
        <v>501</v>
      </c>
      <c r="CK34" s="12">
        <f>BU34+BW34+BY34+CA34+CC34+CE34+CG34+CI34</f>
        <v>144</v>
      </c>
      <c r="CL34" s="23">
        <f t="shared" si="39"/>
        <v>3.4791666666666665</v>
      </c>
      <c r="CM34" s="12" t="str">
        <f t="shared" si="40"/>
        <v>Sangat Memuaskan</v>
      </c>
      <c r="CN34" s="38" t="str">
        <f t="shared" si="41"/>
        <v>Highly Satisfactory</v>
      </c>
      <c r="CO34" s="24"/>
    </row>
    <row r="35" spans="1:93" x14ac:dyDescent="0.25">
      <c r="A35" s="12">
        <v>33</v>
      </c>
      <c r="B35" s="24" t="s">
        <v>121</v>
      </c>
      <c r="C35" s="12">
        <v>152111044</v>
      </c>
      <c r="D35" s="17" t="s">
        <v>122</v>
      </c>
      <c r="E35" s="28" t="s">
        <v>123</v>
      </c>
      <c r="F35" s="12"/>
      <c r="G35" s="16">
        <v>77.637500000000003</v>
      </c>
      <c r="H35" s="17" t="str">
        <f t="shared" si="5"/>
        <v>B+</v>
      </c>
      <c r="I35" s="10">
        <f t="shared" si="0"/>
        <v>3.5</v>
      </c>
      <c r="J35" s="17">
        <v>3</v>
      </c>
      <c r="K35" s="10">
        <f t="shared" si="6"/>
        <v>10.5</v>
      </c>
      <c r="L35" s="16">
        <v>79</v>
      </c>
      <c r="M35" s="17" t="str">
        <f t="shared" si="7"/>
        <v>B+</v>
      </c>
      <c r="N35" s="10">
        <f t="shared" si="1"/>
        <v>3.5</v>
      </c>
      <c r="O35" s="17">
        <v>4</v>
      </c>
      <c r="P35" s="10">
        <f t="shared" si="8"/>
        <v>14</v>
      </c>
      <c r="Q35" s="19">
        <v>75.5</v>
      </c>
      <c r="R35" s="17" t="str">
        <f t="shared" si="9"/>
        <v>B+</v>
      </c>
      <c r="S35" s="10">
        <f t="shared" si="10"/>
        <v>3.5</v>
      </c>
      <c r="T35" s="17">
        <v>4</v>
      </c>
      <c r="U35" s="10">
        <f t="shared" si="11"/>
        <v>14</v>
      </c>
      <c r="V35" s="20">
        <v>77.599999999999994</v>
      </c>
      <c r="W35" s="17" t="str">
        <f t="shared" si="12"/>
        <v>B+</v>
      </c>
      <c r="X35" s="10">
        <f t="shared" si="2"/>
        <v>3.5</v>
      </c>
      <c r="Y35" s="17">
        <v>2</v>
      </c>
      <c r="Z35" s="10">
        <f t="shared" si="13"/>
        <v>7</v>
      </c>
      <c r="AA35" s="21">
        <v>79.800000000000011</v>
      </c>
      <c r="AB35" s="17" t="str">
        <f t="shared" si="14"/>
        <v>B+</v>
      </c>
      <c r="AC35" s="10">
        <f t="shared" si="3"/>
        <v>3.5</v>
      </c>
      <c r="AD35" s="17">
        <v>3</v>
      </c>
      <c r="AE35" s="10">
        <f t="shared" si="15"/>
        <v>10.5</v>
      </c>
      <c r="AF35" s="22">
        <v>78.174999999999997</v>
      </c>
      <c r="AG35" s="17" t="str">
        <f t="shared" si="16"/>
        <v>B+</v>
      </c>
      <c r="AH35" s="10">
        <f t="shared" si="4"/>
        <v>3.5</v>
      </c>
      <c r="AI35" s="17">
        <v>3</v>
      </c>
      <c r="AJ35" s="10">
        <f t="shared" si="17"/>
        <v>10.5</v>
      </c>
      <c r="AK35" s="17">
        <v>74.400000000000006</v>
      </c>
      <c r="AL35" s="17" t="str">
        <f t="shared" si="18"/>
        <v>B</v>
      </c>
      <c r="AM35" s="10">
        <f t="shared" si="19"/>
        <v>3</v>
      </c>
      <c r="AN35" s="17">
        <v>4</v>
      </c>
      <c r="AO35" s="10">
        <f t="shared" si="20"/>
        <v>12</v>
      </c>
      <c r="AP35" s="16">
        <v>75.150000000000006</v>
      </c>
      <c r="AQ35" s="17" t="str">
        <f t="shared" si="21"/>
        <v>B+</v>
      </c>
      <c r="AR35" s="10">
        <f t="shared" si="22"/>
        <v>3.5</v>
      </c>
      <c r="AS35" s="17">
        <v>2</v>
      </c>
      <c r="AT35" s="10">
        <f t="shared" si="23"/>
        <v>7</v>
      </c>
      <c r="AU35" s="19">
        <v>75.849999999999994</v>
      </c>
      <c r="AV35" s="17" t="str">
        <f t="shared" si="24"/>
        <v>B+</v>
      </c>
      <c r="AW35" s="10">
        <f t="shared" si="25"/>
        <v>3.5</v>
      </c>
      <c r="AX35" s="17">
        <v>3</v>
      </c>
      <c r="AY35" s="10">
        <f t="shared" si="26"/>
        <v>10.5</v>
      </c>
      <c r="AZ35" s="20">
        <v>74.400000000000006</v>
      </c>
      <c r="BA35" s="17" t="str">
        <f t="shared" si="27"/>
        <v>B</v>
      </c>
      <c r="BB35" s="10">
        <f t="shared" si="28"/>
        <v>3</v>
      </c>
      <c r="BC35" s="17">
        <v>2</v>
      </c>
      <c r="BD35" s="10">
        <f t="shared" si="29"/>
        <v>6</v>
      </c>
      <c r="BE35" s="21">
        <v>72.28</v>
      </c>
      <c r="BF35" s="17" t="str">
        <f t="shared" si="30"/>
        <v>B</v>
      </c>
      <c r="BG35" s="10">
        <f t="shared" si="31"/>
        <v>3</v>
      </c>
      <c r="BH35" s="17">
        <v>2</v>
      </c>
      <c r="BI35" s="10">
        <f t="shared" si="32"/>
        <v>6</v>
      </c>
      <c r="BJ35" s="17">
        <v>76.400000000000006</v>
      </c>
      <c r="BK35" s="17" t="str">
        <f t="shared" si="33"/>
        <v>B+</v>
      </c>
      <c r="BL35" s="10">
        <f t="shared" si="34"/>
        <v>3.5</v>
      </c>
      <c r="BM35" s="17">
        <v>4</v>
      </c>
      <c r="BN35" s="10">
        <f t="shared" si="35"/>
        <v>14</v>
      </c>
      <c r="BO35" s="17">
        <v>78</v>
      </c>
      <c r="BP35" s="17" t="str">
        <f t="shared" si="36"/>
        <v>B+</v>
      </c>
      <c r="BQ35" s="10">
        <f t="shared" si="37"/>
        <v>3.5</v>
      </c>
      <c r="BR35" s="17">
        <v>4</v>
      </c>
      <c r="BS35" s="10">
        <f t="shared" si="38"/>
        <v>14</v>
      </c>
      <c r="BT35" s="12">
        <v>65.5</v>
      </c>
      <c r="BU35" s="12">
        <v>22</v>
      </c>
      <c r="BV35" s="12">
        <v>57</v>
      </c>
      <c r="BW35" s="12">
        <v>19</v>
      </c>
      <c r="BX35" s="12">
        <v>70.5</v>
      </c>
      <c r="BY35" s="12">
        <v>21</v>
      </c>
      <c r="BZ35" s="12">
        <v>71.5</v>
      </c>
      <c r="CA35" s="12">
        <v>21</v>
      </c>
      <c r="CB35" s="12">
        <v>72.5</v>
      </c>
      <c r="CC35" s="12">
        <v>21</v>
      </c>
      <c r="CD35" s="12">
        <v>66.5</v>
      </c>
      <c r="CE35" s="12">
        <v>19</v>
      </c>
      <c r="CF35" s="12">
        <v>55.5</v>
      </c>
      <c r="CG35" s="12">
        <v>17</v>
      </c>
      <c r="CH35" s="12">
        <v>14</v>
      </c>
      <c r="CI35" s="12">
        <v>4</v>
      </c>
      <c r="CJ35" s="12">
        <f>BT35+BV35+BX35+BZ35+CB35+CD35+CF35+CH35</f>
        <v>473</v>
      </c>
      <c r="CK35" s="12">
        <f>BU35+BW35+BY35+CA35+CC35+CE35+CG35+CI35</f>
        <v>144</v>
      </c>
      <c r="CL35" s="23">
        <f t="shared" si="39"/>
        <v>3.2847222222222223</v>
      </c>
      <c r="CM35" s="12" t="str">
        <f t="shared" si="40"/>
        <v>Sangat Memuaskan</v>
      </c>
      <c r="CN35" s="38" t="str">
        <f t="shared" si="41"/>
        <v>Highly Satisfactory</v>
      </c>
      <c r="CO35" s="24"/>
    </row>
    <row r="36" spans="1:93" x14ac:dyDescent="0.25">
      <c r="A36" s="12">
        <v>34</v>
      </c>
      <c r="B36" s="24" t="s">
        <v>124</v>
      </c>
      <c r="C36" s="12">
        <v>152111047</v>
      </c>
      <c r="D36" s="17" t="s">
        <v>61</v>
      </c>
      <c r="E36" s="28" t="s">
        <v>125</v>
      </c>
      <c r="F36" s="12"/>
      <c r="G36" s="16">
        <v>73.4375</v>
      </c>
      <c r="H36" s="17" t="str">
        <f t="shared" si="5"/>
        <v>B</v>
      </c>
      <c r="I36" s="10">
        <f t="shared" si="0"/>
        <v>3</v>
      </c>
      <c r="J36" s="17">
        <v>3</v>
      </c>
      <c r="K36" s="10">
        <f t="shared" si="6"/>
        <v>9</v>
      </c>
      <c r="L36" s="16">
        <v>74.06</v>
      </c>
      <c r="M36" s="17" t="str">
        <f t="shared" si="7"/>
        <v>B</v>
      </c>
      <c r="N36" s="10">
        <f t="shared" si="1"/>
        <v>3</v>
      </c>
      <c r="O36" s="17">
        <v>4</v>
      </c>
      <c r="P36" s="10">
        <f t="shared" si="8"/>
        <v>12</v>
      </c>
      <c r="Q36" s="19">
        <v>74.25</v>
      </c>
      <c r="R36" s="17" t="str">
        <f t="shared" si="9"/>
        <v>B</v>
      </c>
      <c r="S36" s="10">
        <f t="shared" si="10"/>
        <v>3</v>
      </c>
      <c r="T36" s="17">
        <v>4</v>
      </c>
      <c r="U36" s="10">
        <f t="shared" si="11"/>
        <v>12</v>
      </c>
      <c r="V36" s="20">
        <v>76.224999999999994</v>
      </c>
      <c r="W36" s="17" t="str">
        <f t="shared" si="12"/>
        <v>B+</v>
      </c>
      <c r="X36" s="10">
        <f t="shared" si="2"/>
        <v>3.5</v>
      </c>
      <c r="Y36" s="17">
        <v>2</v>
      </c>
      <c r="Z36" s="10">
        <f t="shared" si="13"/>
        <v>7</v>
      </c>
      <c r="AA36" s="21">
        <v>70.116666666666674</v>
      </c>
      <c r="AB36" s="17" t="str">
        <f t="shared" si="14"/>
        <v>B</v>
      </c>
      <c r="AC36" s="10">
        <f t="shared" si="3"/>
        <v>3</v>
      </c>
      <c r="AD36" s="17">
        <v>3</v>
      </c>
      <c r="AE36" s="10">
        <f t="shared" si="15"/>
        <v>9</v>
      </c>
      <c r="AF36" s="22">
        <v>81.625</v>
      </c>
      <c r="AG36" s="17" t="str">
        <f t="shared" si="16"/>
        <v>A</v>
      </c>
      <c r="AH36" s="10">
        <f t="shared" si="4"/>
        <v>4</v>
      </c>
      <c r="AI36" s="17">
        <v>3</v>
      </c>
      <c r="AJ36" s="10">
        <f t="shared" si="17"/>
        <v>12</v>
      </c>
      <c r="AK36" s="17">
        <v>78.400000000000006</v>
      </c>
      <c r="AL36" s="17" t="str">
        <f t="shared" si="18"/>
        <v>B+</v>
      </c>
      <c r="AM36" s="10">
        <f t="shared" si="19"/>
        <v>3.5</v>
      </c>
      <c r="AN36" s="17">
        <v>4</v>
      </c>
      <c r="AO36" s="10">
        <f t="shared" si="20"/>
        <v>14</v>
      </c>
      <c r="AP36" s="16">
        <v>81.349999999999994</v>
      </c>
      <c r="AQ36" s="17" t="str">
        <f t="shared" si="21"/>
        <v>A</v>
      </c>
      <c r="AR36" s="10">
        <f t="shared" si="22"/>
        <v>4</v>
      </c>
      <c r="AS36" s="17">
        <v>2</v>
      </c>
      <c r="AT36" s="10">
        <f t="shared" si="23"/>
        <v>8</v>
      </c>
      <c r="AU36" s="19">
        <v>78</v>
      </c>
      <c r="AV36" s="17" t="str">
        <f t="shared" si="24"/>
        <v>B+</v>
      </c>
      <c r="AW36" s="10">
        <f t="shared" si="25"/>
        <v>3.5</v>
      </c>
      <c r="AX36" s="17">
        <v>3</v>
      </c>
      <c r="AY36" s="10">
        <f t="shared" si="26"/>
        <v>10.5</v>
      </c>
      <c r="AZ36" s="20">
        <v>78.400000000000006</v>
      </c>
      <c r="BA36" s="17" t="str">
        <f t="shared" si="27"/>
        <v>B+</v>
      </c>
      <c r="BB36" s="10">
        <f t="shared" si="28"/>
        <v>3.5</v>
      </c>
      <c r="BC36" s="17">
        <v>2</v>
      </c>
      <c r="BD36" s="10">
        <f t="shared" si="29"/>
        <v>7</v>
      </c>
      <c r="BE36" s="21">
        <v>78.150000000000006</v>
      </c>
      <c r="BF36" s="17" t="str">
        <f t="shared" si="30"/>
        <v>B+</v>
      </c>
      <c r="BG36" s="10">
        <f t="shared" si="31"/>
        <v>3.5</v>
      </c>
      <c r="BH36" s="17">
        <v>2</v>
      </c>
      <c r="BI36" s="10">
        <f t="shared" si="32"/>
        <v>7</v>
      </c>
      <c r="BJ36" s="17">
        <v>76</v>
      </c>
      <c r="BK36" s="17" t="str">
        <f t="shared" si="33"/>
        <v>B+</v>
      </c>
      <c r="BL36" s="10">
        <f t="shared" si="34"/>
        <v>3.5</v>
      </c>
      <c r="BM36" s="17">
        <v>4</v>
      </c>
      <c r="BN36" s="10">
        <f t="shared" si="35"/>
        <v>14</v>
      </c>
      <c r="BO36" s="17">
        <v>81.599999999999994</v>
      </c>
      <c r="BP36" s="17" t="str">
        <f t="shared" si="36"/>
        <v>A</v>
      </c>
      <c r="BQ36" s="10">
        <f t="shared" si="37"/>
        <v>4</v>
      </c>
      <c r="BR36" s="17">
        <v>4</v>
      </c>
      <c r="BS36" s="10">
        <f t="shared" si="38"/>
        <v>16</v>
      </c>
      <c r="BT36" s="12">
        <v>75</v>
      </c>
      <c r="BU36" s="12">
        <v>22</v>
      </c>
      <c r="BV36" s="12">
        <v>64.5</v>
      </c>
      <c r="BW36" s="12">
        <v>19</v>
      </c>
      <c r="BX36" s="12">
        <v>76.5</v>
      </c>
      <c r="BY36" s="12">
        <v>21</v>
      </c>
      <c r="BZ36" s="12">
        <v>78</v>
      </c>
      <c r="CA36" s="12">
        <v>21</v>
      </c>
      <c r="CB36" s="12">
        <v>73</v>
      </c>
      <c r="CC36" s="12">
        <v>21</v>
      </c>
      <c r="CD36" s="12">
        <v>61</v>
      </c>
      <c r="CE36" s="12">
        <v>19</v>
      </c>
      <c r="CF36" s="12">
        <v>60.5</v>
      </c>
      <c r="CG36" s="12">
        <v>17</v>
      </c>
      <c r="CH36" s="12">
        <v>16</v>
      </c>
      <c r="CI36" s="12">
        <v>4</v>
      </c>
      <c r="CJ36" s="12">
        <f>BT36+BV36+BX36+BZ36+CB36+CD36+CF36+CH36</f>
        <v>504.5</v>
      </c>
      <c r="CK36" s="12">
        <f>BU36+BW36+BY36+CA36+CC36+CE36+CG36+CI36</f>
        <v>144</v>
      </c>
      <c r="CL36" s="23">
        <f t="shared" si="39"/>
        <v>3.5034722222222223</v>
      </c>
      <c r="CM36" s="12" t="str">
        <f t="shared" si="40"/>
        <v>Sangat Memuaskan</v>
      </c>
      <c r="CN36" s="38" t="str">
        <f t="shared" si="41"/>
        <v>Highly Satisfactory</v>
      </c>
      <c r="CO36" s="24"/>
    </row>
    <row r="37" spans="1:93" x14ac:dyDescent="0.25">
      <c r="A37" s="12">
        <v>35</v>
      </c>
      <c r="B37" s="25" t="s">
        <v>126</v>
      </c>
      <c r="C37" s="12">
        <v>152111049</v>
      </c>
      <c r="D37" s="17" t="s">
        <v>61</v>
      </c>
      <c r="E37" s="28" t="s">
        <v>127</v>
      </c>
      <c r="F37" s="12"/>
      <c r="G37" s="16">
        <v>77.525000000000006</v>
      </c>
      <c r="H37" s="17" t="str">
        <f t="shared" si="5"/>
        <v>B+</v>
      </c>
      <c r="I37" s="10">
        <f t="shared" si="0"/>
        <v>3.5</v>
      </c>
      <c r="J37" s="17">
        <v>3</v>
      </c>
      <c r="K37" s="10">
        <f t="shared" si="6"/>
        <v>10.5</v>
      </c>
      <c r="L37" s="16">
        <v>78.180000000000007</v>
      </c>
      <c r="M37" s="17" t="str">
        <f t="shared" si="7"/>
        <v>B+</v>
      </c>
      <c r="N37" s="10">
        <f t="shared" si="1"/>
        <v>3.5</v>
      </c>
      <c r="O37" s="17">
        <v>4</v>
      </c>
      <c r="P37" s="10">
        <f t="shared" si="8"/>
        <v>14</v>
      </c>
      <c r="Q37" s="19">
        <v>76</v>
      </c>
      <c r="R37" s="17" t="str">
        <f t="shared" si="9"/>
        <v>B+</v>
      </c>
      <c r="S37" s="10">
        <f t="shared" si="10"/>
        <v>3.5</v>
      </c>
      <c r="T37" s="17">
        <v>4</v>
      </c>
      <c r="U37" s="10">
        <f t="shared" si="11"/>
        <v>14</v>
      </c>
      <c r="V37" s="20">
        <v>75.75</v>
      </c>
      <c r="W37" s="17" t="str">
        <f t="shared" si="12"/>
        <v>B+</v>
      </c>
      <c r="X37" s="10">
        <f t="shared" si="2"/>
        <v>3.5</v>
      </c>
      <c r="Y37" s="17">
        <v>2</v>
      </c>
      <c r="Z37" s="10">
        <f t="shared" si="13"/>
        <v>7</v>
      </c>
      <c r="AA37" s="21">
        <v>72.900000000000006</v>
      </c>
      <c r="AB37" s="17" t="str">
        <f t="shared" si="14"/>
        <v>B</v>
      </c>
      <c r="AC37" s="10">
        <f t="shared" si="3"/>
        <v>3</v>
      </c>
      <c r="AD37" s="17">
        <v>3</v>
      </c>
      <c r="AE37" s="10">
        <f t="shared" si="15"/>
        <v>9</v>
      </c>
      <c r="AF37" s="22">
        <v>79.875</v>
      </c>
      <c r="AG37" s="17" t="str">
        <f t="shared" si="16"/>
        <v>B+</v>
      </c>
      <c r="AH37" s="10">
        <f t="shared" si="4"/>
        <v>3.5</v>
      </c>
      <c r="AI37" s="17">
        <v>3</v>
      </c>
      <c r="AJ37" s="10">
        <f t="shared" si="17"/>
        <v>10.5</v>
      </c>
      <c r="AK37" s="17">
        <v>82.4</v>
      </c>
      <c r="AL37" s="17" t="str">
        <f t="shared" si="18"/>
        <v>A</v>
      </c>
      <c r="AM37" s="10">
        <f t="shared" si="19"/>
        <v>4</v>
      </c>
      <c r="AN37" s="17">
        <v>4</v>
      </c>
      <c r="AO37" s="10">
        <f t="shared" si="20"/>
        <v>16</v>
      </c>
      <c r="AP37" s="16">
        <v>80.75</v>
      </c>
      <c r="AQ37" s="17" t="str">
        <f t="shared" si="21"/>
        <v>A</v>
      </c>
      <c r="AR37" s="10">
        <f t="shared" si="22"/>
        <v>4</v>
      </c>
      <c r="AS37" s="17">
        <v>2</v>
      </c>
      <c r="AT37" s="10">
        <f t="shared" si="23"/>
        <v>8</v>
      </c>
      <c r="AU37" s="19">
        <v>80</v>
      </c>
      <c r="AV37" s="17" t="str">
        <f t="shared" si="24"/>
        <v>A</v>
      </c>
      <c r="AW37" s="10">
        <f t="shared" si="25"/>
        <v>4</v>
      </c>
      <c r="AX37" s="17">
        <v>3</v>
      </c>
      <c r="AY37" s="10">
        <f t="shared" si="26"/>
        <v>12</v>
      </c>
      <c r="AZ37" s="20">
        <v>82.4</v>
      </c>
      <c r="BA37" s="17" t="str">
        <f t="shared" si="27"/>
        <v>A</v>
      </c>
      <c r="BB37" s="10">
        <f t="shared" si="28"/>
        <v>4</v>
      </c>
      <c r="BC37" s="17">
        <v>2</v>
      </c>
      <c r="BD37" s="10">
        <f t="shared" si="29"/>
        <v>8</v>
      </c>
      <c r="BE37" s="21">
        <v>71.78</v>
      </c>
      <c r="BF37" s="17" t="str">
        <f t="shared" si="30"/>
        <v>B</v>
      </c>
      <c r="BG37" s="10">
        <f t="shared" si="31"/>
        <v>3</v>
      </c>
      <c r="BH37" s="17">
        <v>2</v>
      </c>
      <c r="BI37" s="10">
        <f t="shared" si="32"/>
        <v>6</v>
      </c>
      <c r="BJ37" s="17">
        <v>77.400000000000006</v>
      </c>
      <c r="BK37" s="17" t="str">
        <f t="shared" si="33"/>
        <v>B+</v>
      </c>
      <c r="BL37" s="10">
        <f t="shared" si="34"/>
        <v>3.5</v>
      </c>
      <c r="BM37" s="17">
        <v>4</v>
      </c>
      <c r="BN37" s="10">
        <f t="shared" si="35"/>
        <v>14</v>
      </c>
      <c r="BO37" s="17">
        <v>80</v>
      </c>
      <c r="BP37" s="17" t="str">
        <f t="shared" si="36"/>
        <v>A</v>
      </c>
      <c r="BQ37" s="10">
        <f t="shared" si="37"/>
        <v>4</v>
      </c>
      <c r="BR37" s="17">
        <v>4</v>
      </c>
      <c r="BS37" s="10">
        <f t="shared" si="38"/>
        <v>16</v>
      </c>
      <c r="BT37" s="12">
        <v>76.5</v>
      </c>
      <c r="BU37" s="12">
        <v>22</v>
      </c>
      <c r="BV37" s="12">
        <v>65.5</v>
      </c>
      <c r="BW37" s="12">
        <v>19</v>
      </c>
      <c r="BX37" s="12">
        <v>74</v>
      </c>
      <c r="BY37" s="12">
        <v>21</v>
      </c>
      <c r="BZ37" s="12">
        <v>77.5</v>
      </c>
      <c r="CA37" s="12">
        <v>21</v>
      </c>
      <c r="CB37" s="12">
        <v>80.5</v>
      </c>
      <c r="CC37" s="12">
        <v>21</v>
      </c>
      <c r="CD37" s="12">
        <v>65</v>
      </c>
      <c r="CE37" s="12">
        <v>19</v>
      </c>
      <c r="CF37" s="12">
        <v>64</v>
      </c>
      <c r="CG37" s="12">
        <v>17</v>
      </c>
      <c r="CH37" s="12">
        <v>16</v>
      </c>
      <c r="CI37" s="12">
        <v>4</v>
      </c>
      <c r="CJ37" s="12">
        <f>BT37+BV37+BX37+BZ37+CB37+CD37+CF37+CH37</f>
        <v>519</v>
      </c>
      <c r="CK37" s="12">
        <f>BU37+BW37+BY37+CA37+CC37+CE37+CG37+CI37</f>
        <v>144</v>
      </c>
      <c r="CL37" s="23">
        <f t="shared" si="39"/>
        <v>3.6041666666666665</v>
      </c>
      <c r="CM37" s="12" t="str">
        <f t="shared" si="40"/>
        <v>Cum Laude</v>
      </c>
      <c r="CN37" s="38" t="str">
        <f t="shared" si="41"/>
        <v>Excellent</v>
      </c>
      <c r="CO37" s="24"/>
    </row>
    <row r="38" spans="1:93" x14ac:dyDescent="0.25">
      <c r="A38" s="12">
        <v>36</v>
      </c>
      <c r="B38" s="24" t="s">
        <v>128</v>
      </c>
      <c r="C38" s="12">
        <v>152111053</v>
      </c>
      <c r="D38" s="17" t="s">
        <v>129</v>
      </c>
      <c r="E38" s="28" t="s">
        <v>130</v>
      </c>
      <c r="F38" s="12"/>
      <c r="G38" s="16">
        <v>76.8</v>
      </c>
      <c r="H38" s="17" t="str">
        <f t="shared" si="5"/>
        <v>B+</v>
      </c>
      <c r="I38" s="10">
        <f t="shared" si="0"/>
        <v>3.5</v>
      </c>
      <c r="J38" s="17">
        <v>3</v>
      </c>
      <c r="K38" s="10">
        <f t="shared" si="6"/>
        <v>10.5</v>
      </c>
      <c r="L38" s="16">
        <v>75.3</v>
      </c>
      <c r="M38" s="17" t="str">
        <f t="shared" si="7"/>
        <v>B+</v>
      </c>
      <c r="N38" s="10">
        <f t="shared" si="1"/>
        <v>3.5</v>
      </c>
      <c r="O38" s="17">
        <v>4</v>
      </c>
      <c r="P38" s="10">
        <f t="shared" si="8"/>
        <v>14</v>
      </c>
      <c r="Q38" s="19">
        <v>72.25</v>
      </c>
      <c r="R38" s="17" t="str">
        <f t="shared" si="9"/>
        <v>B</v>
      </c>
      <c r="S38" s="10">
        <f t="shared" si="10"/>
        <v>3</v>
      </c>
      <c r="T38" s="17">
        <v>4</v>
      </c>
      <c r="U38" s="10">
        <f t="shared" si="11"/>
        <v>12</v>
      </c>
      <c r="V38" s="20">
        <v>75.400000000000006</v>
      </c>
      <c r="W38" s="17" t="str">
        <f t="shared" si="12"/>
        <v>B+</v>
      </c>
      <c r="X38" s="10">
        <f t="shared" si="2"/>
        <v>3.5</v>
      </c>
      <c r="Y38" s="17">
        <v>2</v>
      </c>
      <c r="Z38" s="10">
        <f t="shared" si="13"/>
        <v>7</v>
      </c>
      <c r="AA38" s="21">
        <v>73</v>
      </c>
      <c r="AB38" s="17" t="str">
        <f t="shared" si="14"/>
        <v>B</v>
      </c>
      <c r="AC38" s="10">
        <f t="shared" si="3"/>
        <v>3</v>
      </c>
      <c r="AD38" s="17">
        <v>3</v>
      </c>
      <c r="AE38" s="10">
        <f t="shared" si="15"/>
        <v>9</v>
      </c>
      <c r="AF38" s="22">
        <v>78.625</v>
      </c>
      <c r="AG38" s="17" t="str">
        <f t="shared" si="16"/>
        <v>B+</v>
      </c>
      <c r="AH38" s="10">
        <f t="shared" si="4"/>
        <v>3.5</v>
      </c>
      <c r="AI38" s="17">
        <v>3</v>
      </c>
      <c r="AJ38" s="10">
        <f t="shared" si="17"/>
        <v>10.5</v>
      </c>
      <c r="AK38" s="17">
        <v>80.400000000000006</v>
      </c>
      <c r="AL38" s="17" t="str">
        <f t="shared" si="18"/>
        <v>A</v>
      </c>
      <c r="AM38" s="10">
        <f t="shared" si="19"/>
        <v>4</v>
      </c>
      <c r="AN38" s="17">
        <v>4</v>
      </c>
      <c r="AO38" s="10">
        <f t="shared" si="20"/>
        <v>16</v>
      </c>
      <c r="AP38" s="16">
        <v>80.349999999999994</v>
      </c>
      <c r="AQ38" s="17" t="str">
        <f t="shared" si="21"/>
        <v>A</v>
      </c>
      <c r="AR38" s="10">
        <f t="shared" si="22"/>
        <v>4</v>
      </c>
      <c r="AS38" s="17">
        <v>2</v>
      </c>
      <c r="AT38" s="10">
        <f t="shared" si="23"/>
        <v>8</v>
      </c>
      <c r="AU38" s="19">
        <v>79</v>
      </c>
      <c r="AV38" s="17" t="str">
        <f t="shared" si="24"/>
        <v>B+</v>
      </c>
      <c r="AW38" s="10">
        <f t="shared" si="25"/>
        <v>3.5</v>
      </c>
      <c r="AX38" s="17">
        <v>3</v>
      </c>
      <c r="AY38" s="10">
        <f t="shared" si="26"/>
        <v>10.5</v>
      </c>
      <c r="AZ38" s="20">
        <v>80.400000000000006</v>
      </c>
      <c r="BA38" s="17" t="str">
        <f t="shared" si="27"/>
        <v>A</v>
      </c>
      <c r="BB38" s="10">
        <f t="shared" si="28"/>
        <v>4</v>
      </c>
      <c r="BC38" s="17">
        <v>2</v>
      </c>
      <c r="BD38" s="10">
        <f t="shared" si="29"/>
        <v>8</v>
      </c>
      <c r="BE38" s="21">
        <v>69.88</v>
      </c>
      <c r="BF38" s="17" t="str">
        <f t="shared" si="30"/>
        <v>C+</v>
      </c>
      <c r="BG38" s="10">
        <f t="shared" si="31"/>
        <v>2.5</v>
      </c>
      <c r="BH38" s="17">
        <v>2</v>
      </c>
      <c r="BI38" s="10">
        <f t="shared" si="32"/>
        <v>5</v>
      </c>
      <c r="BJ38" s="17">
        <v>71.2</v>
      </c>
      <c r="BK38" s="17" t="str">
        <f t="shared" si="33"/>
        <v>B</v>
      </c>
      <c r="BL38" s="10">
        <f t="shared" si="34"/>
        <v>3</v>
      </c>
      <c r="BM38" s="17">
        <v>4</v>
      </c>
      <c r="BN38" s="10">
        <f t="shared" si="35"/>
        <v>12</v>
      </c>
      <c r="BO38" s="17">
        <v>81</v>
      </c>
      <c r="BP38" s="17" t="str">
        <f t="shared" si="36"/>
        <v>A</v>
      </c>
      <c r="BQ38" s="10">
        <f t="shared" si="37"/>
        <v>4</v>
      </c>
      <c r="BR38" s="17">
        <v>4</v>
      </c>
      <c r="BS38" s="10">
        <f t="shared" si="38"/>
        <v>16</v>
      </c>
      <c r="BT38" s="12">
        <v>79</v>
      </c>
      <c r="BU38" s="12">
        <v>22</v>
      </c>
      <c r="BV38" s="12">
        <v>63</v>
      </c>
      <c r="BW38" s="12">
        <v>19</v>
      </c>
      <c r="BX38" s="12">
        <v>77.5</v>
      </c>
      <c r="BY38" s="12">
        <v>21</v>
      </c>
      <c r="BZ38" s="12">
        <v>79.5</v>
      </c>
      <c r="CA38" s="12">
        <v>21</v>
      </c>
      <c r="CB38" s="12">
        <v>76.5</v>
      </c>
      <c r="CC38" s="12">
        <v>21</v>
      </c>
      <c r="CD38" s="12">
        <v>63</v>
      </c>
      <c r="CE38" s="12">
        <v>19</v>
      </c>
      <c r="CF38" s="12">
        <v>59.5</v>
      </c>
      <c r="CG38" s="12">
        <v>17</v>
      </c>
      <c r="CH38" s="12">
        <v>16</v>
      </c>
      <c r="CI38" s="12">
        <v>4</v>
      </c>
      <c r="CJ38" s="12">
        <f>BT38+BV38+BX38+BZ38+CB38+CD38+CF38+CH38</f>
        <v>514</v>
      </c>
      <c r="CK38" s="12">
        <f>BU38+BW38+BY38+CA38+CC38+CE38+CG38+CI38</f>
        <v>144</v>
      </c>
      <c r="CL38" s="23">
        <f t="shared" si="39"/>
        <v>3.5694444444444446</v>
      </c>
      <c r="CM38" s="12" t="str">
        <f t="shared" si="40"/>
        <v>Cum Laude</v>
      </c>
      <c r="CN38" s="38" t="str">
        <f t="shared" si="41"/>
        <v>Excellent</v>
      </c>
      <c r="CO38" s="24"/>
    </row>
    <row r="39" spans="1:93" x14ac:dyDescent="0.25">
      <c r="A39" s="12">
        <v>37</v>
      </c>
      <c r="B39" s="24" t="s">
        <v>131</v>
      </c>
      <c r="C39" s="12">
        <v>152111054</v>
      </c>
      <c r="D39" s="17" t="s">
        <v>132</v>
      </c>
      <c r="E39" s="28" t="s">
        <v>133</v>
      </c>
      <c r="F39" s="12"/>
      <c r="G39" s="16">
        <v>75</v>
      </c>
      <c r="H39" s="17" t="str">
        <f t="shared" si="5"/>
        <v>B+</v>
      </c>
      <c r="I39" s="10">
        <f t="shared" si="0"/>
        <v>3.5</v>
      </c>
      <c r="J39" s="17">
        <v>3</v>
      </c>
      <c r="K39" s="10">
        <f t="shared" si="6"/>
        <v>10.5</v>
      </c>
      <c r="L39" s="16">
        <v>73.94</v>
      </c>
      <c r="M39" s="17" t="str">
        <f t="shared" si="7"/>
        <v>B</v>
      </c>
      <c r="N39" s="10">
        <f t="shared" si="1"/>
        <v>3</v>
      </c>
      <c r="O39" s="17">
        <v>4</v>
      </c>
      <c r="P39" s="10">
        <f t="shared" si="8"/>
        <v>12</v>
      </c>
      <c r="Q39" s="19">
        <v>72.25</v>
      </c>
      <c r="R39" s="17" t="str">
        <f t="shared" si="9"/>
        <v>B</v>
      </c>
      <c r="S39" s="10">
        <f t="shared" si="10"/>
        <v>3</v>
      </c>
      <c r="T39" s="17">
        <v>4</v>
      </c>
      <c r="U39" s="10">
        <f t="shared" si="11"/>
        <v>12</v>
      </c>
      <c r="V39" s="20">
        <v>76.099999999999994</v>
      </c>
      <c r="W39" s="17" t="str">
        <f t="shared" si="12"/>
        <v>B+</v>
      </c>
      <c r="X39" s="10">
        <f t="shared" si="2"/>
        <v>3.5</v>
      </c>
      <c r="Y39" s="17">
        <v>2</v>
      </c>
      <c r="Z39" s="10">
        <f t="shared" si="13"/>
        <v>7</v>
      </c>
      <c r="AA39" s="21">
        <v>70.416666666666671</v>
      </c>
      <c r="AB39" s="17" t="str">
        <f t="shared" si="14"/>
        <v>B</v>
      </c>
      <c r="AC39" s="10">
        <f t="shared" si="3"/>
        <v>3</v>
      </c>
      <c r="AD39" s="17">
        <v>3</v>
      </c>
      <c r="AE39" s="10">
        <f t="shared" si="15"/>
        <v>9</v>
      </c>
      <c r="AF39" s="22">
        <v>72.775000000000006</v>
      </c>
      <c r="AG39" s="17" t="str">
        <f t="shared" si="16"/>
        <v>B</v>
      </c>
      <c r="AH39" s="10">
        <f t="shared" si="4"/>
        <v>3</v>
      </c>
      <c r="AI39" s="17">
        <v>3</v>
      </c>
      <c r="AJ39" s="10">
        <f t="shared" si="17"/>
        <v>9</v>
      </c>
      <c r="AK39" s="17">
        <v>74.400000000000006</v>
      </c>
      <c r="AL39" s="17" t="str">
        <f t="shared" si="18"/>
        <v>B</v>
      </c>
      <c r="AM39" s="10">
        <f t="shared" si="19"/>
        <v>3</v>
      </c>
      <c r="AN39" s="17">
        <v>4</v>
      </c>
      <c r="AO39" s="10">
        <f t="shared" si="20"/>
        <v>12</v>
      </c>
      <c r="AP39" s="16">
        <v>78.349999999999994</v>
      </c>
      <c r="AQ39" s="17" t="str">
        <f t="shared" si="21"/>
        <v>B+</v>
      </c>
      <c r="AR39" s="10">
        <f t="shared" si="22"/>
        <v>3.5</v>
      </c>
      <c r="AS39" s="17">
        <v>2</v>
      </c>
      <c r="AT39" s="10">
        <f t="shared" si="23"/>
        <v>7</v>
      </c>
      <c r="AU39" s="19">
        <v>75.58</v>
      </c>
      <c r="AV39" s="17" t="str">
        <f t="shared" si="24"/>
        <v>B+</v>
      </c>
      <c r="AW39" s="10">
        <f t="shared" si="25"/>
        <v>3.5</v>
      </c>
      <c r="AX39" s="17">
        <v>3</v>
      </c>
      <c r="AY39" s="10">
        <f t="shared" si="26"/>
        <v>10.5</v>
      </c>
      <c r="AZ39" s="20">
        <v>74.400000000000006</v>
      </c>
      <c r="BA39" s="17" t="str">
        <f t="shared" si="27"/>
        <v>B</v>
      </c>
      <c r="BB39" s="10">
        <f t="shared" si="28"/>
        <v>3</v>
      </c>
      <c r="BC39" s="17">
        <v>2</v>
      </c>
      <c r="BD39" s="10">
        <f t="shared" si="29"/>
        <v>6</v>
      </c>
      <c r="BE39" s="21">
        <v>78.03</v>
      </c>
      <c r="BF39" s="17" t="str">
        <f t="shared" si="30"/>
        <v>B+</v>
      </c>
      <c r="BG39" s="10">
        <f t="shared" si="31"/>
        <v>3.5</v>
      </c>
      <c r="BH39" s="17">
        <v>2</v>
      </c>
      <c r="BI39" s="10">
        <f t="shared" si="32"/>
        <v>7</v>
      </c>
      <c r="BJ39" s="17">
        <v>75.400000000000006</v>
      </c>
      <c r="BK39" s="17" t="str">
        <f t="shared" si="33"/>
        <v>B+</v>
      </c>
      <c r="BL39" s="10">
        <f t="shared" si="34"/>
        <v>3.5</v>
      </c>
      <c r="BM39" s="17">
        <v>4</v>
      </c>
      <c r="BN39" s="10">
        <f t="shared" si="35"/>
        <v>14</v>
      </c>
      <c r="BO39" s="17">
        <v>80</v>
      </c>
      <c r="BP39" s="17" t="str">
        <f t="shared" si="36"/>
        <v>A</v>
      </c>
      <c r="BQ39" s="10">
        <f t="shared" si="37"/>
        <v>4</v>
      </c>
      <c r="BR39" s="17">
        <v>4</v>
      </c>
      <c r="BS39" s="10">
        <f t="shared" si="38"/>
        <v>16</v>
      </c>
      <c r="BT39" s="12">
        <v>66</v>
      </c>
      <c r="BU39" s="12">
        <v>22</v>
      </c>
      <c r="BV39" s="12">
        <v>60.5</v>
      </c>
      <c r="BW39" s="12">
        <v>19</v>
      </c>
      <c r="BX39" s="12">
        <v>72</v>
      </c>
      <c r="BY39" s="12">
        <v>21</v>
      </c>
      <c r="BZ39" s="12">
        <v>72</v>
      </c>
      <c r="CA39" s="12">
        <v>21</v>
      </c>
      <c r="CB39" s="12">
        <v>71.5</v>
      </c>
      <c r="CC39" s="12">
        <v>21</v>
      </c>
      <c r="CD39" s="12">
        <v>59.5</v>
      </c>
      <c r="CE39" s="12">
        <v>19</v>
      </c>
      <c r="CF39" s="12">
        <v>56.5</v>
      </c>
      <c r="CG39" s="12">
        <v>17</v>
      </c>
      <c r="CH39" s="12">
        <v>16</v>
      </c>
      <c r="CI39" s="12">
        <v>4</v>
      </c>
      <c r="CJ39" s="12">
        <f>BT39+BV39+BX39+BZ39+CB39+CD39+CF39+CH39</f>
        <v>474</v>
      </c>
      <c r="CK39" s="12">
        <f>BU39+BW39+BY39+CA39+CC39+CE39+CG39+CI39</f>
        <v>144</v>
      </c>
      <c r="CL39" s="23">
        <f t="shared" si="39"/>
        <v>3.2916666666666665</v>
      </c>
      <c r="CM39" s="12" t="str">
        <f t="shared" si="40"/>
        <v>Sangat Memuaskan</v>
      </c>
      <c r="CN39" s="38" t="str">
        <f t="shared" si="41"/>
        <v>Highly Satisfactory</v>
      </c>
      <c r="CO39" s="24"/>
    </row>
    <row r="40" spans="1:93" x14ac:dyDescent="0.25">
      <c r="A40" s="12">
        <v>38</v>
      </c>
      <c r="B40" s="24" t="s">
        <v>134</v>
      </c>
      <c r="C40" s="12">
        <v>152111055</v>
      </c>
      <c r="D40" s="17" t="s">
        <v>135</v>
      </c>
      <c r="E40" s="28" t="s">
        <v>74</v>
      </c>
      <c r="F40" s="12"/>
      <c r="G40" s="16">
        <v>75</v>
      </c>
      <c r="H40" s="17" t="str">
        <f t="shared" si="5"/>
        <v>B+</v>
      </c>
      <c r="I40" s="10">
        <f t="shared" si="0"/>
        <v>3.5</v>
      </c>
      <c r="J40" s="17">
        <v>3</v>
      </c>
      <c r="K40" s="10">
        <f t="shared" si="6"/>
        <v>10.5</v>
      </c>
      <c r="L40" s="16">
        <v>78.180000000000007</v>
      </c>
      <c r="M40" s="17" t="str">
        <f t="shared" si="7"/>
        <v>B+</v>
      </c>
      <c r="N40" s="10">
        <f t="shared" si="1"/>
        <v>3.5</v>
      </c>
      <c r="O40" s="17">
        <v>4</v>
      </c>
      <c r="P40" s="10">
        <f t="shared" si="8"/>
        <v>14</v>
      </c>
      <c r="Q40" s="19">
        <v>77</v>
      </c>
      <c r="R40" s="17" t="str">
        <f t="shared" si="9"/>
        <v>B+</v>
      </c>
      <c r="S40" s="10">
        <f t="shared" si="10"/>
        <v>3.5</v>
      </c>
      <c r="T40" s="17">
        <v>4</v>
      </c>
      <c r="U40" s="10">
        <f t="shared" si="11"/>
        <v>14</v>
      </c>
      <c r="V40" s="20">
        <v>75.474999999999994</v>
      </c>
      <c r="W40" s="17" t="str">
        <f t="shared" si="12"/>
        <v>B+</v>
      </c>
      <c r="X40" s="10">
        <f t="shared" si="2"/>
        <v>3.5</v>
      </c>
      <c r="Y40" s="17">
        <v>2</v>
      </c>
      <c r="Z40" s="10">
        <f t="shared" si="13"/>
        <v>7</v>
      </c>
      <c r="AA40" s="21">
        <v>72.802380952380958</v>
      </c>
      <c r="AB40" s="17" t="str">
        <f t="shared" si="14"/>
        <v>B</v>
      </c>
      <c r="AC40" s="10">
        <f t="shared" si="3"/>
        <v>3</v>
      </c>
      <c r="AD40" s="17">
        <v>3</v>
      </c>
      <c r="AE40" s="10">
        <f t="shared" si="15"/>
        <v>9</v>
      </c>
      <c r="AF40" s="22">
        <v>80.224999999999994</v>
      </c>
      <c r="AG40" s="17" t="str">
        <f t="shared" si="16"/>
        <v>A</v>
      </c>
      <c r="AH40" s="10">
        <f t="shared" si="4"/>
        <v>4</v>
      </c>
      <c r="AI40" s="17">
        <v>3</v>
      </c>
      <c r="AJ40" s="10">
        <f t="shared" si="17"/>
        <v>12</v>
      </c>
      <c r="AK40" s="17">
        <v>78</v>
      </c>
      <c r="AL40" s="17" t="str">
        <f t="shared" si="18"/>
        <v>B+</v>
      </c>
      <c r="AM40" s="10">
        <f t="shared" si="19"/>
        <v>3.5</v>
      </c>
      <c r="AN40" s="17">
        <v>4</v>
      </c>
      <c r="AO40" s="10">
        <f t="shared" si="20"/>
        <v>14</v>
      </c>
      <c r="AP40" s="16">
        <v>81.95</v>
      </c>
      <c r="AQ40" s="17" t="str">
        <f t="shared" si="21"/>
        <v>A</v>
      </c>
      <c r="AR40" s="10">
        <f t="shared" si="22"/>
        <v>4</v>
      </c>
      <c r="AS40" s="17">
        <v>2</v>
      </c>
      <c r="AT40" s="10">
        <f t="shared" si="23"/>
        <v>8</v>
      </c>
      <c r="AU40" s="19">
        <v>80</v>
      </c>
      <c r="AV40" s="17" t="str">
        <f t="shared" si="24"/>
        <v>A</v>
      </c>
      <c r="AW40" s="10">
        <f t="shared" si="25"/>
        <v>4</v>
      </c>
      <c r="AX40" s="17">
        <v>3</v>
      </c>
      <c r="AY40" s="10">
        <f t="shared" si="26"/>
        <v>12</v>
      </c>
      <c r="AZ40" s="20">
        <v>78</v>
      </c>
      <c r="BA40" s="17" t="str">
        <f t="shared" si="27"/>
        <v>B+</v>
      </c>
      <c r="BB40" s="10">
        <f t="shared" si="28"/>
        <v>3.5</v>
      </c>
      <c r="BC40" s="17">
        <v>2</v>
      </c>
      <c r="BD40" s="10">
        <f t="shared" si="29"/>
        <v>7</v>
      </c>
      <c r="BE40" s="21">
        <v>76.5</v>
      </c>
      <c r="BF40" s="17" t="str">
        <f t="shared" si="30"/>
        <v>B+</v>
      </c>
      <c r="BG40" s="10">
        <f t="shared" si="31"/>
        <v>3.5</v>
      </c>
      <c r="BH40" s="17">
        <v>2</v>
      </c>
      <c r="BI40" s="10">
        <f t="shared" si="32"/>
        <v>7</v>
      </c>
      <c r="BJ40" s="17">
        <v>76.400000000000006</v>
      </c>
      <c r="BK40" s="17" t="str">
        <f t="shared" si="33"/>
        <v>B+</v>
      </c>
      <c r="BL40" s="10">
        <f t="shared" si="34"/>
        <v>3.5</v>
      </c>
      <c r="BM40" s="17">
        <v>4</v>
      </c>
      <c r="BN40" s="10">
        <f t="shared" si="35"/>
        <v>14</v>
      </c>
      <c r="BO40" s="17">
        <v>80</v>
      </c>
      <c r="BP40" s="17" t="str">
        <f t="shared" si="36"/>
        <v>A</v>
      </c>
      <c r="BQ40" s="10">
        <f t="shared" si="37"/>
        <v>4</v>
      </c>
      <c r="BR40" s="17">
        <v>4</v>
      </c>
      <c r="BS40" s="10">
        <f t="shared" si="38"/>
        <v>16</v>
      </c>
      <c r="BT40" s="12">
        <v>77</v>
      </c>
      <c r="BU40" s="12">
        <v>22</v>
      </c>
      <c r="BV40" s="12">
        <v>66</v>
      </c>
      <c r="BW40" s="12">
        <v>19</v>
      </c>
      <c r="BX40" s="12">
        <v>74.5</v>
      </c>
      <c r="BY40" s="12">
        <v>21</v>
      </c>
      <c r="BZ40" s="12">
        <v>82.5</v>
      </c>
      <c r="CA40" s="12">
        <v>21</v>
      </c>
      <c r="CB40" s="12">
        <v>77.5</v>
      </c>
      <c r="CC40" s="12">
        <v>21</v>
      </c>
      <c r="CD40" s="12">
        <v>66.5</v>
      </c>
      <c r="CE40" s="12">
        <v>19</v>
      </c>
      <c r="CF40" s="12">
        <v>62</v>
      </c>
      <c r="CG40" s="12">
        <v>17</v>
      </c>
      <c r="CH40" s="12">
        <v>16</v>
      </c>
      <c r="CI40" s="12">
        <v>4</v>
      </c>
      <c r="CJ40" s="12">
        <f>BT40+BV40+BX40+BZ40+CB40+CD40+CF40+CH40</f>
        <v>522</v>
      </c>
      <c r="CK40" s="12">
        <f>BU40+BW40+BY40+CA40+CC40+CE40+CG40+CI40</f>
        <v>144</v>
      </c>
      <c r="CL40" s="23">
        <f t="shared" si="39"/>
        <v>3.625</v>
      </c>
      <c r="CM40" s="12" t="str">
        <f t="shared" si="40"/>
        <v>Cum Laude</v>
      </c>
      <c r="CN40" s="38" t="str">
        <f t="shared" si="41"/>
        <v>Excellent</v>
      </c>
      <c r="CO40" s="24"/>
    </row>
  </sheetData>
  <mergeCells count="33">
    <mergeCell ref="CJ1:CJ2"/>
    <mergeCell ref="CN1:CN2"/>
    <mergeCell ref="CO1:CO2"/>
    <mergeCell ref="CM1:CM2"/>
    <mergeCell ref="CL1:CL2"/>
    <mergeCell ref="CK1:CK2"/>
    <mergeCell ref="CD1:CE1"/>
    <mergeCell ref="CF1:CG1"/>
    <mergeCell ref="CH1:CI1"/>
    <mergeCell ref="BO1:BS1"/>
    <mergeCell ref="BT1:BU1"/>
    <mergeCell ref="BV1:BW1"/>
    <mergeCell ref="BX1:BY1"/>
    <mergeCell ref="BZ1:CA1"/>
    <mergeCell ref="CB1:CC1"/>
    <mergeCell ref="AK1:AO1"/>
    <mergeCell ref="AP1:AT1"/>
    <mergeCell ref="AU1:AY1"/>
    <mergeCell ref="AZ1:BD1"/>
    <mergeCell ref="BE1:BI1"/>
    <mergeCell ref="BJ1:BN1"/>
    <mergeCell ref="G1:K1"/>
    <mergeCell ref="L1:P1"/>
    <mergeCell ref="Q1:U1"/>
    <mergeCell ref="V1:Z1"/>
    <mergeCell ref="AA1:AE1"/>
    <mergeCell ref="AF1:AJ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Transkip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2025-11-27T03:13:26Z</dcterms:created>
  <dcterms:modified xsi:type="dcterms:W3CDTF">2025-11-27T04:46:14Z</dcterms:modified>
</cp:coreProperties>
</file>